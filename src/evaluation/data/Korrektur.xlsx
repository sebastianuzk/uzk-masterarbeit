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ni-Köln\Masterarbeit\Software\uzk-masterarbeit\src\evaluation\data\"/>
    </mc:Choice>
  </mc:AlternateContent>
  <xr:revisionPtr revIDLastSave="0" documentId="13_ncr:1_{8A0311F9-1C6E-45F5-B0B0-C64F41DBC8B5}" xr6:coauthVersionLast="47" xr6:coauthVersionMax="47" xr10:uidLastSave="{00000000-0000-0000-0000-000000000000}"/>
  <bookViews>
    <workbookView xWindow="11340" yWindow="4335" windowWidth="17070" windowHeight="9705" xr2:uid="{00000000-000D-0000-FFFF-FFFF00000000}"/>
  </bookViews>
  <sheets>
    <sheet name="naive_max siz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G22" i="1" s="1"/>
  <c r="E23" i="1"/>
  <c r="G23" i="1" s="1"/>
  <c r="E24" i="1"/>
  <c r="G24" i="1" s="1"/>
  <c r="E25" i="1"/>
  <c r="G25" i="1" s="1"/>
  <c r="E26" i="1"/>
  <c r="G26" i="1" s="1"/>
  <c r="E27" i="1"/>
  <c r="G27" i="1" s="1"/>
  <c r="E28" i="1"/>
  <c r="G28" i="1" s="1"/>
  <c r="E29" i="1"/>
  <c r="G29" i="1" s="1"/>
  <c r="E30" i="1"/>
  <c r="G30" i="1" s="1"/>
  <c r="E31" i="1"/>
  <c r="G31" i="1" s="1"/>
  <c r="E32" i="1"/>
  <c r="G32" i="1" s="1"/>
  <c r="E33" i="1"/>
  <c r="G33" i="1" s="1"/>
  <c r="E34" i="1"/>
  <c r="G34" i="1" s="1"/>
  <c r="E35" i="1"/>
  <c r="G35" i="1" s="1"/>
  <c r="E21" i="1"/>
  <c r="G21" i="1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3" i="1"/>
  <c r="H21" i="1" l="1"/>
  <c r="I21" i="1"/>
  <c r="H28" i="1"/>
  <c r="I28" i="1"/>
  <c r="H35" i="1"/>
  <c r="I35" i="1"/>
  <c r="H27" i="1"/>
  <c r="I27" i="1"/>
  <c r="H34" i="1"/>
  <c r="I34" i="1"/>
  <c r="H26" i="1"/>
  <c r="I26" i="1"/>
  <c r="I33" i="1"/>
  <c r="H33" i="1"/>
  <c r="I25" i="1"/>
  <c r="H25" i="1"/>
  <c r="I32" i="1"/>
  <c r="H32" i="1"/>
  <c r="I24" i="1"/>
  <c r="H24" i="1"/>
  <c r="I31" i="1"/>
  <c r="H31" i="1"/>
  <c r="I23" i="1"/>
  <c r="H23" i="1"/>
  <c r="I30" i="1"/>
  <c r="H30" i="1"/>
  <c r="I22" i="1"/>
  <c r="H22" i="1"/>
  <c r="H29" i="1"/>
  <c r="I29" i="1"/>
</calcChain>
</file>

<file path=xl/sharedStrings.xml><?xml version="1.0" encoding="utf-8"?>
<sst xmlns="http://schemas.openxmlformats.org/spreadsheetml/2006/main" count="52" uniqueCount="23">
  <si>
    <t>faithfulness</t>
  </si>
  <si>
    <t>context_recall</t>
  </si>
  <si>
    <t>context_precision</t>
  </si>
  <si>
    <t>semantic_similarity</t>
  </si>
  <si>
    <t>context_entity_recall</t>
  </si>
  <si>
    <t>answer_relevancy</t>
  </si>
  <si>
    <t>BERT-F1</t>
  </si>
  <si>
    <t>BERT-Precision</t>
  </si>
  <si>
    <t>BERT-Recall</t>
  </si>
  <si>
    <t>MRR@5</t>
  </si>
  <si>
    <t>Hit@5</t>
  </si>
  <si>
    <t>latency</t>
  </si>
  <si>
    <t>Prompt Tokens (avg)</t>
  </si>
  <si>
    <t>Completion Tokens (avg)</t>
  </si>
  <si>
    <t>Total Tokens (avg)</t>
  </si>
  <si>
    <t>run1</t>
  </si>
  <si>
    <t>run2</t>
  </si>
  <si>
    <t>run3</t>
  </si>
  <si>
    <t>durchschnitt</t>
  </si>
  <si>
    <t>Differenz zu 1250/300</t>
  </si>
  <si>
    <t>in %</t>
  </si>
  <si>
    <t>rel in %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</si>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</sst>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topLeftCell="A20" workbookViewId="0">
      <selection activeCell="D21" sqref="D21:D35"/>
    </sheetView>
  </sheetViews>
  <sheetFormatPr baseColWidth="10" defaultColWidth="9.140625" defaultRowHeight="15" x14ac:dyDescent="0.25"/>
  <sheetData>
    <row r="1" spans="1:5" x14ac:dyDescent="0.25">
      <c r="A1">
        <v>1250</v>
      </c>
      <c r="B1">
        <v>300</v>
      </c>
    </row>
    <row r="2" spans="1:5" x14ac:dyDescent="0.25">
      <c r="B2" t="s">
        <v>15</v>
      </c>
      <c r="C2" t="s">
        <v>16</v>
      </c>
      <c r="D2" t="s">
        <v>17</v>
      </c>
      <c r="E2" t="s">
        <v>18</v>
      </c>
    </row>
    <row r="3" spans="1:5" x14ac:dyDescent="0.25">
      <c r="A3" t="s">
        <v>0</v>
      </c>
      <c r="B3">
        <v>0.72450051159857431</v>
      </c>
      <c r="C3">
        <v>0.73342258864078069</v>
      </c>
      <c r="D3">
        <v>0.7202607290746561</v>
      </c>
      <c r="E3">
        <f>AVERAGE(B3:D3)</f>
        <v>0.72606127643800367</v>
      </c>
    </row>
    <row r="4" spans="1:5" x14ac:dyDescent="0.25">
      <c r="A4" t="s">
        <v>1</v>
      </c>
      <c r="B4">
        <v>0.63318965517241377</v>
      </c>
      <c r="C4">
        <v>0.62715517241379315</v>
      </c>
      <c r="D4">
        <v>0.63060344827586212</v>
      </c>
      <c r="E4">
        <f t="shared" ref="E4:E17" si="0">AVERAGE(B4:D4)</f>
        <v>0.63031609195402305</v>
      </c>
    </row>
    <row r="5" spans="1:5" x14ac:dyDescent="0.25">
      <c r="A5" t="s">
        <v>2</v>
      </c>
      <c r="B5">
        <v>0.59353448273191389</v>
      </c>
      <c r="C5">
        <v>0.5893438697052199</v>
      </c>
      <c r="D5">
        <v>0.56979166664181957</v>
      </c>
      <c r="E5">
        <f t="shared" si="0"/>
        <v>0.58422333969298446</v>
      </c>
    </row>
    <row r="6" spans="1:5" x14ac:dyDescent="0.25">
      <c r="A6" t="s">
        <v>3</v>
      </c>
      <c r="B6">
        <v>0.77176501439282807</v>
      </c>
      <c r="C6">
        <v>0.77176501439282807</v>
      </c>
      <c r="D6">
        <v>0.77176501439282807</v>
      </c>
      <c r="E6">
        <f t="shared" si="0"/>
        <v>0.77176501439282807</v>
      </c>
    </row>
    <row r="7" spans="1:5" x14ac:dyDescent="0.25">
      <c r="A7" t="s">
        <v>4</v>
      </c>
      <c r="B7">
        <v>0.26490393355153818</v>
      </c>
      <c r="C7">
        <v>0.26920166062911799</v>
      </c>
      <c r="D7">
        <v>0.25380933541853562</v>
      </c>
      <c r="E7">
        <f t="shared" si="0"/>
        <v>0.2626383098663973</v>
      </c>
    </row>
    <row r="8" spans="1:5" x14ac:dyDescent="0.25">
      <c r="A8" t="s">
        <v>5</v>
      </c>
      <c r="B8">
        <v>0.6130234830427701</v>
      </c>
      <c r="C8">
        <v>0.5941514038643938</v>
      </c>
      <c r="D8">
        <v>0.61474584207440597</v>
      </c>
      <c r="E8">
        <f t="shared" si="0"/>
        <v>0.60730690966052325</v>
      </c>
    </row>
    <row r="9" spans="1:5" x14ac:dyDescent="0.25">
      <c r="A9" t="s">
        <v>6</v>
      </c>
      <c r="B9">
        <v>0.25984886288642878</v>
      </c>
      <c r="C9">
        <v>0.25984886288642878</v>
      </c>
      <c r="D9">
        <v>0.25984886288642878</v>
      </c>
      <c r="E9">
        <f t="shared" si="0"/>
        <v>0.25984886288642878</v>
      </c>
    </row>
    <row r="10" spans="1:5" x14ac:dyDescent="0.25">
      <c r="A10" t="s">
        <v>7</v>
      </c>
      <c r="B10">
        <v>0.18848937749862671</v>
      </c>
      <c r="C10">
        <v>0.18848937749862671</v>
      </c>
      <c r="D10">
        <v>0.18848937749862671</v>
      </c>
      <c r="E10">
        <f t="shared" si="0"/>
        <v>0.18848937749862671</v>
      </c>
    </row>
    <row r="11" spans="1:5" x14ac:dyDescent="0.25">
      <c r="A11" t="s">
        <v>8</v>
      </c>
      <c r="B11">
        <v>0.33325964212417603</v>
      </c>
      <c r="C11">
        <v>0.33325964212417603</v>
      </c>
      <c r="D11">
        <v>0.33325964212417603</v>
      </c>
      <c r="E11">
        <f t="shared" si="0"/>
        <v>0.33325964212417603</v>
      </c>
    </row>
    <row r="12" spans="1:5" x14ac:dyDescent="0.25">
      <c r="A12" t="s">
        <v>9</v>
      </c>
      <c r="B12">
        <v>0.33390804597701151</v>
      </c>
      <c r="C12">
        <v>0.33390804597701151</v>
      </c>
      <c r="D12">
        <v>0.33390804597701151</v>
      </c>
      <c r="E12">
        <f t="shared" si="0"/>
        <v>0.33390804597701146</v>
      </c>
    </row>
    <row r="13" spans="1:5" x14ac:dyDescent="0.25">
      <c r="A13" t="s">
        <v>10</v>
      </c>
      <c r="B13">
        <v>0.47413793103448282</v>
      </c>
      <c r="C13">
        <v>0.47413793103448282</v>
      </c>
      <c r="D13">
        <v>0.47413793103448282</v>
      </c>
      <c r="E13">
        <f t="shared" si="0"/>
        <v>0.47413793103448282</v>
      </c>
    </row>
    <row r="14" spans="1:5" x14ac:dyDescent="0.25">
      <c r="A14" t="s">
        <v>11</v>
      </c>
      <c r="B14">
        <v>13.579839184366421</v>
      </c>
      <c r="C14">
        <v>14.0350410691623</v>
      </c>
      <c r="D14">
        <v>13.690169981841381</v>
      </c>
      <c r="E14">
        <f t="shared" si="0"/>
        <v>13.768350078456701</v>
      </c>
    </row>
    <row r="15" spans="1:5" x14ac:dyDescent="0.25">
      <c r="A15" t="s">
        <v>12</v>
      </c>
      <c r="B15">
        <v>2982.21551724138</v>
      </c>
      <c r="C15">
        <v>2945.21551724138</v>
      </c>
      <c r="D15">
        <v>2979.78448275862</v>
      </c>
      <c r="E15">
        <f t="shared" si="0"/>
        <v>2969.07183908046</v>
      </c>
    </row>
    <row r="16" spans="1:5" x14ac:dyDescent="0.25">
      <c r="A16" t="s">
        <v>13</v>
      </c>
      <c r="B16">
        <v>261.2844827586207</v>
      </c>
      <c r="C16">
        <v>257.86206896551732</v>
      </c>
      <c r="D16">
        <v>260.56034482758622</v>
      </c>
      <c r="E16">
        <f t="shared" si="0"/>
        <v>259.90229885057471</v>
      </c>
    </row>
    <row r="17" spans="1:10" x14ac:dyDescent="0.25">
      <c r="A17" t="s">
        <v>14</v>
      </c>
      <c r="B17">
        <v>3243.5</v>
      </c>
      <c r="C17">
        <v>3203.0775862068972</v>
      </c>
      <c r="D17">
        <v>3240.344827586207</v>
      </c>
      <c r="E17">
        <f t="shared" si="0"/>
        <v>3228.9741379310344</v>
      </c>
    </row>
    <row r="19" spans="1:10" x14ac:dyDescent="0.25">
      <c r="A19">
        <v>1500</v>
      </c>
      <c r="B19">
        <v>300</v>
      </c>
    </row>
    <row r="20" spans="1:10" x14ac:dyDescent="0.25">
      <c r="B20" t="s">
        <v>15</v>
      </c>
      <c r="C20" t="s">
        <v>16</v>
      </c>
      <c r="D20" t="s">
        <v>17</v>
      </c>
      <c r="E20" t="s">
        <v>18</v>
      </c>
      <c r="G20" t="s">
        <v>19</v>
      </c>
      <c r="H20" t="s">
        <v>20</v>
      </c>
      <c r="I20" t="s">
        <v>21</v>
      </c>
    </row>
    <row r="21" spans="1:10" x14ac:dyDescent="0.25">
      <c r="A21" t="s">
        <v>0</v>
      </c>
      <c r="B21">
        <v>0.79246787671363317</v>
      </c>
      <c r="C21">
        <v>0.8275429592026422</v>
      </c>
      <c r="D21">
        <v>0.81529624985080884</v>
      </c>
      <c r="E21">
        <f>AVERAGE(B21:D21)</f>
        <v>0.81176902858902811</v>
      </c>
      <c r="G21">
        <f>E21-E3</f>
        <v>8.5707752151024441E-2</v>
      </c>
      <c r="H21">
        <f>G21*100</f>
        <v>8.5707752151024437</v>
      </c>
      <c r="I21">
        <f>G21/E3*100</f>
        <v>11.804479171716684</v>
      </c>
      <c r="J21" t="s">
        <v>22</v>
      </c>
    </row>
    <row r="22" spans="1:10" x14ac:dyDescent="0.25">
      <c r="A22" t="s">
        <v>1</v>
      </c>
      <c r="B22">
        <v>0.66884236453201973</v>
      </c>
      <c r="C22">
        <v>0.69240558292282417</v>
      </c>
      <c r="D22">
        <v>0.67588259441707721</v>
      </c>
      <c r="E22">
        <f t="shared" ref="E22:E35" si="1">AVERAGE(B22:D22)</f>
        <v>0.679043513957307</v>
      </c>
      <c r="G22">
        <f t="shared" ref="G22:G35" si="2">E22-E4</f>
        <v>4.8727422003283949E-2</v>
      </c>
      <c r="H22">
        <f t="shared" ref="H22:H35" si="3">G22*100</f>
        <v>4.8727422003283944</v>
      </c>
      <c r="I22">
        <f t="shared" ref="I22:I35" si="4">G22/E4*100</f>
        <v>7.7306327135367283</v>
      </c>
      <c r="J22" t="s">
        <v>22</v>
      </c>
    </row>
    <row r="23" spans="1:10" x14ac:dyDescent="0.25">
      <c r="A23" t="s">
        <v>2</v>
      </c>
      <c r="B23">
        <v>0.6454501915428289</v>
      </c>
      <c r="C23">
        <v>0.64476772027765861</v>
      </c>
      <c r="D23">
        <v>0.66059626433687291</v>
      </c>
      <c r="E23">
        <f t="shared" si="1"/>
        <v>0.65027139205245355</v>
      </c>
      <c r="G23">
        <f t="shared" si="2"/>
        <v>6.6048052359469089E-2</v>
      </c>
      <c r="H23">
        <f t="shared" si="3"/>
        <v>6.6048052359469089</v>
      </c>
      <c r="I23">
        <f t="shared" si="4"/>
        <v>11.305274519531869</v>
      </c>
      <c r="J23" t="s">
        <v>22</v>
      </c>
    </row>
    <row r="24" spans="1:10" x14ac:dyDescent="0.25">
      <c r="A24" t="s">
        <v>3</v>
      </c>
      <c r="B24">
        <v>0.78325339797448446</v>
      </c>
      <c r="C24">
        <v>0.78363704159016601</v>
      </c>
      <c r="D24">
        <v>0.78502040682577623</v>
      </c>
      <c r="E24">
        <f t="shared" si="1"/>
        <v>0.78397028213014208</v>
      </c>
      <c r="G24">
        <f t="shared" si="2"/>
        <v>1.2205267737314007E-2</v>
      </c>
      <c r="H24">
        <f t="shared" si="3"/>
        <v>1.2205267737314007</v>
      </c>
      <c r="I24">
        <f t="shared" si="4"/>
        <v>1.5814746081637656</v>
      </c>
      <c r="J24" t="s">
        <v>22</v>
      </c>
    </row>
    <row r="25" spans="1:10" x14ac:dyDescent="0.25">
      <c r="A25" t="s">
        <v>4</v>
      </c>
      <c r="B25">
        <v>0.27494301244992542</v>
      </c>
      <c r="C25">
        <v>0.27255688400639683</v>
      </c>
      <c r="D25">
        <v>0.28298931571851671</v>
      </c>
      <c r="E25">
        <f t="shared" si="1"/>
        <v>0.27682973739161298</v>
      </c>
      <c r="G25">
        <f t="shared" si="2"/>
        <v>1.4191427525215683E-2</v>
      </c>
      <c r="H25">
        <f t="shared" si="3"/>
        <v>1.4191427525215683</v>
      </c>
      <c r="I25">
        <f t="shared" si="4"/>
        <v>5.4034110760287737</v>
      </c>
      <c r="J25" t="s">
        <v>22</v>
      </c>
    </row>
    <row r="26" spans="1:10" x14ac:dyDescent="0.25">
      <c r="A26" t="s">
        <v>5</v>
      </c>
      <c r="B26">
        <v>0.74742497066814861</v>
      </c>
      <c r="C26">
        <v>0.76496011927799679</v>
      </c>
      <c r="D26">
        <v>0.77037520548290039</v>
      </c>
      <c r="E26">
        <f t="shared" si="1"/>
        <v>0.76092009847634856</v>
      </c>
      <c r="G26">
        <f t="shared" si="2"/>
        <v>0.15361318881582531</v>
      </c>
      <c r="H26">
        <f t="shared" si="3"/>
        <v>15.36131888158253</v>
      </c>
      <c r="I26">
        <f t="shared" si="4"/>
        <v>25.29416121771002</v>
      </c>
      <c r="J26" t="s">
        <v>22</v>
      </c>
    </row>
    <row r="27" spans="1:10" x14ac:dyDescent="0.25">
      <c r="A27" t="s">
        <v>6</v>
      </c>
      <c r="B27">
        <v>0.27737849950790411</v>
      </c>
      <c r="C27">
        <v>0.28412756323814392</v>
      </c>
      <c r="D27">
        <v>0.28412756323814392</v>
      </c>
      <c r="E27">
        <f t="shared" si="1"/>
        <v>0.28187787532806396</v>
      </c>
      <c r="G27">
        <f t="shared" si="2"/>
        <v>2.2029012441635187E-2</v>
      </c>
      <c r="H27">
        <f t="shared" si="3"/>
        <v>2.2029012441635185</v>
      </c>
      <c r="I27">
        <f t="shared" si="4"/>
        <v>8.4776251075084872</v>
      </c>
      <c r="J27" t="s">
        <v>22</v>
      </c>
    </row>
    <row r="28" spans="1:10" x14ac:dyDescent="0.25">
      <c r="A28" t="s">
        <v>7</v>
      </c>
      <c r="B28">
        <v>0.20118483901023859</v>
      </c>
      <c r="C28">
        <v>0.20533905923366549</v>
      </c>
      <c r="D28">
        <v>0.20533905923366549</v>
      </c>
      <c r="E28">
        <f t="shared" si="1"/>
        <v>0.20395431915918985</v>
      </c>
      <c r="G28">
        <f t="shared" si="2"/>
        <v>1.5464941660563142E-2</v>
      </c>
      <c r="H28">
        <f t="shared" si="3"/>
        <v>1.5464941660563141</v>
      </c>
      <c r="I28">
        <f t="shared" si="4"/>
        <v>8.204675438898839</v>
      </c>
      <c r="J28" t="s">
        <v>22</v>
      </c>
    </row>
    <row r="29" spans="1:10" x14ac:dyDescent="0.25">
      <c r="A29" t="s">
        <v>8</v>
      </c>
      <c r="B29">
        <v>0.35600560903549189</v>
      </c>
      <c r="C29">
        <v>0.36539453268051147</v>
      </c>
      <c r="D29">
        <v>0.36539453268051147</v>
      </c>
      <c r="E29">
        <f t="shared" si="1"/>
        <v>0.36226489146550495</v>
      </c>
      <c r="G29">
        <f t="shared" si="2"/>
        <v>2.900524934132892E-2</v>
      </c>
      <c r="H29">
        <f t="shared" si="3"/>
        <v>2.9005249341328918</v>
      </c>
      <c r="I29">
        <f t="shared" si="4"/>
        <v>8.703498916475839</v>
      </c>
      <c r="J29" t="s">
        <v>22</v>
      </c>
    </row>
    <row r="30" spans="1:10" x14ac:dyDescent="0.25">
      <c r="A30" t="s">
        <v>9</v>
      </c>
      <c r="B30">
        <v>0.38405172413793098</v>
      </c>
      <c r="C30">
        <v>0.38477011494252872</v>
      </c>
      <c r="D30">
        <v>0.38477011494252872</v>
      </c>
      <c r="E30">
        <f t="shared" si="1"/>
        <v>0.38453065134099612</v>
      </c>
      <c r="G30">
        <f t="shared" si="2"/>
        <v>5.0622605363984663E-2</v>
      </c>
      <c r="H30">
        <f t="shared" si="3"/>
        <v>5.0622605363984663</v>
      </c>
      <c r="I30">
        <f t="shared" si="4"/>
        <v>15.160642570281121</v>
      </c>
      <c r="J30" t="s">
        <v>22</v>
      </c>
    </row>
    <row r="31" spans="1:10" x14ac:dyDescent="0.25">
      <c r="A31" t="s">
        <v>10</v>
      </c>
      <c r="B31">
        <v>0.55172413793103448</v>
      </c>
      <c r="C31">
        <v>0.5431034482758621</v>
      </c>
      <c r="D31">
        <v>0.5431034482758621</v>
      </c>
      <c r="E31">
        <f t="shared" si="1"/>
        <v>0.54597701149425293</v>
      </c>
      <c r="G31">
        <f t="shared" si="2"/>
        <v>7.183908045977011E-2</v>
      </c>
      <c r="H31">
        <f t="shared" si="3"/>
        <v>7.1839080459770113</v>
      </c>
      <c r="I31">
        <f t="shared" si="4"/>
        <v>15.151515151515149</v>
      </c>
      <c r="J31" t="s">
        <v>22</v>
      </c>
    </row>
    <row r="32" spans="1:10" x14ac:dyDescent="0.25">
      <c r="A32" t="s">
        <v>11</v>
      </c>
      <c r="B32">
        <v>18.936532785152568</v>
      </c>
      <c r="C32">
        <v>14.20393739486563</v>
      </c>
      <c r="D32">
        <v>15.93455432406787</v>
      </c>
      <c r="E32">
        <f t="shared" si="1"/>
        <v>16.358341501362023</v>
      </c>
      <c r="G32">
        <f t="shared" si="2"/>
        <v>2.5899914229053227</v>
      </c>
      <c r="H32">
        <f t="shared" si="3"/>
        <v>258.99914229053229</v>
      </c>
      <c r="I32">
        <f t="shared" si="4"/>
        <v>18.811196753036334</v>
      </c>
    </row>
    <row r="33" spans="1:9" x14ac:dyDescent="0.25">
      <c r="A33" t="s">
        <v>12</v>
      </c>
      <c r="B33">
        <v>3168.4137931034479</v>
      </c>
      <c r="C33">
        <v>3177.0172413793098</v>
      </c>
      <c r="D33">
        <v>3107.1724137931028</v>
      </c>
      <c r="E33">
        <f t="shared" si="1"/>
        <v>3150.8678160919535</v>
      </c>
      <c r="G33">
        <f t="shared" si="2"/>
        <v>181.79597701149351</v>
      </c>
      <c r="H33">
        <f t="shared" si="3"/>
        <v>18179.597701149352</v>
      </c>
      <c r="I33">
        <f t="shared" si="4"/>
        <v>6.1229901755356941</v>
      </c>
    </row>
    <row r="34" spans="1:9" x14ac:dyDescent="0.25">
      <c r="A34" t="s">
        <v>13</v>
      </c>
      <c r="B34">
        <v>253.87931034482759</v>
      </c>
      <c r="C34">
        <v>268.82758620689663</v>
      </c>
      <c r="D34">
        <v>259.4655172413793</v>
      </c>
      <c r="E34">
        <f t="shared" si="1"/>
        <v>260.72413793103448</v>
      </c>
      <c r="G34">
        <f t="shared" si="2"/>
        <v>0.8218390804597675</v>
      </c>
      <c r="H34">
        <f t="shared" si="3"/>
        <v>82.18390804597675</v>
      </c>
      <c r="I34">
        <f t="shared" si="4"/>
        <v>0.31621077770161105</v>
      </c>
    </row>
    <row r="35" spans="1:9" x14ac:dyDescent="0.25">
      <c r="A35" t="s">
        <v>14</v>
      </c>
      <c r="B35">
        <v>3422.2931034482758</v>
      </c>
      <c r="C35">
        <v>3445.844827586207</v>
      </c>
      <c r="D35">
        <v>3366.6379310344828</v>
      </c>
      <c r="E35">
        <f t="shared" si="1"/>
        <v>3411.5919540229884</v>
      </c>
      <c r="G35">
        <f t="shared" si="2"/>
        <v>182.61781609195396</v>
      </c>
      <c r="H35">
        <f t="shared" si="3"/>
        <v>18261.781609195394</v>
      </c>
      <c r="I35">
        <f t="shared" si="4"/>
        <v>5.6555985985371304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naive_max 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Mager</dc:creator>
  <cp:lastModifiedBy>Pascal Mager</cp:lastModifiedBy>
  <dcterms:created xsi:type="dcterms:W3CDTF">2015-06-05T18:19:34Z</dcterms:created>
  <dcterms:modified xsi:type="dcterms:W3CDTF">2026-04-02T19:48:32Z</dcterms:modified>
</cp:coreProperties>
</file>