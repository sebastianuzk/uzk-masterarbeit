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CA932D75-9979-4F20-B3BF-E6C66ED7BE88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naive_max size" sheetId="1" r:id="rId1"/>
    <sheet name="naive_overlap" sheetId="2" r:id="rId2"/>
    <sheet name="deduplication" sheetId="3" r:id="rId3"/>
    <sheet name="sparse" sheetId="8" r:id="rId4"/>
    <sheet name="advanced" sheetId="10" r:id="rId5"/>
    <sheet name="reranking" sheetId="4" r:id="rId6"/>
    <sheet name="semantic_percentile" sheetId="7" r:id="rId7"/>
    <sheet name="semantic_min_size" sheetId="9" r:id="rId8"/>
    <sheet name="hybrid" sheetId="5" r:id="rId9"/>
    <sheet name="MMR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1" i="10" l="1"/>
  <c r="S42" i="10"/>
  <c r="S43" i="10"/>
  <c r="S44" i="10"/>
  <c r="Y44" i="10" s="1"/>
  <c r="S45" i="10"/>
  <c r="S46" i="10"/>
  <c r="S47" i="10"/>
  <c r="S48" i="10"/>
  <c r="S49" i="10"/>
  <c r="S50" i="10"/>
  <c r="S51" i="10"/>
  <c r="S52" i="10"/>
  <c r="S53" i="10"/>
  <c r="S54" i="10"/>
  <c r="S55" i="10"/>
  <c r="Y55" i="10" s="1"/>
  <c r="S40" i="10"/>
  <c r="S22" i="10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21" i="10"/>
  <c r="E55" i="10"/>
  <c r="E54" i="10"/>
  <c r="E53" i="10"/>
  <c r="G53" i="10" s="1"/>
  <c r="E52" i="10"/>
  <c r="G52" i="10" s="1"/>
  <c r="E51" i="10"/>
  <c r="G51" i="10" s="1"/>
  <c r="H51" i="10" s="1"/>
  <c r="E50" i="10"/>
  <c r="K50" i="10" s="1"/>
  <c r="E49" i="10"/>
  <c r="G49" i="10" s="1"/>
  <c r="E48" i="10"/>
  <c r="G48" i="10" s="1"/>
  <c r="E47" i="10"/>
  <c r="E46" i="10"/>
  <c r="E45" i="10"/>
  <c r="G45" i="10" s="1"/>
  <c r="E44" i="10"/>
  <c r="K44" i="10" s="1"/>
  <c r="E43" i="10"/>
  <c r="K43" i="10" s="1"/>
  <c r="E42" i="10"/>
  <c r="G42" i="10" s="1"/>
  <c r="E41" i="10"/>
  <c r="K41" i="10" s="1"/>
  <c r="E40" i="10"/>
  <c r="G40" i="10" s="1"/>
  <c r="E36" i="10"/>
  <c r="G36" i="10" s="1"/>
  <c r="I36" i="10" s="1"/>
  <c r="E22" i="10"/>
  <c r="E23" i="10"/>
  <c r="E24" i="10"/>
  <c r="G24" i="10" s="1"/>
  <c r="H24" i="10" s="1"/>
  <c r="E25" i="10"/>
  <c r="G25" i="10" s="1"/>
  <c r="I25" i="10" s="1"/>
  <c r="E26" i="10"/>
  <c r="E27" i="10"/>
  <c r="G27" i="10" s="1"/>
  <c r="I27" i="10" s="1"/>
  <c r="E28" i="10"/>
  <c r="G28" i="10" s="1"/>
  <c r="I28" i="10" s="1"/>
  <c r="E29" i="10"/>
  <c r="G29" i="10" s="1"/>
  <c r="I29" i="10" s="1"/>
  <c r="E30" i="10"/>
  <c r="G30" i="10" s="1"/>
  <c r="E31" i="10"/>
  <c r="E32" i="10"/>
  <c r="G32" i="10" s="1"/>
  <c r="I32" i="10" s="1"/>
  <c r="E33" i="10"/>
  <c r="G33" i="10" s="1"/>
  <c r="I33" i="10" s="1"/>
  <c r="E34" i="10"/>
  <c r="G34" i="10" s="1"/>
  <c r="E35" i="10"/>
  <c r="G35" i="10" s="1"/>
  <c r="I35" i="10" s="1"/>
  <c r="E21" i="10"/>
  <c r="G21" i="10" s="1"/>
  <c r="G4" i="9"/>
  <c r="I4" i="9" s="1"/>
  <c r="H4" i="9"/>
  <c r="G5" i="9"/>
  <c r="H5" i="9"/>
  <c r="I5" i="9"/>
  <c r="G6" i="9"/>
  <c r="I6" i="9" s="1"/>
  <c r="G7" i="9"/>
  <c r="H7" i="9" s="1"/>
  <c r="G8" i="9"/>
  <c r="H8" i="9"/>
  <c r="I8" i="9"/>
  <c r="G9" i="9"/>
  <c r="H9" i="9"/>
  <c r="I9" i="9"/>
  <c r="G10" i="9"/>
  <c r="H10" i="9"/>
  <c r="I10" i="9"/>
  <c r="G11" i="9"/>
  <c r="I11" i="9" s="1"/>
  <c r="H11" i="9"/>
  <c r="G12" i="9"/>
  <c r="I12" i="9" s="1"/>
  <c r="H12" i="9"/>
  <c r="G13" i="9"/>
  <c r="H13" i="9"/>
  <c r="I13" i="9"/>
  <c r="G14" i="9"/>
  <c r="I14" i="9" s="1"/>
  <c r="G15" i="9"/>
  <c r="H15" i="9" s="1"/>
  <c r="G16" i="9"/>
  <c r="H16" i="9"/>
  <c r="I16" i="9"/>
  <c r="G17" i="9"/>
  <c r="H17" i="9"/>
  <c r="I17" i="9"/>
  <c r="I3" i="9"/>
  <c r="G3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2" i="8"/>
  <c r="G22" i="8" s="1"/>
  <c r="E23" i="8"/>
  <c r="G23" i="8" s="1"/>
  <c r="E24" i="8"/>
  <c r="G24" i="8" s="1"/>
  <c r="E25" i="8"/>
  <c r="G25" i="8" s="1"/>
  <c r="E26" i="8"/>
  <c r="G26" i="8" s="1"/>
  <c r="E27" i="8"/>
  <c r="G27" i="8" s="1"/>
  <c r="E28" i="8"/>
  <c r="G28" i="8" s="1"/>
  <c r="E29" i="8"/>
  <c r="G29" i="8" s="1"/>
  <c r="E30" i="8"/>
  <c r="G30" i="8" s="1"/>
  <c r="E31" i="8"/>
  <c r="G31" i="8" s="1"/>
  <c r="E32" i="8"/>
  <c r="G32" i="8"/>
  <c r="H32" i="8" s="1"/>
  <c r="E33" i="8"/>
  <c r="G33" i="8" s="1"/>
  <c r="E34" i="8"/>
  <c r="G34" i="8" s="1"/>
  <c r="I34" i="8" s="1"/>
  <c r="E35" i="8"/>
  <c r="G35" i="8" s="1"/>
  <c r="E21" i="8"/>
  <c r="G21" i="8" s="1"/>
  <c r="E58" i="7"/>
  <c r="G58" i="7"/>
  <c r="H58" i="7" s="1"/>
  <c r="E59" i="7"/>
  <c r="O41" i="7" s="1"/>
  <c r="E60" i="7"/>
  <c r="G60" i="7" s="1"/>
  <c r="E61" i="7"/>
  <c r="G61" i="7" s="1"/>
  <c r="E62" i="7"/>
  <c r="O44" i="7" s="1"/>
  <c r="E63" i="7"/>
  <c r="G63" i="7" s="1"/>
  <c r="E64" i="7"/>
  <c r="G64" i="7"/>
  <c r="H64" i="7" s="1"/>
  <c r="I64" i="7"/>
  <c r="E65" i="7"/>
  <c r="O47" i="7" s="1"/>
  <c r="E66" i="7"/>
  <c r="G66" i="7" s="1"/>
  <c r="E67" i="7"/>
  <c r="O49" i="7" s="1"/>
  <c r="E68" i="7"/>
  <c r="O50" i="7" s="1"/>
  <c r="P50" i="7" s="1"/>
  <c r="G68" i="7"/>
  <c r="H68" i="7" s="1"/>
  <c r="E69" i="7"/>
  <c r="G69" i="7"/>
  <c r="I69" i="7" s="1"/>
  <c r="E70" i="7"/>
  <c r="O52" i="7" s="1"/>
  <c r="E71" i="7"/>
  <c r="O53" i="7" s="1"/>
  <c r="G71" i="7"/>
  <c r="I71" i="7" s="1"/>
  <c r="H71" i="7"/>
  <c r="O40" i="7"/>
  <c r="Q40" i="7" s="1"/>
  <c r="O46" i="7"/>
  <c r="Q46" i="7" s="1"/>
  <c r="O51" i="7"/>
  <c r="P51" i="7" s="1"/>
  <c r="Q51" i="7"/>
  <c r="E57" i="7"/>
  <c r="O39" i="7" s="1"/>
  <c r="Q39" i="7" s="1"/>
  <c r="E74" i="4"/>
  <c r="G74" i="4" s="1"/>
  <c r="H74" i="4" s="1"/>
  <c r="E73" i="4"/>
  <c r="G73" i="4" s="1"/>
  <c r="E72" i="4"/>
  <c r="G72" i="4" s="1"/>
  <c r="E71" i="4"/>
  <c r="G71" i="4" s="1"/>
  <c r="E70" i="4"/>
  <c r="G70" i="4" s="1"/>
  <c r="H70" i="4" s="1"/>
  <c r="E69" i="4"/>
  <c r="G69" i="4" s="1"/>
  <c r="E68" i="4"/>
  <c r="G68" i="4" s="1"/>
  <c r="E67" i="4"/>
  <c r="G67" i="4" s="1"/>
  <c r="E66" i="4"/>
  <c r="G66" i="4" s="1"/>
  <c r="E65" i="4"/>
  <c r="G65" i="4" s="1"/>
  <c r="E64" i="4"/>
  <c r="G64" i="4" s="1"/>
  <c r="E63" i="4"/>
  <c r="G63" i="4" s="1"/>
  <c r="E62" i="4"/>
  <c r="G62" i="4" s="1"/>
  <c r="H62" i="4" s="1"/>
  <c r="E61" i="4"/>
  <c r="G61" i="4" s="1"/>
  <c r="E60" i="4"/>
  <c r="G60" i="4" s="1"/>
  <c r="E59" i="4"/>
  <c r="G59" i="4" s="1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39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21" i="7"/>
  <c r="M39" i="7"/>
  <c r="K40" i="7"/>
  <c r="L40" i="7"/>
  <c r="K41" i="7"/>
  <c r="L41" i="7"/>
  <c r="K42" i="7"/>
  <c r="L42" i="7" s="1"/>
  <c r="K43" i="7"/>
  <c r="L43" i="7"/>
  <c r="K44" i="7"/>
  <c r="L44" i="7"/>
  <c r="K45" i="7"/>
  <c r="L45" i="7"/>
  <c r="K46" i="7"/>
  <c r="L46" i="7"/>
  <c r="K47" i="7"/>
  <c r="L47" i="7"/>
  <c r="K48" i="7"/>
  <c r="L48" i="7"/>
  <c r="K49" i="7"/>
  <c r="L49" i="7"/>
  <c r="K50" i="7"/>
  <c r="L50" i="7" s="1"/>
  <c r="K51" i="7"/>
  <c r="L51" i="7"/>
  <c r="K52" i="7"/>
  <c r="L52" i="7"/>
  <c r="K53" i="7"/>
  <c r="L53" i="7"/>
  <c r="K39" i="7"/>
  <c r="E53" i="3"/>
  <c r="G53" i="3" s="1"/>
  <c r="E52" i="3"/>
  <c r="G52" i="3" s="1"/>
  <c r="E51" i="3"/>
  <c r="G51" i="3" s="1"/>
  <c r="E50" i="3"/>
  <c r="G50" i="3" s="1"/>
  <c r="H50" i="3" s="1"/>
  <c r="E49" i="3"/>
  <c r="G49" i="3" s="1"/>
  <c r="H49" i="3" s="1"/>
  <c r="E48" i="3"/>
  <c r="G48" i="3" s="1"/>
  <c r="H48" i="3" s="1"/>
  <c r="E47" i="3"/>
  <c r="G47" i="3" s="1"/>
  <c r="I47" i="3" s="1"/>
  <c r="E46" i="3"/>
  <c r="G46" i="3" s="1"/>
  <c r="H46" i="3" s="1"/>
  <c r="E45" i="3"/>
  <c r="G45" i="3" s="1"/>
  <c r="E44" i="3"/>
  <c r="G44" i="3" s="1"/>
  <c r="E43" i="3"/>
  <c r="G43" i="3" s="1"/>
  <c r="E42" i="3"/>
  <c r="G42" i="3" s="1"/>
  <c r="H42" i="3" s="1"/>
  <c r="E41" i="3"/>
  <c r="G41" i="3" s="1"/>
  <c r="E40" i="3"/>
  <c r="G40" i="3" s="1"/>
  <c r="H40" i="3" s="1"/>
  <c r="E39" i="3"/>
  <c r="G39" i="3" s="1"/>
  <c r="I39" i="3" s="1"/>
  <c r="G40" i="7"/>
  <c r="H40" i="7"/>
  <c r="G41" i="7"/>
  <c r="H41" i="7"/>
  <c r="G42" i="7"/>
  <c r="H42" i="7" s="1"/>
  <c r="G43" i="7"/>
  <c r="H43" i="7"/>
  <c r="G44" i="7"/>
  <c r="H44" i="7"/>
  <c r="G45" i="7"/>
  <c r="H45" i="7"/>
  <c r="G46" i="7"/>
  <c r="H46" i="7"/>
  <c r="G47" i="7"/>
  <c r="H47" i="7"/>
  <c r="G48" i="7"/>
  <c r="H48" i="7"/>
  <c r="G49" i="7"/>
  <c r="H49" i="7"/>
  <c r="G50" i="7"/>
  <c r="H50" i="7" s="1"/>
  <c r="G51" i="7"/>
  <c r="H51" i="7"/>
  <c r="G52" i="7"/>
  <c r="H52" i="7"/>
  <c r="G53" i="7"/>
  <c r="H53" i="7"/>
  <c r="G39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22" i="7"/>
  <c r="G22" i="7"/>
  <c r="H22" i="7"/>
  <c r="E23" i="7"/>
  <c r="G23" i="7"/>
  <c r="H23" i="7"/>
  <c r="E24" i="7"/>
  <c r="G24" i="7"/>
  <c r="H24" i="7"/>
  <c r="E25" i="7"/>
  <c r="G25" i="7"/>
  <c r="H25" i="7"/>
  <c r="E26" i="7"/>
  <c r="G26" i="7"/>
  <c r="H26" i="7"/>
  <c r="E27" i="7"/>
  <c r="G27" i="7"/>
  <c r="H27" i="7"/>
  <c r="E28" i="7"/>
  <c r="G28" i="7"/>
  <c r="H28" i="7"/>
  <c r="E29" i="7"/>
  <c r="G29" i="7"/>
  <c r="H29" i="7"/>
  <c r="E30" i="7"/>
  <c r="G30" i="7"/>
  <c r="H30" i="7"/>
  <c r="E31" i="7"/>
  <c r="G31" i="7"/>
  <c r="H31" i="7"/>
  <c r="E32" i="7"/>
  <c r="G32" i="7"/>
  <c r="H32" i="7"/>
  <c r="E33" i="7"/>
  <c r="G33" i="7"/>
  <c r="H33" i="7"/>
  <c r="E34" i="7"/>
  <c r="G34" i="7"/>
  <c r="H34" i="7"/>
  <c r="E35" i="7"/>
  <c r="G35" i="7"/>
  <c r="H35" i="7"/>
  <c r="G21" i="7"/>
  <c r="H21" i="7"/>
  <c r="E21" i="7"/>
  <c r="E41" i="4"/>
  <c r="G41" i="4" s="1"/>
  <c r="E42" i="4"/>
  <c r="E43" i="4"/>
  <c r="G43" i="4" s="1"/>
  <c r="H43" i="4" s="1"/>
  <c r="E44" i="4"/>
  <c r="G44" i="4" s="1"/>
  <c r="H44" i="4" s="1"/>
  <c r="E45" i="4"/>
  <c r="G45" i="4" s="1"/>
  <c r="E46" i="4"/>
  <c r="G46" i="4" s="1"/>
  <c r="E47" i="4"/>
  <c r="G47" i="4" s="1"/>
  <c r="E48" i="4"/>
  <c r="G48" i="4" s="1"/>
  <c r="E49" i="4"/>
  <c r="E50" i="4"/>
  <c r="E51" i="4"/>
  <c r="G51" i="4" s="1"/>
  <c r="H51" i="4" s="1"/>
  <c r="E52" i="4"/>
  <c r="G52" i="4" s="1"/>
  <c r="E53" i="4"/>
  <c r="G53" i="4" s="1"/>
  <c r="E54" i="4"/>
  <c r="G54" i="4" s="1"/>
  <c r="E55" i="4"/>
  <c r="G55" i="4" s="1"/>
  <c r="G42" i="4"/>
  <c r="H42" i="4" s="1"/>
  <c r="G49" i="4"/>
  <c r="I49" i="4" s="1"/>
  <c r="H49" i="4"/>
  <c r="G50" i="4"/>
  <c r="I50" i="4" s="1"/>
  <c r="H50" i="4"/>
  <c r="E40" i="4"/>
  <c r="G40" i="4" s="1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G39" i="6" s="1"/>
  <c r="I39" i="6" s="1"/>
  <c r="E22" i="6"/>
  <c r="E23" i="6"/>
  <c r="G23" i="6" s="1"/>
  <c r="E24" i="6"/>
  <c r="E25" i="6"/>
  <c r="G25" i="6" s="1"/>
  <c r="E26" i="6"/>
  <c r="G26" i="6" s="1"/>
  <c r="E27" i="6"/>
  <c r="G27" i="6" s="1"/>
  <c r="E28" i="6"/>
  <c r="G28" i="6" s="1"/>
  <c r="E29" i="6"/>
  <c r="G29" i="6" s="1"/>
  <c r="E30" i="6"/>
  <c r="E31" i="6"/>
  <c r="G31" i="6" s="1"/>
  <c r="E32" i="6"/>
  <c r="E33" i="6"/>
  <c r="G33" i="6" s="1"/>
  <c r="E34" i="6"/>
  <c r="E35" i="6"/>
  <c r="G35" i="6" s="1"/>
  <c r="E21" i="6"/>
  <c r="E22" i="5"/>
  <c r="G22" i="5" s="1"/>
  <c r="H22" i="5" s="1"/>
  <c r="E23" i="5"/>
  <c r="G23" i="5" s="1"/>
  <c r="E24" i="5"/>
  <c r="E25" i="5"/>
  <c r="G25" i="5" s="1"/>
  <c r="E26" i="5"/>
  <c r="G26" i="5" s="1"/>
  <c r="E27" i="5"/>
  <c r="G27" i="5" s="1"/>
  <c r="E28" i="5"/>
  <c r="G28" i="5" s="1"/>
  <c r="H28" i="5" s="1"/>
  <c r="E29" i="5"/>
  <c r="G29" i="5" s="1"/>
  <c r="E30" i="5"/>
  <c r="G30" i="5" s="1"/>
  <c r="I30" i="5" s="1"/>
  <c r="E31" i="5"/>
  <c r="G31" i="5" s="1"/>
  <c r="H31" i="5" s="1"/>
  <c r="E32" i="5"/>
  <c r="G32" i="5" s="1"/>
  <c r="H32" i="5" s="1"/>
  <c r="E33" i="5"/>
  <c r="G33" i="5" s="1"/>
  <c r="E34" i="5"/>
  <c r="G34" i="5" s="1"/>
  <c r="I34" i="5" s="1"/>
  <c r="E35" i="5"/>
  <c r="G35" i="5" s="1"/>
  <c r="G24" i="5"/>
  <c r="H24" i="5" s="1"/>
  <c r="E21" i="5"/>
  <c r="G21" i="5" s="1"/>
  <c r="E22" i="4"/>
  <c r="G22" i="4" s="1"/>
  <c r="E23" i="4"/>
  <c r="G23" i="4" s="1"/>
  <c r="E24" i="4"/>
  <c r="G24" i="4" s="1"/>
  <c r="H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H32" i="4" s="1"/>
  <c r="E33" i="4"/>
  <c r="G33" i="4" s="1"/>
  <c r="E34" i="4"/>
  <c r="G34" i="4" s="1"/>
  <c r="E35" i="4"/>
  <c r="G35" i="4" s="1"/>
  <c r="H35" i="4" s="1"/>
  <c r="E36" i="4"/>
  <c r="G36" i="4" s="1"/>
  <c r="E21" i="4"/>
  <c r="G21" i="4" s="1"/>
  <c r="E22" i="3"/>
  <c r="G22" i="3" s="1"/>
  <c r="E23" i="3"/>
  <c r="G23" i="3" s="1"/>
  <c r="E24" i="3"/>
  <c r="E25" i="3"/>
  <c r="G25" i="3" s="1"/>
  <c r="E26" i="3"/>
  <c r="G26" i="3" s="1"/>
  <c r="E27" i="3"/>
  <c r="G27" i="3" s="1"/>
  <c r="E28" i="3"/>
  <c r="G28" i="3" s="1"/>
  <c r="H28" i="3" s="1"/>
  <c r="E29" i="3"/>
  <c r="G29" i="3" s="1"/>
  <c r="E30" i="3"/>
  <c r="G30" i="3" s="1"/>
  <c r="E31" i="3"/>
  <c r="G31" i="3" s="1"/>
  <c r="H31" i="3" s="1"/>
  <c r="E32" i="3"/>
  <c r="G32" i="3" s="1"/>
  <c r="E33" i="3"/>
  <c r="G33" i="3" s="1"/>
  <c r="E34" i="3"/>
  <c r="G34" i="3" s="1"/>
  <c r="I34" i="3" s="1"/>
  <c r="E35" i="3"/>
  <c r="G35" i="3" s="1"/>
  <c r="E21" i="3"/>
  <c r="G21" i="3" s="1"/>
  <c r="I21" i="3" s="1"/>
  <c r="Y47" i="10" l="1"/>
  <c r="I48" i="4"/>
  <c r="H48" i="4"/>
  <c r="I40" i="4"/>
  <c r="H40" i="4"/>
  <c r="Y52" i="10"/>
  <c r="Z52" i="10" s="1"/>
  <c r="K46" i="10"/>
  <c r="L46" i="10" s="1"/>
  <c r="K54" i="10"/>
  <c r="L54" i="10" s="1"/>
  <c r="I42" i="4"/>
  <c r="K55" i="10"/>
  <c r="Y46" i="10"/>
  <c r="K47" i="10"/>
  <c r="M47" i="10" s="1"/>
  <c r="Y33" i="10"/>
  <c r="Z33" i="10" s="1"/>
  <c r="Y25" i="10"/>
  <c r="Z25" i="10" s="1"/>
  <c r="Y36" i="10"/>
  <c r="K26" i="10"/>
  <c r="L26" i="10" s="1"/>
  <c r="Y24" i="10"/>
  <c r="Z24" i="10" s="1"/>
  <c r="K23" i="10"/>
  <c r="M23" i="10" s="1"/>
  <c r="K22" i="10"/>
  <c r="M22" i="10" s="1"/>
  <c r="Y30" i="10"/>
  <c r="Z30" i="10" s="1"/>
  <c r="Y29" i="10"/>
  <c r="AA29" i="10" s="1"/>
  <c r="Y34" i="10"/>
  <c r="Z34" i="10" s="1"/>
  <c r="Y26" i="10"/>
  <c r="AA26" i="10" s="1"/>
  <c r="Y28" i="10"/>
  <c r="AA28" i="10" s="1"/>
  <c r="Y31" i="10"/>
  <c r="AA31" i="10" s="1"/>
  <c r="K31" i="10"/>
  <c r="L31" i="10" s="1"/>
  <c r="Y22" i="10"/>
  <c r="AA22" i="10" s="1"/>
  <c r="K52" i="6"/>
  <c r="L52" i="6" s="1"/>
  <c r="K48" i="6"/>
  <c r="L48" i="6" s="1"/>
  <c r="K40" i="6"/>
  <c r="L40" i="6" s="1"/>
  <c r="K42" i="6"/>
  <c r="L42" i="6" s="1"/>
  <c r="K39" i="6"/>
  <c r="L39" i="6" s="1"/>
  <c r="K50" i="6"/>
  <c r="L50" i="6" s="1"/>
  <c r="H34" i="5"/>
  <c r="H30" i="5"/>
  <c r="H23" i="5"/>
  <c r="I23" i="5"/>
  <c r="I29" i="5"/>
  <c r="H29" i="5"/>
  <c r="I21" i="5"/>
  <c r="H21" i="5"/>
  <c r="I25" i="5"/>
  <c r="H25" i="5"/>
  <c r="U21" i="10"/>
  <c r="W21" i="10" s="1"/>
  <c r="U35" i="10"/>
  <c r="V35" i="10" s="1"/>
  <c r="U27" i="10"/>
  <c r="V27" i="10" s="1"/>
  <c r="U40" i="10"/>
  <c r="W40" i="10" s="1"/>
  <c r="U48" i="10"/>
  <c r="W48" i="10" s="1"/>
  <c r="U54" i="10"/>
  <c r="W54" i="10" s="1"/>
  <c r="U53" i="10"/>
  <c r="W53" i="10" s="1"/>
  <c r="U45" i="10"/>
  <c r="V45" i="10" s="1"/>
  <c r="U51" i="10"/>
  <c r="V51" i="10" s="1"/>
  <c r="U43" i="10"/>
  <c r="W43" i="10" s="1"/>
  <c r="U50" i="10"/>
  <c r="W50" i="10" s="1"/>
  <c r="U42" i="10"/>
  <c r="W42" i="10" s="1"/>
  <c r="U49" i="10"/>
  <c r="V49" i="10" s="1"/>
  <c r="U41" i="10"/>
  <c r="W41" i="10" s="1"/>
  <c r="Y21" i="10"/>
  <c r="Z21" i="10" s="1"/>
  <c r="Y35" i="10"/>
  <c r="Y27" i="10"/>
  <c r="Y32" i="10"/>
  <c r="AA32" i="10" s="1"/>
  <c r="Y23" i="10"/>
  <c r="Z23" i="10" s="1"/>
  <c r="U44" i="10"/>
  <c r="Y40" i="10"/>
  <c r="AA40" i="10" s="1"/>
  <c r="U55" i="10"/>
  <c r="U47" i="10"/>
  <c r="U52" i="10"/>
  <c r="U46" i="10"/>
  <c r="U33" i="10"/>
  <c r="U34" i="10"/>
  <c r="V34" i="10" s="1"/>
  <c r="U30" i="10"/>
  <c r="U26" i="10"/>
  <c r="V26" i="10" s="1"/>
  <c r="U22" i="10"/>
  <c r="V22" i="10" s="1"/>
  <c r="U36" i="10"/>
  <c r="V36" i="10" s="1"/>
  <c r="U29" i="10"/>
  <c r="U32" i="10"/>
  <c r="V32" i="10" s="1"/>
  <c r="U25" i="10"/>
  <c r="U24" i="10"/>
  <c r="W24" i="10" s="1"/>
  <c r="U31" i="10"/>
  <c r="V31" i="10" s="1"/>
  <c r="U23" i="10"/>
  <c r="V23" i="10" s="1"/>
  <c r="Y41" i="10"/>
  <c r="AA41" i="10" s="1"/>
  <c r="Y42" i="10"/>
  <c r="Z42" i="10" s="1"/>
  <c r="Y48" i="10"/>
  <c r="AA48" i="10" s="1"/>
  <c r="Y43" i="10"/>
  <c r="AA43" i="10" s="1"/>
  <c r="Y50" i="10"/>
  <c r="Z50" i="10" s="1"/>
  <c r="Y51" i="10"/>
  <c r="Z51" i="10" s="1"/>
  <c r="Y49" i="10"/>
  <c r="AA49" i="10" s="1"/>
  <c r="AA44" i="10"/>
  <c r="Z44" i="10"/>
  <c r="AA55" i="10"/>
  <c r="Z55" i="10"/>
  <c r="AA46" i="10"/>
  <c r="Z46" i="10"/>
  <c r="Z47" i="10"/>
  <c r="AA47" i="10"/>
  <c r="Y54" i="10"/>
  <c r="Y45" i="10"/>
  <c r="Y53" i="10"/>
  <c r="W35" i="10"/>
  <c r="U28" i="10"/>
  <c r="V28" i="10" s="1"/>
  <c r="V21" i="10"/>
  <c r="G22" i="10"/>
  <c r="I22" i="10" s="1"/>
  <c r="G26" i="10"/>
  <c r="H26" i="10" s="1"/>
  <c r="K35" i="10"/>
  <c r="K30" i="10"/>
  <c r="M30" i="10" s="1"/>
  <c r="G31" i="10"/>
  <c r="I31" i="10" s="1"/>
  <c r="K29" i="10"/>
  <c r="M29" i="10" s="1"/>
  <c r="K36" i="10"/>
  <c r="K24" i="10"/>
  <c r="L24" i="10" s="1"/>
  <c r="K32" i="10"/>
  <c r="L32" i="10" s="1"/>
  <c r="K27" i="10"/>
  <c r="G23" i="10"/>
  <c r="I23" i="10" s="1"/>
  <c r="K33" i="10"/>
  <c r="K28" i="10"/>
  <c r="K21" i="10"/>
  <c r="K34" i="10"/>
  <c r="K25" i="10"/>
  <c r="M41" i="10"/>
  <c r="L41" i="10"/>
  <c r="H42" i="10"/>
  <c r="I42" i="10"/>
  <c r="M44" i="10"/>
  <c r="L44" i="10"/>
  <c r="H52" i="10"/>
  <c r="I52" i="10"/>
  <c r="H45" i="10"/>
  <c r="I45" i="10"/>
  <c r="H53" i="10"/>
  <c r="I53" i="10"/>
  <c r="L55" i="10"/>
  <c r="M55" i="10"/>
  <c r="I40" i="10"/>
  <c r="H40" i="10"/>
  <c r="I48" i="10"/>
  <c r="H48" i="10"/>
  <c r="H49" i="10"/>
  <c r="I49" i="10"/>
  <c r="M50" i="10"/>
  <c r="L50" i="10"/>
  <c r="L43" i="10"/>
  <c r="M43" i="10"/>
  <c r="K49" i="10"/>
  <c r="K45" i="10"/>
  <c r="G50" i="10"/>
  <c r="G47" i="10"/>
  <c r="G41" i="10"/>
  <c r="K53" i="10"/>
  <c r="G44" i="10"/>
  <c r="K48" i="10"/>
  <c r="G43" i="10"/>
  <c r="H43" i="10" s="1"/>
  <c r="K40" i="10"/>
  <c r="K52" i="10"/>
  <c r="G55" i="10"/>
  <c r="G46" i="10"/>
  <c r="K51" i="10"/>
  <c r="K42" i="10"/>
  <c r="G54" i="10"/>
  <c r="I51" i="10"/>
  <c r="H34" i="10"/>
  <c r="I34" i="10"/>
  <c r="I30" i="10"/>
  <c r="H30" i="10"/>
  <c r="H29" i="10"/>
  <c r="I21" i="10"/>
  <c r="H21" i="10"/>
  <c r="H32" i="10"/>
  <c r="I24" i="10"/>
  <c r="H27" i="10"/>
  <c r="H35" i="10"/>
  <c r="H25" i="10"/>
  <c r="H33" i="10"/>
  <c r="H28" i="10"/>
  <c r="H36" i="10"/>
  <c r="O45" i="7"/>
  <c r="Q45" i="7" s="1"/>
  <c r="P40" i="7"/>
  <c r="I68" i="7"/>
  <c r="I58" i="7"/>
  <c r="Q44" i="7"/>
  <c r="P44" i="7"/>
  <c r="H66" i="7"/>
  <c r="I66" i="7"/>
  <c r="P46" i="7"/>
  <c r="G70" i="7"/>
  <c r="G62" i="7"/>
  <c r="P45" i="7"/>
  <c r="H69" i="7"/>
  <c r="G67" i="7"/>
  <c r="O48" i="7"/>
  <c r="O42" i="7"/>
  <c r="P42" i="7" s="1"/>
  <c r="H14" i="9"/>
  <c r="H6" i="9"/>
  <c r="I15" i="9"/>
  <c r="I7" i="9"/>
  <c r="H3" i="9"/>
  <c r="K42" i="3"/>
  <c r="L42" i="3" s="1"/>
  <c r="I43" i="3"/>
  <c r="H43" i="3"/>
  <c r="I48" i="3"/>
  <c r="H45" i="3"/>
  <c r="I45" i="3"/>
  <c r="H51" i="3"/>
  <c r="I51" i="3"/>
  <c r="H44" i="3"/>
  <c r="I44" i="3"/>
  <c r="H53" i="3"/>
  <c r="I53" i="3"/>
  <c r="H41" i="3"/>
  <c r="I41" i="3"/>
  <c r="I52" i="3"/>
  <c r="H52" i="3"/>
  <c r="H47" i="3"/>
  <c r="I49" i="3"/>
  <c r="I46" i="3"/>
  <c r="I40" i="3"/>
  <c r="K48" i="3"/>
  <c r="K40" i="3"/>
  <c r="K47" i="3"/>
  <c r="K39" i="3"/>
  <c r="K46" i="3"/>
  <c r="G24" i="3"/>
  <c r="H24" i="3" s="1"/>
  <c r="K53" i="3"/>
  <c r="K45" i="3"/>
  <c r="K52" i="3"/>
  <c r="K44" i="3"/>
  <c r="K51" i="3"/>
  <c r="K43" i="3"/>
  <c r="K50" i="3"/>
  <c r="K49" i="3"/>
  <c r="K41" i="3"/>
  <c r="H30" i="8"/>
  <c r="I30" i="8"/>
  <c r="H34" i="8"/>
  <c r="H24" i="8"/>
  <c r="I24" i="8"/>
  <c r="H22" i="8"/>
  <c r="I22" i="8"/>
  <c r="H28" i="8"/>
  <c r="I28" i="8"/>
  <c r="I21" i="8"/>
  <c r="H21" i="8"/>
  <c r="H26" i="8"/>
  <c r="I26" i="8"/>
  <c r="I32" i="8"/>
  <c r="H27" i="8"/>
  <c r="I27" i="8"/>
  <c r="I33" i="8"/>
  <c r="H33" i="8"/>
  <c r="I23" i="8"/>
  <c r="H23" i="8"/>
  <c r="H29" i="8"/>
  <c r="I29" i="8"/>
  <c r="I35" i="8"/>
  <c r="H35" i="8"/>
  <c r="H25" i="8"/>
  <c r="I25" i="8"/>
  <c r="I31" i="8"/>
  <c r="H31" i="8"/>
  <c r="H61" i="7"/>
  <c r="I61" i="7"/>
  <c r="P49" i="7"/>
  <c r="Q49" i="7"/>
  <c r="I60" i="7"/>
  <c r="H60" i="7"/>
  <c r="Q41" i="7"/>
  <c r="P41" i="7"/>
  <c r="Q53" i="7"/>
  <c r="P53" i="7"/>
  <c r="H63" i="7"/>
  <c r="I63" i="7"/>
  <c r="Q47" i="7"/>
  <c r="P47" i="7"/>
  <c r="P52" i="7"/>
  <c r="Q52" i="7"/>
  <c r="O43" i="7"/>
  <c r="G65" i="7"/>
  <c r="G59" i="7"/>
  <c r="Q50" i="7"/>
  <c r="Q42" i="7"/>
  <c r="G57" i="7"/>
  <c r="P39" i="7"/>
  <c r="G34" i="6"/>
  <c r="H34" i="6" s="1"/>
  <c r="G30" i="6"/>
  <c r="H30" i="6" s="1"/>
  <c r="H28" i="6"/>
  <c r="I28" i="6"/>
  <c r="H26" i="6"/>
  <c r="I26" i="6"/>
  <c r="G40" i="6"/>
  <c r="I40" i="6" s="1"/>
  <c r="G48" i="6"/>
  <c r="I48" i="6" s="1"/>
  <c r="K46" i="6"/>
  <c r="L46" i="6" s="1"/>
  <c r="G41" i="6"/>
  <c r="I41" i="6" s="1"/>
  <c r="G49" i="6"/>
  <c r="I49" i="6" s="1"/>
  <c r="K53" i="6"/>
  <c r="L53" i="6" s="1"/>
  <c r="K45" i="6"/>
  <c r="L45" i="6" s="1"/>
  <c r="G21" i="6"/>
  <c r="G32" i="6"/>
  <c r="G24" i="6"/>
  <c r="G42" i="6"/>
  <c r="I42" i="6" s="1"/>
  <c r="G50" i="6"/>
  <c r="I50" i="6" s="1"/>
  <c r="K44" i="6"/>
  <c r="L44" i="6" s="1"/>
  <c r="G43" i="6"/>
  <c r="I43" i="6" s="1"/>
  <c r="G51" i="6"/>
  <c r="I51" i="6" s="1"/>
  <c r="K51" i="6"/>
  <c r="L51" i="6" s="1"/>
  <c r="K43" i="6"/>
  <c r="L43" i="6" s="1"/>
  <c r="G44" i="6"/>
  <c r="I44" i="6" s="1"/>
  <c r="G52" i="6"/>
  <c r="I52" i="6" s="1"/>
  <c r="I30" i="6"/>
  <c r="G22" i="6"/>
  <c r="H22" i="6" s="1"/>
  <c r="G45" i="6"/>
  <c r="I45" i="6" s="1"/>
  <c r="G53" i="6"/>
  <c r="I53" i="6" s="1"/>
  <c r="K49" i="6"/>
  <c r="L49" i="6" s="1"/>
  <c r="K41" i="6"/>
  <c r="L41" i="6" s="1"/>
  <c r="G46" i="6"/>
  <c r="I46" i="6" s="1"/>
  <c r="G47" i="6"/>
  <c r="I47" i="6" s="1"/>
  <c r="K47" i="6"/>
  <c r="L47" i="6" s="1"/>
  <c r="I68" i="4"/>
  <c r="H68" i="4"/>
  <c r="I60" i="4"/>
  <c r="H60" i="4"/>
  <c r="I65" i="4"/>
  <c r="H65" i="4"/>
  <c r="I67" i="4"/>
  <c r="H67" i="4"/>
  <c r="H61" i="4"/>
  <c r="I61" i="4"/>
  <c r="I69" i="4"/>
  <c r="H69" i="4"/>
  <c r="I74" i="4"/>
  <c r="H63" i="4"/>
  <c r="I63" i="4"/>
  <c r="I71" i="4"/>
  <c r="H71" i="4"/>
  <c r="H64" i="4"/>
  <c r="I64" i="4"/>
  <c r="H72" i="4"/>
  <c r="I72" i="4"/>
  <c r="H73" i="4"/>
  <c r="I73" i="4"/>
  <c r="I66" i="4"/>
  <c r="H66" i="4"/>
  <c r="I59" i="4"/>
  <c r="H59" i="4"/>
  <c r="I70" i="4"/>
  <c r="I62" i="4"/>
  <c r="L39" i="7"/>
  <c r="I50" i="3"/>
  <c r="I42" i="3"/>
  <c r="H39" i="3"/>
  <c r="H39" i="7"/>
  <c r="H55" i="4"/>
  <c r="I55" i="4"/>
  <c r="I47" i="4"/>
  <c r="H47" i="4"/>
  <c r="H54" i="4"/>
  <c r="I54" i="4"/>
  <c r="H46" i="4"/>
  <c r="I46" i="4"/>
  <c r="H53" i="4"/>
  <c r="I53" i="4"/>
  <c r="H45" i="4"/>
  <c r="I45" i="4"/>
  <c r="H52" i="4"/>
  <c r="I52" i="4"/>
  <c r="H41" i="4"/>
  <c r="I41" i="4"/>
  <c r="I44" i="4"/>
  <c r="I51" i="4"/>
  <c r="I43" i="4"/>
  <c r="H36" i="4"/>
  <c r="I36" i="4"/>
  <c r="H28" i="4"/>
  <c r="I28" i="4"/>
  <c r="H27" i="4"/>
  <c r="I27" i="4"/>
  <c r="H34" i="4"/>
  <c r="I34" i="4"/>
  <c r="H26" i="4"/>
  <c r="I26" i="4"/>
  <c r="H33" i="4"/>
  <c r="I33" i="4"/>
  <c r="H25" i="4"/>
  <c r="I25" i="4"/>
  <c r="H31" i="4"/>
  <c r="I31" i="4"/>
  <c r="H23" i="4"/>
  <c r="I23" i="4"/>
  <c r="H30" i="4"/>
  <c r="I30" i="4"/>
  <c r="H22" i="4"/>
  <c r="I22" i="4"/>
  <c r="I21" i="4"/>
  <c r="H21" i="4"/>
  <c r="I29" i="4"/>
  <c r="H29" i="4"/>
  <c r="I35" i="4"/>
  <c r="H39" i="6"/>
  <c r="H43" i="6"/>
  <c r="H33" i="6"/>
  <c r="I33" i="6"/>
  <c r="H29" i="6"/>
  <c r="I29" i="6"/>
  <c r="H25" i="6"/>
  <c r="I25" i="6"/>
  <c r="H31" i="6"/>
  <c r="I31" i="6"/>
  <c r="H27" i="6"/>
  <c r="I27" i="6"/>
  <c r="H23" i="6"/>
  <c r="I23" i="6"/>
  <c r="H35" i="6"/>
  <c r="I35" i="6"/>
  <c r="I34" i="6"/>
  <c r="H35" i="5"/>
  <c r="I35" i="5"/>
  <c r="H27" i="5"/>
  <c r="I27" i="5"/>
  <c r="H26" i="5"/>
  <c r="I26" i="5"/>
  <c r="H33" i="5"/>
  <c r="I33" i="5"/>
  <c r="I31" i="5"/>
  <c r="I28" i="5"/>
  <c r="I22" i="5"/>
  <c r="I32" i="5"/>
  <c r="I24" i="5"/>
  <c r="I32" i="4"/>
  <c r="I24" i="4"/>
  <c r="I26" i="3"/>
  <c r="H26" i="3"/>
  <c r="H23" i="3"/>
  <c r="I23" i="3"/>
  <c r="I35" i="3"/>
  <c r="H35" i="3"/>
  <c r="H34" i="3"/>
  <c r="H33" i="3"/>
  <c r="I33" i="3"/>
  <c r="H25" i="3"/>
  <c r="I25" i="3"/>
  <c r="H30" i="3"/>
  <c r="I30" i="3"/>
  <c r="I22" i="3"/>
  <c r="H22" i="3"/>
  <c r="I29" i="3"/>
  <c r="H29" i="3"/>
  <c r="H27" i="3"/>
  <c r="I27" i="3"/>
  <c r="I31" i="3"/>
  <c r="I28" i="3"/>
  <c r="H21" i="3"/>
  <c r="I32" i="3"/>
  <c r="I24" i="3"/>
  <c r="L47" i="10" l="1"/>
  <c r="M54" i="10"/>
  <c r="M46" i="10"/>
  <c r="AA52" i="10"/>
  <c r="W27" i="10"/>
  <c r="AA33" i="10"/>
  <c r="AD52" i="10" s="1"/>
  <c r="AG56" i="10" s="1"/>
  <c r="AA25" i="10"/>
  <c r="AD44" i="10" s="1"/>
  <c r="AG42" i="10" s="1"/>
  <c r="M26" i="10"/>
  <c r="Z22" i="10"/>
  <c r="L23" i="10"/>
  <c r="Z31" i="10"/>
  <c r="L22" i="10"/>
  <c r="M31" i="10"/>
  <c r="AA24" i="10"/>
  <c r="AD43" i="10" s="1"/>
  <c r="AG48" i="10" s="1"/>
  <c r="L30" i="10"/>
  <c r="Z26" i="10"/>
  <c r="Z29" i="10"/>
  <c r="AA30" i="10"/>
  <c r="AD49" i="10" s="1"/>
  <c r="AG43" i="10" s="1"/>
  <c r="Z28" i="10"/>
  <c r="AA34" i="10"/>
  <c r="AD48" i="10"/>
  <c r="AG52" i="10" s="1"/>
  <c r="H47" i="6"/>
  <c r="H53" i="6"/>
  <c r="H22" i="10"/>
  <c r="W22" i="10"/>
  <c r="AA21" i="10"/>
  <c r="AD40" i="10" s="1"/>
  <c r="AG47" i="10" s="1"/>
  <c r="W28" i="10"/>
  <c r="W34" i="10"/>
  <c r="AA23" i="10"/>
  <c r="Z32" i="10"/>
  <c r="W31" i="10"/>
  <c r="Z40" i="10"/>
  <c r="AD41" i="10"/>
  <c r="AG40" i="10" s="1"/>
  <c r="AD47" i="10"/>
  <c r="AG51" i="10" s="1"/>
  <c r="V42" i="10"/>
  <c r="V50" i="10"/>
  <c r="W51" i="10"/>
  <c r="V41" i="10"/>
  <c r="V53" i="10"/>
  <c r="W49" i="10"/>
  <c r="W33" i="10"/>
  <c r="V33" i="10"/>
  <c r="W32" i="10"/>
  <c r="W30" i="10"/>
  <c r="V30" i="10"/>
  <c r="Z41" i="10"/>
  <c r="W36" i="10"/>
  <c r="W45" i="10"/>
  <c r="V43" i="10"/>
  <c r="W23" i="10"/>
  <c r="W26" i="10"/>
  <c r="V48" i="10"/>
  <c r="V24" i="10"/>
  <c r="W25" i="10"/>
  <c r="V25" i="10"/>
  <c r="V29" i="10"/>
  <c r="W29" i="10"/>
  <c r="V54" i="10"/>
  <c r="Z48" i="10"/>
  <c r="AA50" i="10"/>
  <c r="AD50" i="10" s="1"/>
  <c r="AG44" i="10" s="1"/>
  <c r="AA42" i="10"/>
  <c r="Z43" i="10"/>
  <c r="Z49" i="10"/>
  <c r="V40" i="10"/>
  <c r="AA51" i="10"/>
  <c r="AD51" i="10" s="1"/>
  <c r="AG55" i="10" s="1"/>
  <c r="Z54" i="10"/>
  <c r="AA54" i="10"/>
  <c r="W55" i="10"/>
  <c r="V55" i="10"/>
  <c r="W44" i="10"/>
  <c r="V44" i="10"/>
  <c r="W47" i="10"/>
  <c r="V47" i="10"/>
  <c r="W52" i="10"/>
  <c r="V52" i="10"/>
  <c r="AA53" i="10"/>
  <c r="Z53" i="10"/>
  <c r="Z45" i="10"/>
  <c r="AA45" i="10"/>
  <c r="AD45" i="10" s="1"/>
  <c r="AG49" i="10" s="1"/>
  <c r="V46" i="10"/>
  <c r="W46" i="10"/>
  <c r="AA27" i="10"/>
  <c r="AD46" i="10" s="1"/>
  <c r="AG50" i="10" s="1"/>
  <c r="Z27" i="10"/>
  <c r="AA36" i="10"/>
  <c r="AD55" i="10" s="1"/>
  <c r="AG59" i="10" s="1"/>
  <c r="Z36" i="10"/>
  <c r="Z35" i="10"/>
  <c r="AA35" i="10"/>
  <c r="I26" i="10"/>
  <c r="L29" i="10"/>
  <c r="H31" i="10"/>
  <c r="H23" i="10"/>
  <c r="M32" i="10"/>
  <c r="M24" i="10"/>
  <c r="M35" i="10"/>
  <c r="L35" i="10"/>
  <c r="M36" i="10"/>
  <c r="L36" i="10"/>
  <c r="M27" i="10"/>
  <c r="L27" i="10"/>
  <c r="L25" i="10"/>
  <c r="M25" i="10"/>
  <c r="L34" i="10"/>
  <c r="M34" i="10"/>
  <c r="M21" i="10"/>
  <c r="L21" i="10"/>
  <c r="L28" i="10"/>
  <c r="M28" i="10"/>
  <c r="L33" i="10"/>
  <c r="M33" i="10"/>
  <c r="M49" i="10"/>
  <c r="L49" i="10"/>
  <c r="H54" i="10"/>
  <c r="I54" i="10"/>
  <c r="L48" i="10"/>
  <c r="M48" i="10"/>
  <c r="M42" i="10"/>
  <c r="L42" i="10"/>
  <c r="H44" i="10"/>
  <c r="I44" i="10"/>
  <c r="L51" i="10"/>
  <c r="M51" i="10"/>
  <c r="M53" i="10"/>
  <c r="L53" i="10"/>
  <c r="H46" i="10"/>
  <c r="I46" i="10"/>
  <c r="I41" i="10"/>
  <c r="H41" i="10"/>
  <c r="H55" i="10"/>
  <c r="I55" i="10"/>
  <c r="I47" i="10"/>
  <c r="H47" i="10"/>
  <c r="M52" i="10"/>
  <c r="L52" i="10"/>
  <c r="I50" i="10"/>
  <c r="H50" i="10"/>
  <c r="I43" i="10"/>
  <c r="L40" i="10"/>
  <c r="M40" i="10"/>
  <c r="L45" i="10"/>
  <c r="M45" i="10"/>
  <c r="H62" i="7"/>
  <c r="I62" i="7"/>
  <c r="H70" i="7"/>
  <c r="I70" i="7"/>
  <c r="Q48" i="7"/>
  <c r="P48" i="7"/>
  <c r="I67" i="7"/>
  <c r="H67" i="7"/>
  <c r="M42" i="3"/>
  <c r="M47" i="3"/>
  <c r="L47" i="3"/>
  <c r="L44" i="3"/>
  <c r="M44" i="3"/>
  <c r="L48" i="3"/>
  <c r="M48" i="3"/>
  <c r="L53" i="3"/>
  <c r="M53" i="3"/>
  <c r="L49" i="3"/>
  <c r="M49" i="3"/>
  <c r="L51" i="3"/>
  <c r="M51" i="3"/>
  <c r="L40" i="3"/>
  <c r="M40" i="3"/>
  <c r="L52" i="3"/>
  <c r="M52" i="3"/>
  <c r="L45" i="3"/>
  <c r="M45" i="3"/>
  <c r="L41" i="3"/>
  <c r="M41" i="3"/>
  <c r="L50" i="3"/>
  <c r="M50" i="3"/>
  <c r="L46" i="3"/>
  <c r="M46" i="3"/>
  <c r="L43" i="3"/>
  <c r="M43" i="3"/>
  <c r="L39" i="3"/>
  <c r="M39" i="3"/>
  <c r="I59" i="7"/>
  <c r="H59" i="7"/>
  <c r="H65" i="7"/>
  <c r="I65" i="7"/>
  <c r="P43" i="7"/>
  <c r="Q43" i="7"/>
  <c r="I57" i="7"/>
  <c r="H57" i="7"/>
  <c r="I22" i="6"/>
  <c r="H49" i="6"/>
  <c r="H41" i="6"/>
  <c r="H50" i="6"/>
  <c r="H24" i="6"/>
  <c r="I24" i="6"/>
  <c r="H48" i="6"/>
  <c r="H32" i="6"/>
  <c r="I32" i="6"/>
  <c r="H46" i="6"/>
  <c r="H21" i="6"/>
  <c r="I21" i="6"/>
  <c r="H44" i="6"/>
  <c r="H52" i="6"/>
  <c r="H42" i="6"/>
  <c r="H40" i="6"/>
  <c r="H45" i="6"/>
  <c r="H51" i="6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1" i="2"/>
  <c r="AD53" i="10" l="1"/>
  <c r="AG57" i="10" s="1"/>
  <c r="AD42" i="10"/>
  <c r="AG41" i="10" s="1"/>
  <c r="AD54" i="10"/>
  <c r="AG58" i="10" s="1"/>
  <c r="E4" i="2"/>
  <c r="K22" i="2" s="1"/>
  <c r="E5" i="2"/>
  <c r="K23" i="2" s="1"/>
  <c r="E6" i="2"/>
  <c r="K24" i="2" s="1"/>
  <c r="E7" i="2"/>
  <c r="K25" i="2" s="1"/>
  <c r="E8" i="2"/>
  <c r="K26" i="2" s="1"/>
  <c r="E9" i="2"/>
  <c r="K27" i="2" s="1"/>
  <c r="E10" i="2"/>
  <c r="K28" i="2" s="1"/>
  <c r="E11" i="2"/>
  <c r="K29" i="2" s="1"/>
  <c r="E12" i="2"/>
  <c r="K30" i="2" s="1"/>
  <c r="E13" i="2"/>
  <c r="K31" i="2" s="1"/>
  <c r="E14" i="2"/>
  <c r="K32" i="2" s="1"/>
  <c r="M32" i="2" s="1"/>
  <c r="E15" i="2"/>
  <c r="K33" i="2" s="1"/>
  <c r="M33" i="2" s="1"/>
  <c r="E16" i="2"/>
  <c r="K34" i="2" s="1"/>
  <c r="M34" i="2" s="1"/>
  <c r="E17" i="2"/>
  <c r="K35" i="2" s="1"/>
  <c r="M35" i="2" s="1"/>
  <c r="E3" i="2"/>
  <c r="K21" i="2" s="1"/>
  <c r="E40" i="2"/>
  <c r="G22" i="2" s="1"/>
  <c r="H22" i="2" s="1"/>
  <c r="E41" i="2"/>
  <c r="G23" i="2" s="1"/>
  <c r="H23" i="2" s="1"/>
  <c r="E42" i="2"/>
  <c r="G24" i="2" s="1"/>
  <c r="H24" i="2" s="1"/>
  <c r="E43" i="2"/>
  <c r="G25" i="2" s="1"/>
  <c r="H25" i="2" s="1"/>
  <c r="E44" i="2"/>
  <c r="G26" i="2" s="1"/>
  <c r="H26" i="2" s="1"/>
  <c r="E45" i="2"/>
  <c r="G27" i="2" s="1"/>
  <c r="H27" i="2" s="1"/>
  <c r="E46" i="2"/>
  <c r="G28" i="2" s="1"/>
  <c r="H28" i="2" s="1"/>
  <c r="E47" i="2"/>
  <c r="G29" i="2" s="1"/>
  <c r="H29" i="2" s="1"/>
  <c r="E48" i="2"/>
  <c r="G30" i="2" s="1"/>
  <c r="H30" i="2" s="1"/>
  <c r="E49" i="2"/>
  <c r="G31" i="2" s="1"/>
  <c r="H31" i="2" s="1"/>
  <c r="E50" i="2"/>
  <c r="G32" i="2" s="1"/>
  <c r="H32" i="2" s="1"/>
  <c r="E51" i="2"/>
  <c r="G33" i="2" s="1"/>
  <c r="H33" i="2" s="1"/>
  <c r="E52" i="2"/>
  <c r="G34" i="2" s="1"/>
  <c r="H34" i="2" s="1"/>
  <c r="E53" i="2"/>
  <c r="G35" i="2" s="1"/>
  <c r="H35" i="2" s="1"/>
  <c r="E39" i="2"/>
  <c r="G21" i="2" s="1"/>
  <c r="H21" i="2" s="1"/>
  <c r="E40" i="1"/>
  <c r="K22" i="1" s="1"/>
  <c r="E41" i="1"/>
  <c r="K23" i="1" s="1"/>
  <c r="E42" i="1"/>
  <c r="K24" i="1" s="1"/>
  <c r="E43" i="1"/>
  <c r="K25" i="1" s="1"/>
  <c r="E44" i="1"/>
  <c r="K26" i="1" s="1"/>
  <c r="E45" i="1"/>
  <c r="K27" i="1" s="1"/>
  <c r="E46" i="1"/>
  <c r="K28" i="1" s="1"/>
  <c r="E47" i="1"/>
  <c r="K29" i="1" s="1"/>
  <c r="E48" i="1"/>
  <c r="K30" i="1" s="1"/>
  <c r="E49" i="1"/>
  <c r="K31" i="1" s="1"/>
  <c r="E50" i="1"/>
  <c r="K32" i="1" s="1"/>
  <c r="E51" i="1"/>
  <c r="K33" i="1" s="1"/>
  <c r="E52" i="1"/>
  <c r="K34" i="1" s="1"/>
  <c r="E53" i="1"/>
  <c r="K35" i="1" s="1"/>
  <c r="E39" i="1"/>
  <c r="K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21" i="1"/>
  <c r="G21" i="1" s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3" i="1"/>
  <c r="L24" i="2" l="1"/>
  <c r="M24" i="2"/>
  <c r="M23" i="2"/>
  <c r="L23" i="2"/>
  <c r="L30" i="2"/>
  <c r="M30" i="2"/>
  <c r="L29" i="2"/>
  <c r="M29" i="2"/>
  <c r="M21" i="2"/>
  <c r="L21" i="2"/>
  <c r="M27" i="2"/>
  <c r="L27" i="2"/>
  <c r="M26" i="2"/>
  <c r="L26" i="2"/>
  <c r="L28" i="2"/>
  <c r="M28" i="2"/>
  <c r="M25" i="2"/>
  <c r="L25" i="2"/>
  <c r="M31" i="2"/>
  <c r="L31" i="2"/>
  <c r="M22" i="2"/>
  <c r="L22" i="2"/>
  <c r="M21" i="1"/>
  <c r="L21" i="1"/>
  <c r="M28" i="1"/>
  <c r="L28" i="1"/>
  <c r="M35" i="1"/>
  <c r="L35" i="1"/>
  <c r="M27" i="1"/>
  <c r="L27" i="1"/>
  <c r="M34" i="1"/>
  <c r="L34" i="1"/>
  <c r="M26" i="1"/>
  <c r="L26" i="1"/>
  <c r="M33" i="1"/>
  <c r="L33" i="1"/>
  <c r="M25" i="1"/>
  <c r="L25" i="1"/>
  <c r="M32" i="1"/>
  <c r="L32" i="1"/>
  <c r="M24" i="1"/>
  <c r="L24" i="1"/>
  <c r="L31" i="1"/>
  <c r="M31" i="1"/>
  <c r="L23" i="1"/>
  <c r="M23" i="1"/>
  <c r="L30" i="1"/>
  <c r="M30" i="1"/>
  <c r="L22" i="1"/>
  <c r="M22" i="1"/>
  <c r="M29" i="1"/>
  <c r="L29" i="1"/>
  <c r="H21" i="1"/>
  <c r="I21" i="1"/>
  <c r="H28" i="1"/>
  <c r="I28" i="1"/>
  <c r="H35" i="1"/>
  <c r="I35" i="1"/>
  <c r="H27" i="1"/>
  <c r="I27" i="1"/>
  <c r="H34" i="1"/>
  <c r="I34" i="1"/>
  <c r="H26" i="1"/>
  <c r="I26" i="1"/>
  <c r="I33" i="1"/>
  <c r="H33" i="1"/>
  <c r="I25" i="1"/>
  <c r="H25" i="1"/>
  <c r="I32" i="1"/>
  <c r="H32" i="1"/>
  <c r="I24" i="1"/>
  <c r="H24" i="1"/>
  <c r="I31" i="1"/>
  <c r="H31" i="1"/>
  <c r="I23" i="1"/>
  <c r="H23" i="1"/>
  <c r="I30" i="1"/>
  <c r="H30" i="1"/>
  <c r="I22" i="1"/>
  <c r="H22" i="1"/>
  <c r="H29" i="1"/>
  <c r="I29" i="1"/>
</calcChain>
</file>

<file path=xl/sharedStrings.xml><?xml version="1.0" encoding="utf-8"?>
<sst xmlns="http://schemas.openxmlformats.org/spreadsheetml/2006/main" count="837" uniqueCount="66">
  <si>
    <t>faithfulness</t>
  </si>
  <si>
    <t>context_recall</t>
  </si>
  <si>
    <t>context_precision</t>
  </si>
  <si>
    <t>semantic_similarity</t>
  </si>
  <si>
    <t>context_entity_recall</t>
  </si>
  <si>
    <t>answer_relevancy</t>
  </si>
  <si>
    <t>BERT-F1</t>
  </si>
  <si>
    <t>BERT-Precision</t>
  </si>
  <si>
    <t>BERT-Recall</t>
  </si>
  <si>
    <t>MRR@5</t>
  </si>
  <si>
    <t>Hit@5</t>
  </si>
  <si>
    <t>latency</t>
  </si>
  <si>
    <t>Prompt Tokens (avg)</t>
  </si>
  <si>
    <t>Completion Tokens (avg)</t>
  </si>
  <si>
    <t>Total Tokens (avg)</t>
  </si>
  <si>
    <t>run1</t>
  </si>
  <si>
    <t>run2</t>
  </si>
  <si>
    <t>run3</t>
  </si>
  <si>
    <t>durchschnitt</t>
  </si>
  <si>
    <t>Differenz zu 1250/300</t>
  </si>
  <si>
    <t>in %</t>
  </si>
  <si>
    <t>rel in %</t>
  </si>
  <si>
    <t>+</t>
  </si>
  <si>
    <t>Differenz zu 1750/300</t>
  </si>
  <si>
    <t>Differenz zu 1500/200</t>
  </si>
  <si>
    <t>Differenz zu 1500/400</t>
  </si>
  <si>
    <t>-</t>
  </si>
  <si>
    <t>Dedup 90</t>
  </si>
  <si>
    <t>Differenz zu naive</t>
  </si>
  <si>
    <t>voyage</t>
  </si>
  <si>
    <t>ReRanking Tokens (avg)</t>
  </si>
  <si>
    <t>Differenz zu Naive</t>
  </si>
  <si>
    <t>hybrid</t>
  </si>
  <si>
    <t>lambda</t>
  </si>
  <si>
    <t>differenz zu naive</t>
  </si>
  <si>
    <t>differenz zu 90</t>
  </si>
  <si>
    <t>local</t>
  </si>
  <si>
    <t>percentile</t>
  </si>
  <si>
    <t>dedup 95</t>
  </si>
  <si>
    <t>Differenz zu dedup 90</t>
  </si>
  <si>
    <t>cohere</t>
  </si>
  <si>
    <t>percentile 15</t>
  </si>
  <si>
    <t>Differenz zu 05</t>
  </si>
  <si>
    <t>Differenz zu 15</t>
  </si>
  <si>
    <t>sparse</t>
  </si>
  <si>
    <t>min_size</t>
  </si>
  <si>
    <t>advanced</t>
  </si>
  <si>
    <t>Differenz zu reranking</t>
  </si>
  <si>
    <t>mit MMR</t>
  </si>
  <si>
    <t>Differenz zu mit MMR</t>
  </si>
  <si>
    <t>ohne MMR</t>
  </si>
  <si>
    <t>Differenz zu Marginal Voyage</t>
  </si>
  <si>
    <t>Retrieval</t>
  </si>
  <si>
    <t>Generation</t>
  </si>
  <si>
    <t>Faithfulness</t>
  </si>
  <si>
    <t>Semantic Similarity</t>
  </si>
  <si>
    <t>Answer Relevancy</t>
  </si>
  <si>
    <t>Bert-Precision</t>
  </si>
  <si>
    <t>Bert-Recall</t>
  </si>
  <si>
    <t>System</t>
  </si>
  <si>
    <t>Latency</t>
  </si>
  <si>
    <t>Prompt Tokens</t>
  </si>
  <si>
    <t>Completion</t>
  </si>
  <si>
    <t>Reranking</t>
  </si>
  <si>
    <t>Differenz zu 500</t>
  </si>
  <si>
    <t>Total Tokens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</si>
</sst>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workbookViewId="0">
      <selection activeCell="A19" sqref="A19:E35"/>
    </sheetView>
  </sheetViews>
  <sheetFormatPr baseColWidth="10" defaultColWidth="9.140625" defaultRowHeight="15" x14ac:dyDescent="0.25"/>
  <sheetData>
    <row r="1" spans="1:5" x14ac:dyDescent="0.25">
      <c r="A1">
        <v>1250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0.72450051159857431</v>
      </c>
      <c r="C3">
        <v>0.73342258864078069</v>
      </c>
      <c r="D3">
        <v>0.7202607290746561</v>
      </c>
      <c r="E3">
        <f>AVERAGE(B3:D3)</f>
        <v>0.72606127643800367</v>
      </c>
    </row>
    <row r="4" spans="1:5" x14ac:dyDescent="0.25">
      <c r="A4" t="s">
        <v>1</v>
      </c>
      <c r="B4">
        <v>0.63318965517241377</v>
      </c>
      <c r="C4">
        <v>0.62715517241379315</v>
      </c>
      <c r="D4">
        <v>0.63060344827586212</v>
      </c>
      <c r="E4">
        <f t="shared" ref="E4:E17" si="0">AVERAGE(B4:D4)</f>
        <v>0.63031609195402305</v>
      </c>
    </row>
    <row r="5" spans="1:5" x14ac:dyDescent="0.25">
      <c r="A5" t="s">
        <v>2</v>
      </c>
      <c r="B5">
        <v>0.59353448273191389</v>
      </c>
      <c r="C5">
        <v>0.5893438697052199</v>
      </c>
      <c r="D5">
        <v>0.56979166664181957</v>
      </c>
      <c r="E5">
        <f t="shared" si="0"/>
        <v>0.58422333969298446</v>
      </c>
    </row>
    <row r="6" spans="1:5" x14ac:dyDescent="0.25">
      <c r="A6" t="s">
        <v>3</v>
      </c>
      <c r="B6">
        <v>0.77176501439282807</v>
      </c>
      <c r="C6">
        <v>0.77176501439282807</v>
      </c>
      <c r="D6">
        <v>0.77176501439282807</v>
      </c>
      <c r="E6">
        <f t="shared" si="0"/>
        <v>0.77176501439282807</v>
      </c>
    </row>
    <row r="7" spans="1:5" x14ac:dyDescent="0.25">
      <c r="A7" t="s">
        <v>4</v>
      </c>
      <c r="B7">
        <v>0.26490393355153818</v>
      </c>
      <c r="C7">
        <v>0.26920166062911799</v>
      </c>
      <c r="D7">
        <v>0.25380933541853562</v>
      </c>
      <c r="E7">
        <f t="shared" si="0"/>
        <v>0.2626383098663973</v>
      </c>
    </row>
    <row r="8" spans="1:5" x14ac:dyDescent="0.25">
      <c r="A8" t="s">
        <v>5</v>
      </c>
      <c r="B8">
        <v>0.6130234830427701</v>
      </c>
      <c r="C8">
        <v>0.5941514038643938</v>
      </c>
      <c r="D8">
        <v>0.61474584207440597</v>
      </c>
      <c r="E8">
        <f t="shared" si="0"/>
        <v>0.60730690966052325</v>
      </c>
    </row>
    <row r="9" spans="1:5" x14ac:dyDescent="0.25">
      <c r="A9" t="s">
        <v>6</v>
      </c>
      <c r="B9">
        <v>0.25984886288642878</v>
      </c>
      <c r="C9">
        <v>0.25984886288642878</v>
      </c>
      <c r="D9">
        <v>0.25984886288642878</v>
      </c>
      <c r="E9">
        <f t="shared" si="0"/>
        <v>0.25984886288642878</v>
      </c>
    </row>
    <row r="10" spans="1:5" x14ac:dyDescent="0.25">
      <c r="A10" t="s">
        <v>7</v>
      </c>
      <c r="B10">
        <v>0.18848937749862671</v>
      </c>
      <c r="C10">
        <v>0.18848937749862671</v>
      </c>
      <c r="D10">
        <v>0.18848937749862671</v>
      </c>
      <c r="E10">
        <f t="shared" si="0"/>
        <v>0.18848937749862671</v>
      </c>
    </row>
    <row r="11" spans="1:5" x14ac:dyDescent="0.25">
      <c r="A11" t="s">
        <v>8</v>
      </c>
      <c r="B11">
        <v>0.33325964212417603</v>
      </c>
      <c r="C11">
        <v>0.33325964212417603</v>
      </c>
      <c r="D11">
        <v>0.33325964212417603</v>
      </c>
      <c r="E11">
        <f t="shared" si="0"/>
        <v>0.33325964212417603</v>
      </c>
    </row>
    <row r="12" spans="1:5" x14ac:dyDescent="0.25">
      <c r="A12" t="s">
        <v>9</v>
      </c>
      <c r="B12">
        <v>0.33390804597701151</v>
      </c>
      <c r="C12">
        <v>0.33390804597701151</v>
      </c>
      <c r="D12">
        <v>0.33390804597701151</v>
      </c>
      <c r="E12">
        <f t="shared" si="0"/>
        <v>0.33390804597701146</v>
      </c>
    </row>
    <row r="13" spans="1:5" x14ac:dyDescent="0.25">
      <c r="A13" t="s">
        <v>10</v>
      </c>
      <c r="B13">
        <v>0.47413793103448282</v>
      </c>
      <c r="C13">
        <v>0.47413793103448282</v>
      </c>
      <c r="D13">
        <v>0.47413793103448282</v>
      </c>
      <c r="E13">
        <f t="shared" si="0"/>
        <v>0.47413793103448282</v>
      </c>
    </row>
    <row r="14" spans="1:5" x14ac:dyDescent="0.25">
      <c r="A14" t="s">
        <v>11</v>
      </c>
      <c r="B14">
        <v>13.579839184366421</v>
      </c>
      <c r="C14">
        <v>14.0350410691623</v>
      </c>
      <c r="D14">
        <v>13.690169981841381</v>
      </c>
      <c r="E14">
        <f t="shared" si="0"/>
        <v>13.768350078456701</v>
      </c>
    </row>
    <row r="15" spans="1:5" x14ac:dyDescent="0.25">
      <c r="A15" t="s">
        <v>12</v>
      </c>
      <c r="B15">
        <v>2982.21551724138</v>
      </c>
      <c r="C15">
        <v>2945.21551724138</v>
      </c>
      <c r="D15">
        <v>2979.78448275862</v>
      </c>
      <c r="E15">
        <f t="shared" si="0"/>
        <v>2969.07183908046</v>
      </c>
    </row>
    <row r="16" spans="1:5" x14ac:dyDescent="0.25">
      <c r="A16" t="s">
        <v>13</v>
      </c>
      <c r="B16">
        <v>261.2844827586207</v>
      </c>
      <c r="C16">
        <v>257.86206896551732</v>
      </c>
      <c r="D16">
        <v>260.56034482758622</v>
      </c>
      <c r="E16">
        <f t="shared" si="0"/>
        <v>259.90229885057471</v>
      </c>
    </row>
    <row r="17" spans="1:14" x14ac:dyDescent="0.25">
      <c r="A17" t="s">
        <v>14</v>
      </c>
      <c r="B17">
        <v>3243.5</v>
      </c>
      <c r="C17">
        <v>3203.0775862068972</v>
      </c>
      <c r="D17">
        <v>3240.344827586207</v>
      </c>
      <c r="E17">
        <f t="shared" si="0"/>
        <v>3228.9741379310344</v>
      </c>
    </row>
    <row r="19" spans="1:14" x14ac:dyDescent="0.25">
      <c r="A19">
        <v>1500</v>
      </c>
      <c r="B19">
        <v>300</v>
      </c>
    </row>
    <row r="20" spans="1:14" x14ac:dyDescent="0.25">
      <c r="B20" t="s">
        <v>15</v>
      </c>
      <c r="C20" t="s">
        <v>16</v>
      </c>
      <c r="D20" t="s">
        <v>17</v>
      </c>
      <c r="E20" t="s">
        <v>18</v>
      </c>
      <c r="G20" t="s">
        <v>19</v>
      </c>
      <c r="H20" t="s">
        <v>20</v>
      </c>
      <c r="I20" t="s">
        <v>21</v>
      </c>
      <c r="K20" t="s">
        <v>23</v>
      </c>
      <c r="L20" t="s">
        <v>20</v>
      </c>
      <c r="M20" t="s">
        <v>21</v>
      </c>
    </row>
    <row r="21" spans="1:14" x14ac:dyDescent="0.25">
      <c r="A21" t="s">
        <v>0</v>
      </c>
      <c r="B21">
        <v>0.79246787671363317</v>
      </c>
      <c r="C21">
        <v>0.8275429592026422</v>
      </c>
      <c r="D21">
        <v>0.81529624985080884</v>
      </c>
      <c r="E21">
        <f>AVERAGE(B21:D21)</f>
        <v>0.81176902858902811</v>
      </c>
      <c r="G21">
        <f>E21-E3</f>
        <v>8.5707752151024441E-2</v>
      </c>
      <c r="H21">
        <f>G21*100</f>
        <v>8.5707752151024437</v>
      </c>
      <c r="I21">
        <f>G21/E3*100</f>
        <v>11.804479171716684</v>
      </c>
      <c r="J21" t="s">
        <v>22</v>
      </c>
      <c r="K21">
        <f>E21-E39</f>
        <v>3.6220375614608891E-2</v>
      </c>
      <c r="L21">
        <f>K21*100</f>
        <v>3.6220375614608891</v>
      </c>
      <c r="M21">
        <f>K21/E39*100</f>
        <v>4.6702905711582208</v>
      </c>
      <c r="N21" t="s">
        <v>22</v>
      </c>
    </row>
    <row r="22" spans="1:14" x14ac:dyDescent="0.25">
      <c r="A22" t="s">
        <v>1</v>
      </c>
      <c r="B22">
        <v>0.66884236453201973</v>
      </c>
      <c r="C22">
        <v>0.69240558292282417</v>
      </c>
      <c r="D22">
        <v>0.67588259441707721</v>
      </c>
      <c r="E22">
        <f t="shared" ref="E22:E35" si="1">AVERAGE(B22:D22)</f>
        <v>0.679043513957307</v>
      </c>
      <c r="G22">
        <f t="shared" ref="G22:G35" si="2">E22-E4</f>
        <v>4.8727422003283949E-2</v>
      </c>
      <c r="H22">
        <f t="shared" ref="H22:H35" si="3">G22*100</f>
        <v>4.8727422003283944</v>
      </c>
      <c r="I22">
        <f t="shared" ref="I22:I35" si="4">G22/E4*100</f>
        <v>7.7306327135367283</v>
      </c>
      <c r="J22" t="s">
        <v>22</v>
      </c>
      <c r="K22">
        <f t="shared" ref="K22:K35" si="5">E22-E40</f>
        <v>1.2520525451559905E-2</v>
      </c>
      <c r="L22">
        <f t="shared" ref="L22:L35" si="6">K22*100</f>
        <v>1.2520525451559905</v>
      </c>
      <c r="M22">
        <f t="shared" ref="M22:M35" si="7">K22/E40*100</f>
        <v>1.8784836633510875</v>
      </c>
    </row>
    <row r="23" spans="1:14" x14ac:dyDescent="0.25">
      <c r="A23" t="s">
        <v>2</v>
      </c>
      <c r="B23">
        <v>0.6454501915428289</v>
      </c>
      <c r="C23">
        <v>0.64476772027765861</v>
      </c>
      <c r="D23">
        <v>0.66059626433687291</v>
      </c>
      <c r="E23">
        <f t="shared" si="1"/>
        <v>0.65027139205245355</v>
      </c>
      <c r="G23">
        <f t="shared" si="2"/>
        <v>6.6048052359469089E-2</v>
      </c>
      <c r="H23">
        <f t="shared" si="3"/>
        <v>6.6048052359469089</v>
      </c>
      <c r="I23">
        <f t="shared" si="4"/>
        <v>11.305274519531869</v>
      </c>
      <c r="J23" t="s">
        <v>22</v>
      </c>
      <c r="K23">
        <f t="shared" si="5"/>
        <v>5.2115261810798064E-2</v>
      </c>
      <c r="L23">
        <f t="shared" si="6"/>
        <v>5.2115261810798064</v>
      </c>
      <c r="M23">
        <f t="shared" si="7"/>
        <v>8.7126519609091808</v>
      </c>
      <c r="N23" t="s">
        <v>22</v>
      </c>
    </row>
    <row r="24" spans="1:14" x14ac:dyDescent="0.25">
      <c r="A24" t="s">
        <v>3</v>
      </c>
      <c r="B24">
        <v>0.78325339797448446</v>
      </c>
      <c r="C24">
        <v>0.78363704159016601</v>
      </c>
      <c r="D24">
        <v>0.78502040682577623</v>
      </c>
      <c r="E24">
        <f t="shared" si="1"/>
        <v>0.78397028213014208</v>
      </c>
      <c r="G24">
        <f t="shared" si="2"/>
        <v>1.2205267737314007E-2</v>
      </c>
      <c r="H24">
        <f t="shared" si="3"/>
        <v>1.2205267737314007</v>
      </c>
      <c r="I24">
        <f t="shared" si="4"/>
        <v>1.5814746081637656</v>
      </c>
      <c r="J24" t="s">
        <v>22</v>
      </c>
      <c r="K24">
        <f t="shared" si="5"/>
        <v>7.0219585335873358E-3</v>
      </c>
      <c r="L24">
        <f t="shared" si="6"/>
        <v>0.70219585335873358</v>
      </c>
      <c r="M24">
        <f t="shared" si="7"/>
        <v>0.9037870757069324</v>
      </c>
    </row>
    <row r="25" spans="1:14" x14ac:dyDescent="0.25">
      <c r="A25" t="s">
        <v>4</v>
      </c>
      <c r="B25">
        <v>0.27494301244992542</v>
      </c>
      <c r="C25">
        <v>0.27255688400639683</v>
      </c>
      <c r="D25">
        <v>0.28298931571851671</v>
      </c>
      <c r="E25">
        <f t="shared" si="1"/>
        <v>0.27682973739161298</v>
      </c>
      <c r="G25">
        <f t="shared" si="2"/>
        <v>1.4191427525215683E-2</v>
      </c>
      <c r="H25">
        <f t="shared" si="3"/>
        <v>1.4191427525215683</v>
      </c>
      <c r="I25">
        <f t="shared" si="4"/>
        <v>5.4034110760287737</v>
      </c>
      <c r="J25" t="s">
        <v>22</v>
      </c>
      <c r="K25">
        <f t="shared" si="5"/>
        <v>2.3215468320293031E-2</v>
      </c>
      <c r="L25">
        <f t="shared" si="6"/>
        <v>2.3215468320293029</v>
      </c>
      <c r="M25">
        <f t="shared" si="7"/>
        <v>9.1538494286236354</v>
      </c>
      <c r="N25" t="s">
        <v>22</v>
      </c>
    </row>
    <row r="26" spans="1:14" x14ac:dyDescent="0.25">
      <c r="A26" t="s">
        <v>5</v>
      </c>
      <c r="B26">
        <v>0.74742497066814861</v>
      </c>
      <c r="C26">
        <v>0.76496011927799679</v>
      </c>
      <c r="D26">
        <v>0.77037520548290039</v>
      </c>
      <c r="E26">
        <f t="shared" si="1"/>
        <v>0.76092009847634856</v>
      </c>
      <c r="G26">
        <f t="shared" si="2"/>
        <v>0.15361318881582531</v>
      </c>
      <c r="H26">
        <f t="shared" si="3"/>
        <v>15.36131888158253</v>
      </c>
      <c r="I26">
        <f t="shared" si="4"/>
        <v>25.29416121771002</v>
      </c>
      <c r="J26" t="s">
        <v>22</v>
      </c>
      <c r="K26">
        <f t="shared" si="5"/>
        <v>7.1281059847749573E-2</v>
      </c>
      <c r="L26">
        <f t="shared" si="6"/>
        <v>7.1281059847749573</v>
      </c>
      <c r="M26">
        <f t="shared" si="7"/>
        <v>10.335995478083364</v>
      </c>
      <c r="N26" t="s">
        <v>22</v>
      </c>
    </row>
    <row r="27" spans="1:14" x14ac:dyDescent="0.25">
      <c r="A27" t="s">
        <v>6</v>
      </c>
      <c r="B27">
        <v>0.27737849950790411</v>
      </c>
      <c r="C27">
        <v>0.28412756323814392</v>
      </c>
      <c r="D27">
        <v>0.28412756323814392</v>
      </c>
      <c r="E27">
        <f t="shared" si="1"/>
        <v>0.28187787532806396</v>
      </c>
      <c r="G27">
        <f t="shared" si="2"/>
        <v>2.2029012441635187E-2</v>
      </c>
      <c r="H27">
        <f t="shared" si="3"/>
        <v>2.2029012441635185</v>
      </c>
      <c r="I27">
        <f t="shared" si="4"/>
        <v>8.4776251075084872</v>
      </c>
      <c r="J27" t="s">
        <v>22</v>
      </c>
      <c r="K27">
        <f t="shared" si="5"/>
        <v>1.687981685002643E-2</v>
      </c>
      <c r="L27">
        <f t="shared" si="6"/>
        <v>1.687981685002643</v>
      </c>
      <c r="M27">
        <f t="shared" si="7"/>
        <v>6.3697888758024206</v>
      </c>
      <c r="N27" t="s">
        <v>22</v>
      </c>
    </row>
    <row r="28" spans="1:14" x14ac:dyDescent="0.25">
      <c r="A28" t="s">
        <v>7</v>
      </c>
      <c r="B28">
        <v>0.20118483901023859</v>
      </c>
      <c r="C28">
        <v>0.20533905923366549</v>
      </c>
      <c r="D28">
        <v>0.20533905923366549</v>
      </c>
      <c r="E28">
        <f t="shared" si="1"/>
        <v>0.20395431915918985</v>
      </c>
      <c r="G28">
        <f t="shared" si="2"/>
        <v>1.5464941660563142E-2</v>
      </c>
      <c r="H28">
        <f t="shared" si="3"/>
        <v>1.5464941660563141</v>
      </c>
      <c r="I28">
        <f t="shared" si="4"/>
        <v>8.204675438898839</v>
      </c>
      <c r="J28" t="s">
        <v>22</v>
      </c>
      <c r="K28">
        <f t="shared" si="5"/>
        <v>1.9418299198150579E-2</v>
      </c>
      <c r="L28">
        <f t="shared" si="6"/>
        <v>1.9418299198150579</v>
      </c>
      <c r="M28">
        <f t="shared" si="7"/>
        <v>10.522769051944616</v>
      </c>
      <c r="N28" t="s">
        <v>22</v>
      </c>
    </row>
    <row r="29" spans="1:14" x14ac:dyDescent="0.25">
      <c r="A29" t="s">
        <v>8</v>
      </c>
      <c r="B29">
        <v>0.35600560903549189</v>
      </c>
      <c r="C29">
        <v>0.36539453268051147</v>
      </c>
      <c r="D29">
        <v>0.36539453268051147</v>
      </c>
      <c r="E29">
        <f t="shared" si="1"/>
        <v>0.36226489146550495</v>
      </c>
      <c r="G29">
        <f t="shared" si="2"/>
        <v>2.900524934132892E-2</v>
      </c>
      <c r="H29">
        <f t="shared" si="3"/>
        <v>2.9005249341328918</v>
      </c>
      <c r="I29">
        <f t="shared" si="4"/>
        <v>8.703498916475839</v>
      </c>
      <c r="J29" t="s">
        <v>22</v>
      </c>
      <c r="K29">
        <f t="shared" si="5"/>
        <v>1.4303157726923588E-2</v>
      </c>
      <c r="L29">
        <f t="shared" si="6"/>
        <v>1.4303157726923588</v>
      </c>
      <c r="M29">
        <f t="shared" si="7"/>
        <v>4.1105547938410218</v>
      </c>
      <c r="N29" t="s">
        <v>22</v>
      </c>
    </row>
    <row r="30" spans="1:14" x14ac:dyDescent="0.25">
      <c r="A30" t="s">
        <v>9</v>
      </c>
      <c r="B30">
        <v>0.38405172413793098</v>
      </c>
      <c r="C30">
        <v>0.38477011494252872</v>
      </c>
      <c r="D30">
        <v>0.38477011494252872</v>
      </c>
      <c r="E30">
        <f t="shared" si="1"/>
        <v>0.38453065134099612</v>
      </c>
      <c r="G30">
        <f t="shared" si="2"/>
        <v>5.0622605363984663E-2</v>
      </c>
      <c r="H30">
        <f t="shared" si="3"/>
        <v>5.0622605363984663</v>
      </c>
      <c r="I30">
        <f t="shared" si="4"/>
        <v>15.160642570281121</v>
      </c>
      <c r="J30" t="s">
        <v>22</v>
      </c>
      <c r="K30">
        <f t="shared" si="5"/>
        <v>0.12361111111111101</v>
      </c>
      <c r="L30">
        <f t="shared" si="6"/>
        <v>12.3611111111111</v>
      </c>
      <c r="M30">
        <f t="shared" si="7"/>
        <v>47.375183553597601</v>
      </c>
      <c r="N30" t="s">
        <v>22</v>
      </c>
    </row>
    <row r="31" spans="1:14" x14ac:dyDescent="0.25">
      <c r="A31" t="s">
        <v>10</v>
      </c>
      <c r="B31">
        <v>0.55172413793103448</v>
      </c>
      <c r="C31">
        <v>0.5431034482758621</v>
      </c>
      <c r="D31">
        <v>0.5431034482758621</v>
      </c>
      <c r="E31">
        <f t="shared" si="1"/>
        <v>0.54597701149425293</v>
      </c>
      <c r="G31">
        <f t="shared" si="2"/>
        <v>7.183908045977011E-2</v>
      </c>
      <c r="H31">
        <f t="shared" si="3"/>
        <v>7.1839080459770113</v>
      </c>
      <c r="I31">
        <f t="shared" si="4"/>
        <v>15.151515151515149</v>
      </c>
      <c r="J31" t="s">
        <v>22</v>
      </c>
      <c r="K31">
        <f t="shared" si="5"/>
        <v>0.1408045977011495</v>
      </c>
      <c r="L31">
        <f t="shared" si="6"/>
        <v>14.080459770114951</v>
      </c>
      <c r="M31">
        <f t="shared" si="7"/>
        <v>34.751773049645415</v>
      </c>
      <c r="N31" t="s">
        <v>22</v>
      </c>
    </row>
    <row r="32" spans="1:14" x14ac:dyDescent="0.25">
      <c r="A32" t="s">
        <v>11</v>
      </c>
      <c r="B32">
        <v>18.936532785152568</v>
      </c>
      <c r="C32">
        <v>14.20393739486563</v>
      </c>
      <c r="D32">
        <v>15.93455432406787</v>
      </c>
      <c r="E32">
        <f t="shared" si="1"/>
        <v>16.358341501362023</v>
      </c>
      <c r="G32">
        <f t="shared" si="2"/>
        <v>2.5899914229053227</v>
      </c>
      <c r="H32">
        <f t="shared" si="3"/>
        <v>258.99914229053229</v>
      </c>
      <c r="I32">
        <f t="shared" si="4"/>
        <v>18.811196753036334</v>
      </c>
      <c r="K32">
        <f t="shared" si="5"/>
        <v>1.7558289286734059</v>
      </c>
      <c r="L32">
        <f t="shared" si="6"/>
        <v>175.5828928673406</v>
      </c>
      <c r="M32">
        <f t="shared" si="7"/>
        <v>12.024156253474962</v>
      </c>
    </row>
    <row r="33" spans="1:13" x14ac:dyDescent="0.25">
      <c r="A33" t="s">
        <v>12</v>
      </c>
      <c r="B33">
        <v>3168.4137931034479</v>
      </c>
      <c r="C33">
        <v>3177.0172413793098</v>
      </c>
      <c r="D33">
        <v>3107.1724137931028</v>
      </c>
      <c r="E33">
        <f t="shared" si="1"/>
        <v>3150.8678160919535</v>
      </c>
      <c r="G33">
        <f t="shared" si="2"/>
        <v>181.79597701149351</v>
      </c>
      <c r="H33">
        <f t="shared" si="3"/>
        <v>18179.597701149352</v>
      </c>
      <c r="I33">
        <f t="shared" si="4"/>
        <v>6.1229901755356941</v>
      </c>
      <c r="K33">
        <f t="shared" si="5"/>
        <v>-438.59770114942648</v>
      </c>
      <c r="L33">
        <f t="shared" si="6"/>
        <v>-43859.77011494265</v>
      </c>
      <c r="M33">
        <f t="shared" si="7"/>
        <v>-12.219025340756106</v>
      </c>
    </row>
    <row r="34" spans="1:13" x14ac:dyDescent="0.25">
      <c r="A34" t="s">
        <v>13</v>
      </c>
      <c r="B34">
        <v>253.87931034482759</v>
      </c>
      <c r="C34">
        <v>268.82758620689663</v>
      </c>
      <c r="D34">
        <v>259.4655172413793</v>
      </c>
      <c r="E34">
        <f t="shared" si="1"/>
        <v>260.72413793103448</v>
      </c>
      <c r="G34">
        <f t="shared" si="2"/>
        <v>0.8218390804597675</v>
      </c>
      <c r="H34">
        <f t="shared" si="3"/>
        <v>82.18390804597675</v>
      </c>
      <c r="I34">
        <f t="shared" si="4"/>
        <v>0.31621077770161105</v>
      </c>
      <c r="K34">
        <f t="shared" si="5"/>
        <v>-11.945402298850581</v>
      </c>
      <c r="L34">
        <f t="shared" si="6"/>
        <v>-1194.5402298850581</v>
      </c>
      <c r="M34">
        <f t="shared" si="7"/>
        <v>-4.3809082190770292</v>
      </c>
    </row>
    <row r="35" spans="1:13" x14ac:dyDescent="0.25">
      <c r="A35" t="s">
        <v>14</v>
      </c>
      <c r="B35">
        <v>3422.2931034482758</v>
      </c>
      <c r="C35">
        <v>3445.844827586207</v>
      </c>
      <c r="D35">
        <v>3366.6379310344828</v>
      </c>
      <c r="E35">
        <f t="shared" si="1"/>
        <v>3411.5919540229884</v>
      </c>
      <c r="G35">
        <f t="shared" si="2"/>
        <v>182.61781609195396</v>
      </c>
      <c r="H35">
        <f t="shared" si="3"/>
        <v>18261.781609195394</v>
      </c>
      <c r="I35">
        <f t="shared" si="4"/>
        <v>5.6555985985371304</v>
      </c>
      <c r="K35">
        <f t="shared" si="5"/>
        <v>-450.54310344827627</v>
      </c>
      <c r="L35">
        <f t="shared" si="6"/>
        <v>-45054.310344827623</v>
      </c>
      <c r="M35">
        <f t="shared" si="7"/>
        <v>-11.665648578930579</v>
      </c>
    </row>
    <row r="37" spans="1:13" x14ac:dyDescent="0.25">
      <c r="A37">
        <v>1750</v>
      </c>
      <c r="B37">
        <v>300</v>
      </c>
    </row>
    <row r="38" spans="1:13" x14ac:dyDescent="0.25">
      <c r="B38" t="s">
        <v>15</v>
      </c>
      <c r="C38" t="s">
        <v>16</v>
      </c>
      <c r="D38" t="s">
        <v>17</v>
      </c>
      <c r="E38" t="s">
        <v>18</v>
      </c>
    </row>
    <row r="39" spans="1:13" x14ac:dyDescent="0.25">
      <c r="A39" t="s">
        <v>0</v>
      </c>
      <c r="B39">
        <v>0.7777025138018665</v>
      </c>
      <c r="C39">
        <v>0.77810654074120356</v>
      </c>
      <c r="D39">
        <v>0.77083690438018782</v>
      </c>
      <c r="E39">
        <f>AVERAGE(B39:D39)</f>
        <v>0.77554865297441922</v>
      </c>
    </row>
    <row r="40" spans="1:13" x14ac:dyDescent="0.25">
      <c r="A40" t="s">
        <v>1</v>
      </c>
      <c r="B40">
        <v>0.66855500821018066</v>
      </c>
      <c r="C40">
        <v>0.65792282430213456</v>
      </c>
      <c r="D40">
        <v>0.67309113300492607</v>
      </c>
      <c r="E40">
        <f t="shared" ref="E40:E53" si="8">AVERAGE(B40:D40)</f>
        <v>0.66652298850574709</v>
      </c>
    </row>
    <row r="41" spans="1:13" x14ac:dyDescent="0.25">
      <c r="A41" t="s">
        <v>2</v>
      </c>
      <c r="B41">
        <v>0.59798850572054651</v>
      </c>
      <c r="C41">
        <v>0.59737787353708494</v>
      </c>
      <c r="D41">
        <v>0.59910201146733499</v>
      </c>
      <c r="E41">
        <f t="shared" si="8"/>
        <v>0.59815613024165548</v>
      </c>
    </row>
    <row r="42" spans="1:13" x14ac:dyDescent="0.25">
      <c r="A42" t="s">
        <v>3</v>
      </c>
      <c r="B42">
        <v>0.77694832359655475</v>
      </c>
      <c r="C42">
        <v>0.77694832359655475</v>
      </c>
      <c r="D42">
        <v>0.77694832359655475</v>
      </c>
      <c r="E42">
        <f t="shared" si="8"/>
        <v>0.77694832359655475</v>
      </c>
    </row>
    <row r="43" spans="1:13" x14ac:dyDescent="0.25">
      <c r="A43" t="s">
        <v>4</v>
      </c>
      <c r="B43">
        <v>0.26622051283453801</v>
      </c>
      <c r="C43">
        <v>0.2494877839054884</v>
      </c>
      <c r="D43">
        <v>0.24513451047393339</v>
      </c>
      <c r="E43">
        <f t="shared" si="8"/>
        <v>0.25361426907131995</v>
      </c>
    </row>
    <row r="44" spans="1:13" x14ac:dyDescent="0.25">
      <c r="A44" t="s">
        <v>5</v>
      </c>
      <c r="B44">
        <v>0.69269671026476576</v>
      </c>
      <c r="C44">
        <v>0.6893613175056722</v>
      </c>
      <c r="D44">
        <v>0.68685908811535878</v>
      </c>
      <c r="E44">
        <f t="shared" si="8"/>
        <v>0.68963903862859899</v>
      </c>
    </row>
    <row r="45" spans="1:13" x14ac:dyDescent="0.25">
      <c r="A45" t="s">
        <v>6</v>
      </c>
      <c r="B45">
        <v>0.26499804854393011</v>
      </c>
      <c r="C45">
        <v>0.26499804854393011</v>
      </c>
      <c r="D45">
        <v>0.26499807834625239</v>
      </c>
      <c r="E45">
        <f t="shared" si="8"/>
        <v>0.26499805847803753</v>
      </c>
    </row>
    <row r="46" spans="1:13" x14ac:dyDescent="0.25">
      <c r="A46" t="s">
        <v>7</v>
      </c>
      <c r="B46">
        <v>0.18453601002693179</v>
      </c>
      <c r="C46">
        <v>0.18453601002693179</v>
      </c>
      <c r="D46">
        <v>0.18453603982925421</v>
      </c>
      <c r="E46">
        <f t="shared" si="8"/>
        <v>0.18453601996103927</v>
      </c>
    </row>
    <row r="47" spans="1:13" x14ac:dyDescent="0.25">
      <c r="A47" t="s">
        <v>8</v>
      </c>
      <c r="B47">
        <v>0.34796172380447388</v>
      </c>
      <c r="C47">
        <v>0.34796172380447388</v>
      </c>
      <c r="D47">
        <v>0.34796175360679632</v>
      </c>
      <c r="E47">
        <f t="shared" si="8"/>
        <v>0.34796173373858136</v>
      </c>
    </row>
    <row r="48" spans="1:13" x14ac:dyDescent="0.25">
      <c r="A48" t="s">
        <v>9</v>
      </c>
      <c r="B48">
        <v>0.26091954022988512</v>
      </c>
      <c r="C48">
        <v>0.26091954022988512</v>
      </c>
      <c r="D48">
        <v>0.26091954022988512</v>
      </c>
      <c r="E48">
        <f t="shared" si="8"/>
        <v>0.26091954022988512</v>
      </c>
    </row>
    <row r="49" spans="1:5" x14ac:dyDescent="0.25">
      <c r="A49" t="s">
        <v>10</v>
      </c>
      <c r="B49">
        <v>0.40517241379310343</v>
      </c>
      <c r="C49">
        <v>0.40517241379310343</v>
      </c>
      <c r="D49">
        <v>0.40517241379310343</v>
      </c>
      <c r="E49">
        <f t="shared" si="8"/>
        <v>0.40517241379310343</v>
      </c>
    </row>
    <row r="50" spans="1:5" x14ac:dyDescent="0.25">
      <c r="A50" t="s">
        <v>11</v>
      </c>
      <c r="B50">
        <v>14.424167815981241</v>
      </c>
      <c r="C50">
        <v>15.158161634001241</v>
      </c>
      <c r="D50">
        <v>14.225208268083369</v>
      </c>
      <c r="E50">
        <f t="shared" si="8"/>
        <v>14.602512572688617</v>
      </c>
    </row>
    <row r="51" spans="1:5" x14ac:dyDescent="0.25">
      <c r="A51" t="s">
        <v>12</v>
      </c>
      <c r="B51">
        <v>3586.4827586206902</v>
      </c>
      <c r="C51">
        <v>3615.0862068965521</v>
      </c>
      <c r="D51">
        <v>3566.8275862068972</v>
      </c>
      <c r="E51">
        <f t="shared" si="8"/>
        <v>3589.46551724138</v>
      </c>
    </row>
    <row r="52" spans="1:5" x14ac:dyDescent="0.25">
      <c r="A52" t="s">
        <v>13</v>
      </c>
      <c r="B52">
        <v>272.00862068965517</v>
      </c>
      <c r="C52">
        <v>274.05172413793099</v>
      </c>
      <c r="D52">
        <v>271.94827586206901</v>
      </c>
      <c r="E52">
        <f t="shared" si="8"/>
        <v>272.66954022988506</v>
      </c>
    </row>
    <row r="53" spans="1:5" x14ac:dyDescent="0.25">
      <c r="A53" t="s">
        <v>14</v>
      </c>
      <c r="B53">
        <v>3858.4913793103451</v>
      </c>
      <c r="C53">
        <v>3889.1379310344828</v>
      </c>
      <c r="D53">
        <v>3838.775862068966</v>
      </c>
      <c r="E53">
        <f t="shared" si="8"/>
        <v>3862.1350574712646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E1941-8A6F-44A2-BBD7-15B45A2B4523}">
  <dimension ref="A1:N53"/>
  <sheetViews>
    <sheetView workbookViewId="0">
      <selection activeCell="B3" sqref="B3:B17"/>
    </sheetView>
  </sheetViews>
  <sheetFormatPr baseColWidth="10" defaultRowHeight="15" x14ac:dyDescent="0.25"/>
  <cols>
    <col min="7" max="7" width="20.140625" bestFit="1" customWidth="1"/>
    <col min="11" max="11" width="20.140625" bestFit="1" customWidth="1"/>
  </cols>
  <sheetData>
    <row r="1" spans="1:5" x14ac:dyDescent="0.25">
      <c r="A1">
        <v>1500</v>
      </c>
      <c r="B1">
        <v>400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0.73584911932200248</v>
      </c>
      <c r="C3">
        <v>0.72116700820050561</v>
      </c>
      <c r="D3">
        <v>0.72416963484803676</v>
      </c>
      <c r="E3">
        <f>AVERAGE(B3:D3)</f>
        <v>0.7270619207901815</v>
      </c>
    </row>
    <row r="4" spans="1:5" x14ac:dyDescent="0.25">
      <c r="A4" t="s">
        <v>1</v>
      </c>
      <c r="B4">
        <v>0.63638649425287364</v>
      </c>
      <c r="C4">
        <v>0.62830459770114933</v>
      </c>
      <c r="D4">
        <v>0.63433908045977017</v>
      </c>
      <c r="E4">
        <f t="shared" ref="E4:E17" si="0">AVERAGE(B4:D4)</f>
        <v>0.63301005747126438</v>
      </c>
    </row>
    <row r="5" spans="1:5" x14ac:dyDescent="0.25">
      <c r="A5" t="s">
        <v>2</v>
      </c>
      <c r="B5">
        <v>0.56125478924927452</v>
      </c>
      <c r="C5">
        <v>0.55694444442082325</v>
      </c>
      <c r="D5">
        <v>0.56061159841764485</v>
      </c>
      <c r="E5">
        <f t="shared" si="0"/>
        <v>0.55960361069591424</v>
      </c>
    </row>
    <row r="6" spans="1:5" x14ac:dyDescent="0.25">
      <c r="A6" t="s">
        <v>3</v>
      </c>
      <c r="B6">
        <v>0.77965471478153325</v>
      </c>
      <c r="C6">
        <v>0.78090565145557822</v>
      </c>
      <c r="D6">
        <v>0.77998009842938554</v>
      </c>
      <c r="E6">
        <f t="shared" si="0"/>
        <v>0.78018015488883241</v>
      </c>
    </row>
    <row r="7" spans="1:5" x14ac:dyDescent="0.25">
      <c r="A7" t="s">
        <v>4</v>
      </c>
      <c r="B7">
        <v>0.25902734613947342</v>
      </c>
      <c r="C7">
        <v>0.26536264152215822</v>
      </c>
      <c r="D7">
        <v>0.26168674410421511</v>
      </c>
      <c r="E7">
        <f t="shared" si="0"/>
        <v>0.26202557725528225</v>
      </c>
    </row>
    <row r="8" spans="1:5" x14ac:dyDescent="0.25">
      <c r="A8" t="s">
        <v>5</v>
      </c>
      <c r="B8">
        <v>0.66823012671184989</v>
      </c>
      <c r="C8">
        <v>0.67146515595114276</v>
      </c>
      <c r="D8">
        <v>0.7019339381534081</v>
      </c>
      <c r="E8">
        <f t="shared" si="0"/>
        <v>0.68054307360546684</v>
      </c>
    </row>
    <row r="9" spans="1:5" x14ac:dyDescent="0.25">
      <c r="A9" t="s">
        <v>6</v>
      </c>
      <c r="B9">
        <v>0.26693576995026447</v>
      </c>
      <c r="C9">
        <v>0.26693576574325562</v>
      </c>
      <c r="D9">
        <v>0.26693576574325562</v>
      </c>
      <c r="E9">
        <f t="shared" si="0"/>
        <v>0.26693576714559192</v>
      </c>
    </row>
    <row r="10" spans="1:5" x14ac:dyDescent="0.25">
      <c r="A10" t="s">
        <v>7</v>
      </c>
      <c r="B10">
        <v>0.18886269467124106</v>
      </c>
      <c r="C10">
        <v>0.1888626962900162</v>
      </c>
      <c r="D10">
        <v>0.1888626962900162</v>
      </c>
      <c r="E10">
        <f t="shared" si="0"/>
        <v>0.18886269575042447</v>
      </c>
    </row>
    <row r="11" spans="1:5" x14ac:dyDescent="0.25">
      <c r="A11" t="s">
        <v>8</v>
      </c>
      <c r="B11">
        <v>0.34839504110980135</v>
      </c>
      <c r="C11">
        <v>0.34839504957199102</v>
      </c>
      <c r="D11">
        <v>0.34839504957199102</v>
      </c>
      <c r="E11">
        <f t="shared" si="0"/>
        <v>0.34839504675126109</v>
      </c>
    </row>
    <row r="12" spans="1:5" x14ac:dyDescent="0.25">
      <c r="A12" t="s">
        <v>9</v>
      </c>
      <c r="B12">
        <v>0.26005747126436779</v>
      </c>
      <c r="C12">
        <v>0.26005747126436779</v>
      </c>
      <c r="D12">
        <v>0.26005747126436779</v>
      </c>
      <c r="E12">
        <f t="shared" si="0"/>
        <v>0.26005747126436779</v>
      </c>
    </row>
    <row r="13" spans="1:5" x14ac:dyDescent="0.25">
      <c r="A13" t="s">
        <v>10</v>
      </c>
      <c r="B13">
        <v>0.47413793103448276</v>
      </c>
      <c r="C13">
        <v>0.47413793103448282</v>
      </c>
      <c r="D13">
        <v>0.47413793103448282</v>
      </c>
      <c r="E13">
        <f t="shared" si="0"/>
        <v>0.47413793103448282</v>
      </c>
    </row>
    <row r="14" spans="1:5" x14ac:dyDescent="0.25">
      <c r="A14" t="s">
        <v>11</v>
      </c>
      <c r="B14">
        <v>14.247814110640821</v>
      </c>
      <c r="C14">
        <v>14.45260334631492</v>
      </c>
      <c r="D14">
        <v>15.12995728747598</v>
      </c>
      <c r="E14">
        <f t="shared" si="0"/>
        <v>14.610124914810575</v>
      </c>
    </row>
    <row r="15" spans="1:5" x14ac:dyDescent="0.25">
      <c r="A15" t="s">
        <v>12</v>
      </c>
      <c r="B15">
        <v>3318.2068965517242</v>
      </c>
      <c r="C15">
        <v>3318.2068965517242</v>
      </c>
      <c r="D15">
        <v>3318.2068965517242</v>
      </c>
      <c r="E15">
        <f t="shared" si="0"/>
        <v>3318.2068965517242</v>
      </c>
    </row>
    <row r="16" spans="1:5" x14ac:dyDescent="0.25">
      <c r="A16" t="s">
        <v>13</v>
      </c>
      <c r="B16">
        <v>275.69827586206895</v>
      </c>
      <c r="C16">
        <v>275.69827586206901</v>
      </c>
      <c r="D16">
        <v>275.69827586206901</v>
      </c>
      <c r="E16">
        <f t="shared" si="0"/>
        <v>275.69827586206901</v>
      </c>
    </row>
    <row r="17" spans="1:14" x14ac:dyDescent="0.25">
      <c r="A17" t="s">
        <v>14</v>
      </c>
      <c r="B17">
        <v>3593.905172413793</v>
      </c>
      <c r="C17">
        <v>3593.905172413793</v>
      </c>
      <c r="D17">
        <v>3593.905172413793</v>
      </c>
      <c r="E17">
        <f t="shared" si="0"/>
        <v>3593.905172413793</v>
      </c>
    </row>
    <row r="19" spans="1:14" x14ac:dyDescent="0.25">
      <c r="A19">
        <v>1500</v>
      </c>
      <c r="B19">
        <v>300</v>
      </c>
    </row>
    <row r="20" spans="1:14" x14ac:dyDescent="0.25">
      <c r="B20" t="s">
        <v>15</v>
      </c>
      <c r="C20" t="s">
        <v>16</v>
      </c>
      <c r="D20" t="s">
        <v>17</v>
      </c>
      <c r="E20" t="s">
        <v>18</v>
      </c>
      <c r="G20" t="s">
        <v>24</v>
      </c>
      <c r="H20" t="s">
        <v>20</v>
      </c>
      <c r="I20" t="s">
        <v>21</v>
      </c>
      <c r="K20" t="s">
        <v>25</v>
      </c>
      <c r="L20" t="s">
        <v>20</v>
      </c>
      <c r="M20" t="s">
        <v>21</v>
      </c>
    </row>
    <row r="21" spans="1:14" x14ac:dyDescent="0.25">
      <c r="A21" t="s">
        <v>0</v>
      </c>
      <c r="B21">
        <v>0.79246787671363317</v>
      </c>
      <c r="C21">
        <v>0.8275429592026422</v>
      </c>
      <c r="D21">
        <v>0.81529624985080884</v>
      </c>
      <c r="E21">
        <v>0.81176902858902811</v>
      </c>
      <c r="G21">
        <f>E21-E39</f>
        <v>1.7901853394003853E-2</v>
      </c>
      <c r="H21">
        <f>G21*100</f>
        <v>1.7901853394003853</v>
      </c>
      <c r="I21">
        <f>G21/E39*100</f>
        <v>2.2550187176596665</v>
      </c>
      <c r="J21" t="s">
        <v>22</v>
      </c>
      <c r="K21">
        <f>E21-E3</f>
        <v>8.4707107798846604E-2</v>
      </c>
      <c r="L21">
        <f>K21*100</f>
        <v>8.4707107798846604</v>
      </c>
      <c r="M21">
        <f>K21/E3*100</f>
        <v>11.650604353861041</v>
      </c>
      <c r="N21" t="s">
        <v>22</v>
      </c>
    </row>
    <row r="22" spans="1:14" x14ac:dyDescent="0.25">
      <c r="A22" t="s">
        <v>1</v>
      </c>
      <c r="B22">
        <v>0.66884236453201973</v>
      </c>
      <c r="C22">
        <v>0.69240558292282417</v>
      </c>
      <c r="D22">
        <v>0.67588259441707721</v>
      </c>
      <c r="E22">
        <v>0.679043513957307</v>
      </c>
      <c r="G22">
        <f t="shared" ref="G22:G35" si="1">E22-E40</f>
        <v>-6.1576354679804268E-3</v>
      </c>
      <c r="H22">
        <f t="shared" ref="H22:H35" si="2">G22*100</f>
        <v>-0.61576354679804268</v>
      </c>
      <c r="I22">
        <f t="shared" ref="I22:I35" si="3">G22/E40*100</f>
        <v>-0.89866099511729436</v>
      </c>
      <c r="K22">
        <f t="shared" ref="K22:K35" si="4">E22-E4</f>
        <v>4.6033456486042623E-2</v>
      </c>
      <c r="L22">
        <f t="shared" ref="L22:L31" si="5">K22*100</f>
        <v>4.6033456486042628</v>
      </c>
      <c r="M22">
        <f t="shared" ref="M22:M35" si="6">K22/E4*100</f>
        <v>7.2721524630961056</v>
      </c>
      <c r="N22" t="s">
        <v>22</v>
      </c>
    </row>
    <row r="23" spans="1:14" x14ac:dyDescent="0.25">
      <c r="A23" t="s">
        <v>2</v>
      </c>
      <c r="B23">
        <v>0.6454501915428289</v>
      </c>
      <c r="C23">
        <v>0.64476772027765861</v>
      </c>
      <c r="D23">
        <v>0.66059626433687291</v>
      </c>
      <c r="E23">
        <v>0.65027139205245355</v>
      </c>
      <c r="G23">
        <f t="shared" si="1"/>
        <v>2.0502075348253768E-2</v>
      </c>
      <c r="H23">
        <f t="shared" si="2"/>
        <v>2.0502075348253768</v>
      </c>
      <c r="I23">
        <f t="shared" si="3"/>
        <v>3.2554897173378032</v>
      </c>
      <c r="J23" t="s">
        <v>22</v>
      </c>
      <c r="K23">
        <f t="shared" si="4"/>
        <v>9.0667781356539301E-2</v>
      </c>
      <c r="L23">
        <f t="shared" si="5"/>
        <v>9.0667781356539301</v>
      </c>
      <c r="M23">
        <f t="shared" si="6"/>
        <v>16.20214373595379</v>
      </c>
      <c r="N23" t="s">
        <v>22</v>
      </c>
    </row>
    <row r="24" spans="1:14" x14ac:dyDescent="0.25">
      <c r="A24" t="s">
        <v>3</v>
      </c>
      <c r="B24">
        <v>0.78325339797448446</v>
      </c>
      <c r="C24">
        <v>0.78363704159016601</v>
      </c>
      <c r="D24">
        <v>0.78502040682577623</v>
      </c>
      <c r="E24">
        <v>0.78397028213014208</v>
      </c>
      <c r="G24">
        <f t="shared" si="1"/>
        <v>6.397211115595991E-3</v>
      </c>
      <c r="H24">
        <f t="shared" si="2"/>
        <v>0.6397211115595991</v>
      </c>
      <c r="I24">
        <f t="shared" si="3"/>
        <v>0.82271510602201881</v>
      </c>
      <c r="K24">
        <f t="shared" si="4"/>
        <v>3.7901272413096709E-3</v>
      </c>
      <c r="L24">
        <f t="shared" si="5"/>
        <v>0.37901272413096709</v>
      </c>
      <c r="M24">
        <f t="shared" si="6"/>
        <v>0.48580154436890605</v>
      </c>
      <c r="N24" t="s">
        <v>22</v>
      </c>
    </row>
    <row r="25" spans="1:14" x14ac:dyDescent="0.25">
      <c r="A25" t="s">
        <v>4</v>
      </c>
      <c r="B25">
        <v>0.27494301244992542</v>
      </c>
      <c r="C25">
        <v>0.27255688400639683</v>
      </c>
      <c r="D25">
        <v>0.28298931571851671</v>
      </c>
      <c r="E25">
        <v>0.27682973739161298</v>
      </c>
      <c r="G25">
        <f t="shared" si="1"/>
        <v>7.3379691437092109E-4</v>
      </c>
      <c r="H25">
        <f t="shared" si="2"/>
        <v>7.3379691437092109E-2</v>
      </c>
      <c r="I25">
        <f t="shared" si="3"/>
        <v>0.26577606070647974</v>
      </c>
      <c r="K25">
        <f t="shared" si="4"/>
        <v>1.4804160136330735E-2</v>
      </c>
      <c r="L25">
        <f t="shared" si="5"/>
        <v>1.4804160136330735</v>
      </c>
      <c r="M25">
        <f t="shared" si="6"/>
        <v>5.6498912401622396</v>
      </c>
      <c r="N25" t="s">
        <v>22</v>
      </c>
    </row>
    <row r="26" spans="1:14" x14ac:dyDescent="0.25">
      <c r="A26" t="s">
        <v>5</v>
      </c>
      <c r="B26">
        <v>0.74742497066814861</v>
      </c>
      <c r="C26">
        <v>0.76496011927799679</v>
      </c>
      <c r="D26">
        <v>0.77037520548290039</v>
      </c>
      <c r="E26">
        <v>0.76092009847634856</v>
      </c>
      <c r="G26">
        <f t="shared" si="1"/>
        <v>6.3447140415239134E-2</v>
      </c>
      <c r="H26">
        <f t="shared" si="2"/>
        <v>6.3447140415239129</v>
      </c>
      <c r="I26">
        <f t="shared" si="3"/>
        <v>9.0967168951774884</v>
      </c>
      <c r="J26" t="s">
        <v>22</v>
      </c>
      <c r="K26">
        <f t="shared" si="4"/>
        <v>8.0377024870881719E-2</v>
      </c>
      <c r="L26">
        <f t="shared" si="5"/>
        <v>8.0377024870881719</v>
      </c>
      <c r="M26">
        <f t="shared" si="6"/>
        <v>11.810718231992311</v>
      </c>
      <c r="N26" t="s">
        <v>22</v>
      </c>
    </row>
    <row r="27" spans="1:14" x14ac:dyDescent="0.25">
      <c r="A27" t="s">
        <v>6</v>
      </c>
      <c r="B27">
        <v>0.27737849950790411</v>
      </c>
      <c r="C27">
        <v>0.28412756323814392</v>
      </c>
      <c r="D27">
        <v>0.28412756323814392</v>
      </c>
      <c r="E27">
        <v>0.28187787532806396</v>
      </c>
      <c r="G27">
        <f t="shared" si="1"/>
        <v>5.0537586212158758E-3</v>
      </c>
      <c r="H27">
        <f t="shared" si="2"/>
        <v>0.50537586212158758</v>
      </c>
      <c r="I27">
        <f t="shared" si="3"/>
        <v>1.8256207881510982</v>
      </c>
      <c r="K27">
        <f t="shared" si="4"/>
        <v>1.4942108182472047E-2</v>
      </c>
      <c r="L27">
        <f t="shared" si="5"/>
        <v>1.4942108182472047</v>
      </c>
      <c r="M27">
        <f t="shared" si="6"/>
        <v>5.5976418380539963</v>
      </c>
      <c r="N27" t="s">
        <v>22</v>
      </c>
    </row>
    <row r="28" spans="1:14" x14ac:dyDescent="0.25">
      <c r="A28" t="s">
        <v>7</v>
      </c>
      <c r="B28">
        <v>0.20118483901023859</v>
      </c>
      <c r="C28">
        <v>0.20533905923366549</v>
      </c>
      <c r="D28">
        <v>0.20533905923366549</v>
      </c>
      <c r="E28">
        <v>0.20395431915918985</v>
      </c>
      <c r="G28">
        <f t="shared" si="1"/>
        <v>-2.3447126150131226E-3</v>
      </c>
      <c r="H28">
        <f t="shared" si="2"/>
        <v>-0.23447126150131226</v>
      </c>
      <c r="I28">
        <f t="shared" si="3"/>
        <v>-1.1365601645573604</v>
      </c>
      <c r="K28">
        <f t="shared" si="4"/>
        <v>1.5091623408765381E-2</v>
      </c>
      <c r="L28">
        <f t="shared" si="5"/>
        <v>1.509162340876538</v>
      </c>
      <c r="M28">
        <f t="shared" si="6"/>
        <v>7.9907910605641463</v>
      </c>
      <c r="N28" t="s">
        <v>22</v>
      </c>
    </row>
    <row r="29" spans="1:14" x14ac:dyDescent="0.25">
      <c r="A29" t="s">
        <v>8</v>
      </c>
      <c r="B29">
        <v>0.35600560903549189</v>
      </c>
      <c r="C29">
        <v>0.36539453268051147</v>
      </c>
      <c r="D29">
        <v>0.36539453268051147</v>
      </c>
      <c r="E29">
        <v>0.36226489146550495</v>
      </c>
      <c r="G29">
        <f t="shared" si="1"/>
        <v>1.2144148349761963E-2</v>
      </c>
      <c r="H29">
        <f t="shared" si="2"/>
        <v>1.2144148349761963</v>
      </c>
      <c r="I29">
        <f t="shared" si="3"/>
        <v>3.4685600863549375</v>
      </c>
      <c r="K29">
        <f t="shared" si="4"/>
        <v>1.3869844714243851E-2</v>
      </c>
      <c r="L29">
        <f t="shared" si="5"/>
        <v>1.3869844714243851</v>
      </c>
      <c r="M29">
        <f t="shared" si="6"/>
        <v>3.9810682854358479</v>
      </c>
      <c r="N29" t="s">
        <v>22</v>
      </c>
    </row>
    <row r="30" spans="1:14" x14ac:dyDescent="0.25">
      <c r="A30" t="s">
        <v>9</v>
      </c>
      <c r="B30">
        <v>0.38405172413793098</v>
      </c>
      <c r="C30">
        <v>0.38477011494252872</v>
      </c>
      <c r="D30">
        <v>0.38477011494252872</v>
      </c>
      <c r="E30">
        <v>0.38453065134099612</v>
      </c>
      <c r="G30">
        <f t="shared" si="1"/>
        <v>6.1254789272030596E-2</v>
      </c>
      <c r="H30">
        <f t="shared" si="2"/>
        <v>6.1254789272030594</v>
      </c>
      <c r="I30">
        <f t="shared" si="3"/>
        <v>18.948148148148132</v>
      </c>
      <c r="J30" t="s">
        <v>22</v>
      </c>
      <c r="K30">
        <f t="shared" si="4"/>
        <v>0.12447318007662833</v>
      </c>
      <c r="L30">
        <f t="shared" si="5"/>
        <v>12.447318007662833</v>
      </c>
      <c r="M30">
        <f t="shared" si="6"/>
        <v>47.863720073664823</v>
      </c>
      <c r="N30" t="s">
        <v>22</v>
      </c>
    </row>
    <row r="31" spans="1:14" x14ac:dyDescent="0.25">
      <c r="A31" t="s">
        <v>10</v>
      </c>
      <c r="B31">
        <v>0.55172413793103448</v>
      </c>
      <c r="C31">
        <v>0.5431034482758621</v>
      </c>
      <c r="D31">
        <v>0.5431034482758621</v>
      </c>
      <c r="E31">
        <v>0.54597701149425293</v>
      </c>
      <c r="G31">
        <f t="shared" si="1"/>
        <v>2.0114942528735691E-2</v>
      </c>
      <c r="H31">
        <f t="shared" si="2"/>
        <v>2.0114942528735691</v>
      </c>
      <c r="I31">
        <f t="shared" si="3"/>
        <v>3.8251366120218693</v>
      </c>
      <c r="J31" t="s">
        <v>22</v>
      </c>
      <c r="K31">
        <f t="shared" si="4"/>
        <v>7.183908045977011E-2</v>
      </c>
      <c r="L31">
        <f t="shared" si="5"/>
        <v>7.1839080459770113</v>
      </c>
      <c r="M31">
        <f t="shared" si="6"/>
        <v>15.151515151515149</v>
      </c>
      <c r="N31" t="s">
        <v>22</v>
      </c>
    </row>
    <row r="32" spans="1:14" x14ac:dyDescent="0.25">
      <c r="A32" t="s">
        <v>11</v>
      </c>
      <c r="B32">
        <v>18.936532785152568</v>
      </c>
      <c r="C32">
        <v>14.20393739486563</v>
      </c>
      <c r="D32">
        <v>15.93455432406787</v>
      </c>
      <c r="E32">
        <v>16.358341501362023</v>
      </c>
      <c r="G32">
        <f t="shared" si="1"/>
        <v>2.4884830816038779</v>
      </c>
      <c r="H32">
        <f t="shared" si="2"/>
        <v>248.84830816038777</v>
      </c>
      <c r="I32">
        <f t="shared" si="3"/>
        <v>17.941661740821651</v>
      </c>
      <c r="K32">
        <f t="shared" si="4"/>
        <v>1.7482165865514485</v>
      </c>
      <c r="M32">
        <f t="shared" si="6"/>
        <v>11.965788086994701</v>
      </c>
      <c r="N32" t="s">
        <v>26</v>
      </c>
    </row>
    <row r="33" spans="1:14" x14ac:dyDescent="0.25">
      <c r="A33" t="s">
        <v>12</v>
      </c>
      <c r="B33">
        <v>3168.4137931034479</v>
      </c>
      <c r="C33">
        <v>3177.0172413793098</v>
      </c>
      <c r="D33">
        <v>3107.1724137931028</v>
      </c>
      <c r="E33">
        <v>3150.8678160919535</v>
      </c>
      <c r="G33">
        <f t="shared" si="1"/>
        <v>-86.15517241379348</v>
      </c>
      <c r="H33">
        <f t="shared" si="2"/>
        <v>-8615.517241379348</v>
      </c>
      <c r="I33">
        <f t="shared" si="3"/>
        <v>-2.6615557788659343</v>
      </c>
      <c r="K33">
        <f t="shared" si="4"/>
        <v>-167.33908045977068</v>
      </c>
      <c r="M33">
        <f t="shared" si="6"/>
        <v>-5.0430574607529515</v>
      </c>
      <c r="N33" t="s">
        <v>22</v>
      </c>
    </row>
    <row r="34" spans="1:14" x14ac:dyDescent="0.25">
      <c r="A34" t="s">
        <v>13</v>
      </c>
      <c r="B34">
        <v>253.87931034482759</v>
      </c>
      <c r="C34">
        <v>268.82758620689663</v>
      </c>
      <c r="D34">
        <v>259.4655172413793</v>
      </c>
      <c r="E34">
        <v>260.72413793103448</v>
      </c>
      <c r="G34">
        <f t="shared" si="1"/>
        <v>-6.6293103448276156</v>
      </c>
      <c r="H34">
        <f t="shared" si="2"/>
        <v>-662.93103448276156</v>
      </c>
      <c r="I34">
        <f t="shared" si="3"/>
        <v>-2.4796053267984499</v>
      </c>
      <c r="K34">
        <f t="shared" si="4"/>
        <v>-14.974137931034534</v>
      </c>
      <c r="M34">
        <f t="shared" si="6"/>
        <v>-5.4313498639817572</v>
      </c>
      <c r="N34" t="s">
        <v>22</v>
      </c>
    </row>
    <row r="35" spans="1:14" x14ac:dyDescent="0.25">
      <c r="A35" t="s">
        <v>14</v>
      </c>
      <c r="B35">
        <v>3422.2931034482758</v>
      </c>
      <c r="C35">
        <v>3445.844827586207</v>
      </c>
      <c r="D35">
        <v>3366.6379310344828</v>
      </c>
      <c r="E35">
        <v>3411.5919540229884</v>
      </c>
      <c r="G35">
        <f t="shared" si="1"/>
        <v>-92.78448275862047</v>
      </c>
      <c r="H35">
        <f t="shared" si="2"/>
        <v>-9278.448275862047</v>
      </c>
      <c r="I35">
        <f t="shared" si="3"/>
        <v>-2.6476745416035552</v>
      </c>
      <c r="K35">
        <f t="shared" si="4"/>
        <v>-182.31321839080465</v>
      </c>
      <c r="M35">
        <f t="shared" si="6"/>
        <v>-5.0728444309051337</v>
      </c>
      <c r="N35" t="s">
        <v>22</v>
      </c>
    </row>
    <row r="37" spans="1:14" x14ac:dyDescent="0.25">
      <c r="A37">
        <v>1500</v>
      </c>
      <c r="B37">
        <v>200</v>
      </c>
    </row>
    <row r="38" spans="1:14" x14ac:dyDescent="0.25">
      <c r="B38" t="s">
        <v>15</v>
      </c>
      <c r="C38" t="s">
        <v>16</v>
      </c>
      <c r="D38" t="s">
        <v>17</v>
      </c>
      <c r="E38" t="s">
        <v>18</v>
      </c>
    </row>
    <row r="39" spans="1:14" x14ac:dyDescent="0.25">
      <c r="A39" t="s">
        <v>0</v>
      </c>
      <c r="B39">
        <v>0.79543193367918008</v>
      </c>
      <c r="C39">
        <v>0.79679098290459693</v>
      </c>
      <c r="D39">
        <v>0.78937860900129575</v>
      </c>
      <c r="E39">
        <f>AVERAGE(B39:D39)</f>
        <v>0.79386717519502425</v>
      </c>
    </row>
    <row r="40" spans="1:14" x14ac:dyDescent="0.25">
      <c r="A40" t="s">
        <v>1</v>
      </c>
      <c r="B40">
        <v>0.68994252873563222</v>
      </c>
      <c r="C40">
        <v>0.68491379310344835</v>
      </c>
      <c r="D40">
        <v>0.68074712643678148</v>
      </c>
      <c r="E40">
        <f t="shared" ref="E40:E53" si="7">AVERAGE(B40:D40)</f>
        <v>0.68520114942528743</v>
      </c>
    </row>
    <row r="41" spans="1:14" x14ac:dyDescent="0.25">
      <c r="A41" t="s">
        <v>2</v>
      </c>
      <c r="B41">
        <v>0.63250718388161142</v>
      </c>
      <c r="C41">
        <v>0.6413194444174376</v>
      </c>
      <c r="D41">
        <v>0.61548132181355042</v>
      </c>
      <c r="E41">
        <f t="shared" si="7"/>
        <v>0.62976931670419978</v>
      </c>
    </row>
    <row r="42" spans="1:14" x14ac:dyDescent="0.25">
      <c r="A42" t="s">
        <v>3</v>
      </c>
      <c r="B42">
        <v>0.77768968320573928</v>
      </c>
      <c r="C42">
        <v>0.77768968320573928</v>
      </c>
      <c r="D42">
        <v>0.7773398466321596</v>
      </c>
      <c r="E42">
        <f t="shared" si="7"/>
        <v>0.77757307101454609</v>
      </c>
    </row>
    <row r="43" spans="1:14" x14ac:dyDescent="0.25">
      <c r="A43" t="s">
        <v>4</v>
      </c>
      <c r="B43">
        <v>0.27505845683600672</v>
      </c>
      <c r="C43">
        <v>0.27617227617684859</v>
      </c>
      <c r="D43">
        <v>0.27705708841887089</v>
      </c>
      <c r="E43">
        <f t="shared" si="7"/>
        <v>0.27609594047724206</v>
      </c>
    </row>
    <row r="44" spans="1:14" x14ac:dyDescent="0.25">
      <c r="A44" t="s">
        <v>5</v>
      </c>
      <c r="B44">
        <v>0.69607314195769998</v>
      </c>
      <c r="C44">
        <v>0.6986408542627518</v>
      </c>
      <c r="D44">
        <v>0.69770487796287661</v>
      </c>
      <c r="E44">
        <f t="shared" si="7"/>
        <v>0.69747295806110943</v>
      </c>
    </row>
    <row r="45" spans="1:14" x14ac:dyDescent="0.25">
      <c r="A45" t="s">
        <v>6</v>
      </c>
      <c r="B45">
        <v>0.27682411670684809</v>
      </c>
      <c r="C45">
        <v>0.27682411670684809</v>
      </c>
      <c r="D45">
        <v>0.27682411670684809</v>
      </c>
      <c r="E45">
        <f t="shared" si="7"/>
        <v>0.27682411670684809</v>
      </c>
    </row>
    <row r="46" spans="1:14" x14ac:dyDescent="0.25">
      <c r="A46" t="s">
        <v>7</v>
      </c>
      <c r="B46">
        <v>0.20629902184009549</v>
      </c>
      <c r="C46">
        <v>0.20629903674125671</v>
      </c>
      <c r="D46">
        <v>0.20629903674125671</v>
      </c>
      <c r="E46">
        <f t="shared" si="7"/>
        <v>0.20629903177420297</v>
      </c>
    </row>
    <row r="47" spans="1:14" x14ac:dyDescent="0.25">
      <c r="A47" t="s">
        <v>8</v>
      </c>
      <c r="B47">
        <v>0.35012072324752808</v>
      </c>
      <c r="C47">
        <v>0.35012075304985052</v>
      </c>
      <c r="D47">
        <v>0.35012075304985052</v>
      </c>
      <c r="E47">
        <f t="shared" si="7"/>
        <v>0.35012074311574298</v>
      </c>
    </row>
    <row r="48" spans="1:14" x14ac:dyDescent="0.25">
      <c r="A48" t="s">
        <v>9</v>
      </c>
      <c r="B48">
        <v>0.32327586206896552</v>
      </c>
      <c r="C48">
        <v>0.32327586206896552</v>
      </c>
      <c r="D48">
        <v>0.32327586206896552</v>
      </c>
      <c r="E48">
        <f t="shared" si="7"/>
        <v>0.32327586206896552</v>
      </c>
    </row>
    <row r="49" spans="1:5" x14ac:dyDescent="0.25">
      <c r="A49" t="s">
        <v>10</v>
      </c>
      <c r="B49">
        <v>0.52586206896551724</v>
      </c>
      <c r="C49">
        <v>0.52586206896551724</v>
      </c>
      <c r="D49">
        <v>0.52586206896551724</v>
      </c>
      <c r="E49">
        <f t="shared" si="7"/>
        <v>0.52586206896551724</v>
      </c>
    </row>
    <row r="50" spans="1:5" x14ac:dyDescent="0.25">
      <c r="A50" t="s">
        <v>11</v>
      </c>
      <c r="B50">
        <v>13.686254119050909</v>
      </c>
      <c r="C50">
        <v>13.988743539514211</v>
      </c>
      <c r="D50">
        <v>13.93457760070932</v>
      </c>
      <c r="E50">
        <f t="shared" si="7"/>
        <v>13.869858419758145</v>
      </c>
    </row>
    <row r="51" spans="1:5" x14ac:dyDescent="0.25">
      <c r="A51" t="s">
        <v>12</v>
      </c>
      <c r="B51">
        <v>3214.9310344827591</v>
      </c>
      <c r="C51">
        <v>3248.0689655172409</v>
      </c>
      <c r="D51">
        <v>3248.0689655172409</v>
      </c>
      <c r="E51">
        <f t="shared" si="7"/>
        <v>3237.022988505747</v>
      </c>
    </row>
    <row r="52" spans="1:5" x14ac:dyDescent="0.25">
      <c r="A52" t="s">
        <v>13</v>
      </c>
      <c r="B52">
        <v>264.35344827586209</v>
      </c>
      <c r="C52">
        <v>268.85344827586209</v>
      </c>
      <c r="D52">
        <v>268.85344827586209</v>
      </c>
      <c r="E52">
        <f t="shared" si="7"/>
        <v>267.35344827586209</v>
      </c>
    </row>
    <row r="53" spans="1:5" x14ac:dyDescent="0.25">
      <c r="A53" t="s">
        <v>14</v>
      </c>
      <c r="B53">
        <v>3479.28448275862</v>
      </c>
      <c r="C53">
        <v>3516.9224137931028</v>
      </c>
      <c r="D53">
        <v>3516.9224137931028</v>
      </c>
      <c r="E53">
        <f t="shared" si="7"/>
        <v>3504.3764367816088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2F81-2869-4DD7-994B-CCAFA83CF15E}">
  <dimension ref="A1:M53"/>
  <sheetViews>
    <sheetView topLeftCell="A20" workbookViewId="0">
      <selection activeCell="N48" sqref="N4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27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28</v>
      </c>
      <c r="H20" t="s">
        <v>20</v>
      </c>
      <c r="I20" t="s">
        <v>21</v>
      </c>
    </row>
    <row r="21" spans="1:9" x14ac:dyDescent="0.25">
      <c r="A21" t="s">
        <v>0</v>
      </c>
      <c r="B21">
        <v>0.82942260800240186</v>
      </c>
      <c r="C21">
        <v>0.81907386809224791</v>
      </c>
      <c r="D21">
        <v>0.83697206974577576</v>
      </c>
      <c r="E21">
        <f>AVERAGE(B21:D21)</f>
        <v>0.82848951528014181</v>
      </c>
      <c r="G21">
        <f>E21-E3</f>
        <v>1.6720486691113701E-2</v>
      </c>
      <c r="H21">
        <f>G21*100</f>
        <v>1.6720486691113701</v>
      </c>
      <c r="I21">
        <f>G21/E3*100</f>
        <v>2.0597591312613051</v>
      </c>
    </row>
    <row r="22" spans="1:9" x14ac:dyDescent="0.25">
      <c r="A22" t="s">
        <v>1</v>
      </c>
      <c r="B22">
        <v>0.68622742200328413</v>
      </c>
      <c r="C22">
        <v>0.68479064039408866</v>
      </c>
      <c r="D22">
        <v>0.68838259441707705</v>
      </c>
      <c r="E22">
        <f t="shared" ref="E22:E35" si="0">AVERAGE(B22:D22)</f>
        <v>0.68646688560481672</v>
      </c>
      <c r="G22">
        <f t="shared" ref="G22:G35" si="1">E22-E4</f>
        <v>7.4233716475097244E-3</v>
      </c>
      <c r="H22">
        <f t="shared" ref="H22:H35" si="2">G22*100</f>
        <v>0.74233716475097244</v>
      </c>
      <c r="I22">
        <f t="shared" ref="I22:I35" si="3">G22/E4*100</f>
        <v>1.0932100071537461</v>
      </c>
    </row>
    <row r="23" spans="1:9" x14ac:dyDescent="0.25">
      <c r="A23" t="s">
        <v>2</v>
      </c>
      <c r="B23">
        <v>0.63107040227139066</v>
      </c>
      <c r="C23">
        <v>0.64092432947338396</v>
      </c>
      <c r="D23">
        <v>0.63301005744221239</v>
      </c>
      <c r="E23">
        <f t="shared" si="0"/>
        <v>0.63500159639566234</v>
      </c>
      <c r="G23">
        <f t="shared" si="1"/>
        <v>-1.5269795656791207E-2</v>
      </c>
      <c r="H23">
        <f t="shared" si="2"/>
        <v>-1.5269795656791207</v>
      </c>
      <c r="I23">
        <f t="shared" si="3"/>
        <v>-2.3482188888234967</v>
      </c>
    </row>
    <row r="24" spans="1:9" x14ac:dyDescent="0.25">
      <c r="A24" t="s">
        <v>3</v>
      </c>
      <c r="B24">
        <v>0.78669301336032316</v>
      </c>
      <c r="C24">
        <v>0.78658105347643759</v>
      </c>
      <c r="D24">
        <v>0.78658105347643759</v>
      </c>
      <c r="E24">
        <f t="shared" si="0"/>
        <v>0.78661837343773267</v>
      </c>
      <c r="G24">
        <f t="shared" si="1"/>
        <v>2.6480913075905832E-3</v>
      </c>
      <c r="H24">
        <f t="shared" si="2"/>
        <v>0.26480913075905832</v>
      </c>
      <c r="I24">
        <f t="shared" si="3"/>
        <v>0.33777955210182187</v>
      </c>
    </row>
    <row r="25" spans="1:9" x14ac:dyDescent="0.25">
      <c r="A25" t="s">
        <v>4</v>
      </c>
      <c r="B25">
        <v>0.27892677037481889</v>
      </c>
      <c r="C25">
        <v>0.27913308141200083</v>
      </c>
      <c r="D25">
        <v>0.28198964380479391</v>
      </c>
      <c r="E25">
        <f t="shared" si="0"/>
        <v>0.28001649853053784</v>
      </c>
      <c r="G25">
        <f t="shared" si="1"/>
        <v>3.186761138924854E-3</v>
      </c>
      <c r="H25">
        <f t="shared" si="2"/>
        <v>0.3186761138924854</v>
      </c>
      <c r="I25">
        <f t="shared" si="3"/>
        <v>1.1511628660098574</v>
      </c>
    </row>
    <row r="26" spans="1:9" x14ac:dyDescent="0.25">
      <c r="A26" t="s">
        <v>5</v>
      </c>
      <c r="B26">
        <v>0.73448797585820125</v>
      </c>
      <c r="C26">
        <v>0.72740794525530628</v>
      </c>
      <c r="D26">
        <v>0.72399327113539502</v>
      </c>
      <c r="E26">
        <f t="shared" si="0"/>
        <v>0.72862973074963422</v>
      </c>
      <c r="G26">
        <f t="shared" si="1"/>
        <v>-3.2290367726714342E-2</v>
      </c>
      <c r="H26">
        <f t="shared" si="2"/>
        <v>-3.2290367726714342</v>
      </c>
      <c r="I26">
        <f t="shared" si="3"/>
        <v>-4.2435950622636911</v>
      </c>
    </row>
    <row r="27" spans="1:9" x14ac:dyDescent="0.25">
      <c r="A27" t="s">
        <v>6</v>
      </c>
      <c r="B27">
        <v>0.27029168605804438</v>
      </c>
      <c r="C27">
        <v>0.27029168605804438</v>
      </c>
      <c r="D27">
        <v>0.27029168605804438</v>
      </c>
      <c r="E27">
        <f t="shared" si="0"/>
        <v>0.27029168605804438</v>
      </c>
      <c r="G27">
        <f t="shared" si="1"/>
        <v>-1.1586189270019587E-2</v>
      </c>
      <c r="H27">
        <f t="shared" si="2"/>
        <v>-1.1586189270019587</v>
      </c>
      <c r="I27">
        <f t="shared" si="3"/>
        <v>-4.1103578124160984</v>
      </c>
    </row>
    <row r="28" spans="1:9" x14ac:dyDescent="0.25">
      <c r="A28" t="s">
        <v>7</v>
      </c>
      <c r="B28">
        <v>0.18343672156333921</v>
      </c>
      <c r="C28">
        <v>0.18343672156333921</v>
      </c>
      <c r="D28">
        <v>0.18343672156333921</v>
      </c>
      <c r="E28">
        <f t="shared" si="0"/>
        <v>0.18343672156333921</v>
      </c>
      <c r="G28">
        <f t="shared" si="1"/>
        <v>-2.0517597595850645E-2</v>
      </c>
      <c r="H28">
        <f t="shared" si="2"/>
        <v>-2.0517597595850647</v>
      </c>
      <c r="I28">
        <f t="shared" si="3"/>
        <v>-10.059898550045565</v>
      </c>
    </row>
    <row r="29" spans="1:9" x14ac:dyDescent="0.25">
      <c r="A29" t="s">
        <v>8</v>
      </c>
      <c r="B29">
        <v>0.36028611660003662</v>
      </c>
      <c r="C29">
        <v>0.36028611660003662</v>
      </c>
      <c r="D29">
        <v>0.36028611660003662</v>
      </c>
      <c r="E29">
        <f t="shared" si="0"/>
        <v>0.36028611660003662</v>
      </c>
      <c r="G29">
        <f t="shared" si="1"/>
        <v>-1.9787748654683246E-3</v>
      </c>
      <c r="H29">
        <f t="shared" si="2"/>
        <v>-0.19787748654683246</v>
      </c>
      <c r="I29">
        <f t="shared" si="3"/>
        <v>-0.54622319526007523</v>
      </c>
    </row>
    <row r="30" spans="1:9" x14ac:dyDescent="0.25">
      <c r="A30" t="s">
        <v>9</v>
      </c>
      <c r="B30">
        <v>0.38764367816091949</v>
      </c>
      <c r="C30">
        <v>0.38764367816091949</v>
      </c>
      <c r="D30">
        <v>0.38764367816091949</v>
      </c>
      <c r="E30">
        <f t="shared" si="0"/>
        <v>0.38764367816091944</v>
      </c>
      <c r="G30">
        <f t="shared" si="1"/>
        <v>3.1130268199233146E-3</v>
      </c>
      <c r="H30">
        <f t="shared" si="2"/>
        <v>0.31130268199233146</v>
      </c>
      <c r="I30">
        <f t="shared" si="3"/>
        <v>0.80956532569434336</v>
      </c>
    </row>
    <row r="31" spans="1:9" x14ac:dyDescent="0.25">
      <c r="A31" t="s">
        <v>10</v>
      </c>
      <c r="B31">
        <v>0.53448275862068961</v>
      </c>
      <c r="C31">
        <v>0.53448275862068961</v>
      </c>
      <c r="D31">
        <v>0.53448275862068961</v>
      </c>
      <c r="E31">
        <f t="shared" si="0"/>
        <v>0.53448275862068961</v>
      </c>
      <c r="G31">
        <f t="shared" si="1"/>
        <v>-1.1494252873563315E-2</v>
      </c>
      <c r="H31">
        <f t="shared" si="2"/>
        <v>-1.1494252873563315</v>
      </c>
      <c r="I31">
        <f t="shared" si="3"/>
        <v>-2.1052631578947545</v>
      </c>
    </row>
    <row r="32" spans="1:9" x14ac:dyDescent="0.25">
      <c r="A32" t="s">
        <v>11</v>
      </c>
      <c r="B32">
        <v>14.790449845379801</v>
      </c>
      <c r="C32">
        <v>14.404554757578619</v>
      </c>
      <c r="D32">
        <v>14.29380257581842</v>
      </c>
      <c r="E32">
        <f t="shared" si="0"/>
        <v>14.496269059592279</v>
      </c>
      <c r="G32">
        <f t="shared" si="1"/>
        <v>-1.8620724417697438</v>
      </c>
      <c r="I32">
        <f t="shared" si="3"/>
        <v>-11.383014846674429</v>
      </c>
    </row>
    <row r="33" spans="1:13" x14ac:dyDescent="0.25">
      <c r="A33" t="s">
        <v>12</v>
      </c>
      <c r="B33">
        <v>3265.3362068965521</v>
      </c>
      <c r="C33">
        <v>3306.1034482758619</v>
      </c>
      <c r="D33">
        <v>3306.1034482758619</v>
      </c>
      <c r="E33">
        <f t="shared" si="0"/>
        <v>3292.5143678160916</v>
      </c>
      <c r="G33">
        <f t="shared" si="1"/>
        <v>141.64655172413813</v>
      </c>
      <c r="H33">
        <f t="shared" si="2"/>
        <v>14164.655172413813</v>
      </c>
      <c r="I33">
        <f t="shared" si="3"/>
        <v>4.4954774364296721</v>
      </c>
    </row>
    <row r="34" spans="1:13" x14ac:dyDescent="0.25">
      <c r="A34" t="s">
        <v>13</v>
      </c>
      <c r="B34">
        <v>288.15517241379308</v>
      </c>
      <c r="C34">
        <v>289.83620689655169</v>
      </c>
      <c r="D34">
        <v>289.83620689655169</v>
      </c>
      <c r="E34">
        <f t="shared" si="0"/>
        <v>289.27586206896552</v>
      </c>
      <c r="G34">
        <f t="shared" si="1"/>
        <v>28.551724137931046</v>
      </c>
      <c r="H34">
        <f t="shared" si="2"/>
        <v>2855.1724137931046</v>
      </c>
      <c r="I34">
        <f t="shared" si="3"/>
        <v>10.950932416347049</v>
      </c>
    </row>
    <row r="35" spans="1:13" x14ac:dyDescent="0.25">
      <c r="A35" t="s">
        <v>14</v>
      </c>
      <c r="B35">
        <v>3553.4913793103451</v>
      </c>
      <c r="C35">
        <v>3595.9396551724139</v>
      </c>
      <c r="D35">
        <v>3595.9396551724139</v>
      </c>
      <c r="E35">
        <f t="shared" si="0"/>
        <v>3581.7902298850581</v>
      </c>
      <c r="G35">
        <f t="shared" si="1"/>
        <v>170.19827586206975</v>
      </c>
      <c r="H35">
        <f t="shared" si="2"/>
        <v>17019.827586206975</v>
      </c>
      <c r="I35">
        <f t="shared" si="3"/>
        <v>4.9888227594560357</v>
      </c>
    </row>
    <row r="37" spans="1:13" x14ac:dyDescent="0.25">
      <c r="A37" t="s">
        <v>38</v>
      </c>
    </row>
    <row r="38" spans="1:13" x14ac:dyDescent="0.25">
      <c r="B38" t="s">
        <v>15</v>
      </c>
      <c r="C38" t="s">
        <v>16</v>
      </c>
      <c r="D38" t="s">
        <v>17</v>
      </c>
      <c r="E38" t="s">
        <v>18</v>
      </c>
      <c r="G38" t="s">
        <v>28</v>
      </c>
      <c r="H38" t="s">
        <v>20</v>
      </c>
      <c r="I38" t="s">
        <v>21</v>
      </c>
      <c r="K38" t="s">
        <v>39</v>
      </c>
      <c r="L38" t="s">
        <v>20</v>
      </c>
      <c r="M38" t="s">
        <v>21</v>
      </c>
    </row>
    <row r="39" spans="1:13" x14ac:dyDescent="0.25">
      <c r="A39" t="s">
        <v>0</v>
      </c>
      <c r="B39">
        <v>0.82656327679414054</v>
      </c>
      <c r="C39">
        <v>0.8289825680952343</v>
      </c>
      <c r="D39">
        <v>0.81082077588003221</v>
      </c>
      <c r="E39">
        <f>AVERAGE(B39:D39)</f>
        <v>0.82212220692313576</v>
      </c>
      <c r="G39">
        <f>E39-E3</f>
        <v>1.0353178334107649E-2</v>
      </c>
      <c r="H39">
        <f>G39*100</f>
        <v>1.0353178334107649</v>
      </c>
      <c r="I39">
        <f>G39/E3*100</f>
        <v>1.2753847423943938</v>
      </c>
      <c r="K39">
        <f>E39-E21</f>
        <v>-6.3673083570060518E-3</v>
      </c>
      <c r="L39">
        <f>K39*100</f>
        <v>-0.63673083570060518</v>
      </c>
      <c r="M39">
        <f>K39/E21*100</f>
        <v>-0.76854422893366825</v>
      </c>
    </row>
    <row r="40" spans="1:13" x14ac:dyDescent="0.25">
      <c r="A40" t="s">
        <v>1</v>
      </c>
      <c r="B40">
        <v>0.70059523809523816</v>
      </c>
      <c r="C40">
        <v>0.6936986863711001</v>
      </c>
      <c r="D40">
        <v>0.67918719211822653</v>
      </c>
      <c r="E40">
        <f t="shared" ref="E40:E53" si="4">AVERAGE(B40:D40)</f>
        <v>0.69116037219485493</v>
      </c>
      <c r="G40">
        <f t="shared" ref="G40:G53" si="5">E40-E4</f>
        <v>1.2116858237547934E-2</v>
      </c>
      <c r="H40">
        <f t="shared" ref="H40:H53" si="6">G40*100</f>
        <v>1.2116858237547934</v>
      </c>
      <c r="I40">
        <f t="shared" ref="I40:I53" si="7">G40/E4*100</f>
        <v>1.7844008503864079</v>
      </c>
      <c r="K40">
        <f t="shared" ref="K40:K53" si="8">E40-E22</f>
        <v>4.6934865900382094E-3</v>
      </c>
      <c r="L40">
        <f t="shared" ref="L40:L53" si="9">K40*100</f>
        <v>0.46934865900382094</v>
      </c>
      <c r="M40">
        <f t="shared" ref="M40:M53" si="10">K40/E22*100</f>
        <v>0.6837163872665144</v>
      </c>
    </row>
    <row r="41" spans="1:13" x14ac:dyDescent="0.25">
      <c r="A41" t="s">
        <v>2</v>
      </c>
      <c r="B41">
        <v>0.64985632181081665</v>
      </c>
      <c r="C41">
        <v>0.6366618773664624</v>
      </c>
      <c r="D41">
        <v>0.6296695402024306</v>
      </c>
      <c r="E41">
        <f t="shared" si="4"/>
        <v>0.63872924645990325</v>
      </c>
      <c r="G41">
        <f t="shared" si="5"/>
        <v>-1.154214559255029E-2</v>
      </c>
      <c r="H41">
        <f t="shared" si="6"/>
        <v>-1.154214559255029</v>
      </c>
      <c r="I41">
        <f t="shared" si="7"/>
        <v>-1.7749736084990271</v>
      </c>
      <c r="K41">
        <f t="shared" si="8"/>
        <v>3.7276500642409172E-3</v>
      </c>
      <c r="L41">
        <f t="shared" si="9"/>
        <v>0.37276500642409172</v>
      </c>
      <c r="M41">
        <f t="shared" si="10"/>
        <v>0.58703003038094104</v>
      </c>
    </row>
    <row r="42" spans="1:13" x14ac:dyDescent="0.25">
      <c r="A42" t="s">
        <v>3</v>
      </c>
      <c r="B42">
        <v>0.78816072418113925</v>
      </c>
      <c r="C42">
        <v>0.78816072418113925</v>
      </c>
      <c r="D42">
        <v>0.78754667730372863</v>
      </c>
      <c r="E42">
        <f t="shared" si="4"/>
        <v>0.78795604188866897</v>
      </c>
      <c r="G42">
        <f t="shared" si="5"/>
        <v>3.9857597585268856E-3</v>
      </c>
      <c r="H42">
        <f t="shared" si="6"/>
        <v>0.39857597585268856</v>
      </c>
      <c r="I42">
        <f t="shared" si="7"/>
        <v>0.50840699569594583</v>
      </c>
      <c r="K42">
        <f t="shared" si="8"/>
        <v>1.3376684509363024E-3</v>
      </c>
      <c r="L42">
        <f t="shared" si="9"/>
        <v>0.13376684509363024</v>
      </c>
      <c r="M42">
        <f t="shared" si="10"/>
        <v>0.17005303919997869</v>
      </c>
    </row>
    <row r="43" spans="1:13" x14ac:dyDescent="0.25">
      <c r="A43" t="s">
        <v>4</v>
      </c>
      <c r="B43">
        <v>0.270833204592274</v>
      </c>
      <c r="C43">
        <v>0.27353930496455231</v>
      </c>
      <c r="D43">
        <v>0.26164286238303569</v>
      </c>
      <c r="E43">
        <f t="shared" si="4"/>
        <v>0.26867179064662067</v>
      </c>
      <c r="G43">
        <f t="shared" si="5"/>
        <v>-8.1579467449923171E-3</v>
      </c>
      <c r="H43">
        <f t="shared" si="6"/>
        <v>-0.81579467449923171</v>
      </c>
      <c r="I43">
        <f t="shared" si="7"/>
        <v>-2.9469185001074512</v>
      </c>
      <c r="K43">
        <f t="shared" si="8"/>
        <v>-1.1344707883917171E-2</v>
      </c>
      <c r="L43">
        <f t="shared" si="9"/>
        <v>-1.1344707883917171</v>
      </c>
      <c r="M43">
        <f t="shared" si="10"/>
        <v>-4.0514426626472329</v>
      </c>
    </row>
    <row r="44" spans="1:13" x14ac:dyDescent="0.25">
      <c r="A44" t="s">
        <v>5</v>
      </c>
      <c r="B44">
        <v>0.75288451120417488</v>
      </c>
      <c r="C44">
        <v>0.74089198267940448</v>
      </c>
      <c r="D44">
        <v>0.74343374629311654</v>
      </c>
      <c r="E44">
        <f t="shared" si="4"/>
        <v>0.74573674672556534</v>
      </c>
      <c r="G44">
        <f t="shared" si="5"/>
        <v>-1.5183351750783225E-2</v>
      </c>
      <c r="H44">
        <f t="shared" si="6"/>
        <v>-1.5183351750783225</v>
      </c>
      <c r="I44">
        <f t="shared" si="7"/>
        <v>-1.9953937057499296</v>
      </c>
      <c r="K44">
        <f t="shared" si="8"/>
        <v>1.7107015975931117E-2</v>
      </c>
      <c r="L44">
        <f t="shared" si="9"/>
        <v>1.7107015975931117</v>
      </c>
      <c r="M44">
        <f t="shared" si="10"/>
        <v>2.3478339208490642</v>
      </c>
    </row>
    <row r="45" spans="1:13" x14ac:dyDescent="0.25">
      <c r="A45" t="s">
        <v>6</v>
      </c>
      <c r="B45">
        <v>0.27484303712844849</v>
      </c>
      <c r="C45">
        <v>0.27484303712844849</v>
      </c>
      <c r="D45">
        <v>0.27484303712844849</v>
      </c>
      <c r="E45">
        <f t="shared" si="4"/>
        <v>0.27484303712844849</v>
      </c>
      <c r="G45">
        <f t="shared" si="5"/>
        <v>-7.0348381996154785E-3</v>
      </c>
      <c r="H45">
        <f t="shared" si="6"/>
        <v>-0.70348381996154785</v>
      </c>
      <c r="I45">
        <f t="shared" si="7"/>
        <v>-2.4957042802412115</v>
      </c>
      <c r="K45">
        <f t="shared" si="8"/>
        <v>4.5513510704041082E-3</v>
      </c>
      <c r="L45">
        <f t="shared" si="9"/>
        <v>0.45513510704041082</v>
      </c>
      <c r="M45">
        <f t="shared" si="10"/>
        <v>1.6838664691398311</v>
      </c>
    </row>
    <row r="46" spans="1:13" x14ac:dyDescent="0.25">
      <c r="A46" t="s">
        <v>7</v>
      </c>
      <c r="B46">
        <v>0.18767473101615911</v>
      </c>
      <c r="C46">
        <v>0.18767473101615911</v>
      </c>
      <c r="D46">
        <v>0.18767473101615911</v>
      </c>
      <c r="E46">
        <f t="shared" si="4"/>
        <v>0.18767473101615914</v>
      </c>
      <c r="G46">
        <f t="shared" si="5"/>
        <v>-1.627958814303071E-2</v>
      </c>
      <c r="H46">
        <f t="shared" si="6"/>
        <v>-1.627958814303071</v>
      </c>
      <c r="I46">
        <f t="shared" si="7"/>
        <v>-7.9819776360432027</v>
      </c>
      <c r="K46">
        <f t="shared" si="8"/>
        <v>4.2380094528199352E-3</v>
      </c>
      <c r="L46">
        <f t="shared" si="9"/>
        <v>0.42380094528199352</v>
      </c>
      <c r="M46">
        <f t="shared" si="10"/>
        <v>2.3103386370523338</v>
      </c>
    </row>
    <row r="47" spans="1:13" x14ac:dyDescent="0.25">
      <c r="A47" t="s">
        <v>8</v>
      </c>
      <c r="B47">
        <v>0.36515083909034729</v>
      </c>
      <c r="C47">
        <v>0.36515083909034729</v>
      </c>
      <c r="D47">
        <v>0.36515083909034729</v>
      </c>
      <c r="E47">
        <f t="shared" si="4"/>
        <v>0.36515083909034729</v>
      </c>
      <c r="G47">
        <f t="shared" si="5"/>
        <v>2.8859476248423444E-3</v>
      </c>
      <c r="H47">
        <f t="shared" si="6"/>
        <v>0.28859476248423444</v>
      </c>
      <c r="I47">
        <f t="shared" si="7"/>
        <v>0.79664016382253977</v>
      </c>
      <c r="K47">
        <f t="shared" si="8"/>
        <v>4.8647224903106689E-3</v>
      </c>
      <c r="L47">
        <f t="shared" si="9"/>
        <v>0.48647224903106689</v>
      </c>
      <c r="M47">
        <f t="shared" si="10"/>
        <v>1.3502386759218727</v>
      </c>
    </row>
    <row r="48" spans="1:13" x14ac:dyDescent="0.25">
      <c r="A48" t="s">
        <v>9</v>
      </c>
      <c r="B48">
        <v>0.38045977011494247</v>
      </c>
      <c r="C48">
        <v>0.38045977011494247</v>
      </c>
      <c r="D48">
        <v>0.37614942528735629</v>
      </c>
      <c r="E48">
        <f t="shared" si="4"/>
        <v>0.37902298850574706</v>
      </c>
      <c r="G48">
        <f t="shared" si="5"/>
        <v>-5.5076628352490609E-3</v>
      </c>
      <c r="H48">
        <f t="shared" si="6"/>
        <v>-0.55076628352490609</v>
      </c>
      <c r="I48">
        <f t="shared" si="7"/>
        <v>-1.4323078839207921</v>
      </c>
      <c r="K48">
        <f t="shared" si="8"/>
        <v>-8.6206896551723755E-3</v>
      </c>
      <c r="L48">
        <f t="shared" si="9"/>
        <v>-0.86206896551723755</v>
      </c>
      <c r="M48">
        <f t="shared" si="10"/>
        <v>-2.223869532987389</v>
      </c>
    </row>
    <row r="49" spans="1:13" x14ac:dyDescent="0.25">
      <c r="A49" t="s">
        <v>10</v>
      </c>
      <c r="B49">
        <v>0.53448275862068961</v>
      </c>
      <c r="C49">
        <v>0.53448275862068961</v>
      </c>
      <c r="D49">
        <v>0.52586206896551724</v>
      </c>
      <c r="E49">
        <f t="shared" si="4"/>
        <v>0.53160919540229878</v>
      </c>
      <c r="G49">
        <f t="shared" si="5"/>
        <v>-1.4367816091954144E-2</v>
      </c>
      <c r="H49">
        <f t="shared" si="6"/>
        <v>-1.4367816091954144</v>
      </c>
      <c r="I49">
        <f t="shared" si="7"/>
        <v>-2.631578947368443</v>
      </c>
      <c r="K49">
        <f t="shared" si="8"/>
        <v>-2.8735632183908288E-3</v>
      </c>
      <c r="L49">
        <f t="shared" si="9"/>
        <v>-0.28735632183908288</v>
      </c>
      <c r="M49">
        <f t="shared" si="10"/>
        <v>-0.53763440860215506</v>
      </c>
    </row>
    <row r="50" spans="1:13" x14ac:dyDescent="0.25">
      <c r="A50" t="s">
        <v>11</v>
      </c>
      <c r="B50">
        <v>14.33953851050344</v>
      </c>
      <c r="C50">
        <v>14.31084390138758</v>
      </c>
      <c r="D50">
        <v>14.470961465917791</v>
      </c>
      <c r="E50">
        <f t="shared" si="4"/>
        <v>14.373781292602937</v>
      </c>
      <c r="G50">
        <f t="shared" si="5"/>
        <v>-1.9845602087590866</v>
      </c>
      <c r="H50">
        <f t="shared" si="6"/>
        <v>-198.45602087590865</v>
      </c>
      <c r="I50">
        <f t="shared" si="7"/>
        <v>-12.131793486484241</v>
      </c>
      <c r="K50">
        <f t="shared" si="8"/>
        <v>-0.12248776698934272</v>
      </c>
      <c r="L50">
        <f t="shared" si="9"/>
        <v>-12.248776698934272</v>
      </c>
      <c r="M50">
        <f t="shared" si="10"/>
        <v>-0.84496063425569312</v>
      </c>
    </row>
    <row r="51" spans="1:13" x14ac:dyDescent="0.25">
      <c r="A51" t="s">
        <v>12</v>
      </c>
      <c r="B51">
        <v>3309.0086206896549</v>
      </c>
      <c r="C51">
        <v>3309.0086206896549</v>
      </c>
      <c r="D51">
        <v>3252.3017241379312</v>
      </c>
      <c r="E51">
        <f t="shared" si="4"/>
        <v>3290.1063218390805</v>
      </c>
      <c r="G51">
        <f t="shared" si="5"/>
        <v>139.23850574712696</v>
      </c>
      <c r="H51">
        <f t="shared" si="6"/>
        <v>13923.850574712696</v>
      </c>
      <c r="I51">
        <f t="shared" si="7"/>
        <v>4.4190525872274007</v>
      </c>
      <c r="K51">
        <f t="shared" si="8"/>
        <v>-2.4080459770111702</v>
      </c>
      <c r="L51">
        <f t="shared" si="9"/>
        <v>-240.80459770111702</v>
      </c>
      <c r="M51">
        <f t="shared" si="10"/>
        <v>-7.3136992219366231E-2</v>
      </c>
    </row>
    <row r="52" spans="1:13" x14ac:dyDescent="0.25">
      <c r="A52" t="s">
        <v>13</v>
      </c>
      <c r="B52">
        <v>292.01724137931029</v>
      </c>
      <c r="C52">
        <v>292.01724137931029</v>
      </c>
      <c r="D52">
        <v>289.13793103448268</v>
      </c>
      <c r="E52">
        <f t="shared" si="4"/>
        <v>291.05747126436773</v>
      </c>
      <c r="G52">
        <f t="shared" si="5"/>
        <v>30.333333333333258</v>
      </c>
      <c r="H52">
        <f t="shared" si="6"/>
        <v>3033.3333333333258</v>
      </c>
      <c r="I52">
        <f t="shared" si="7"/>
        <v>11.634263545386384</v>
      </c>
      <c r="K52">
        <f t="shared" si="8"/>
        <v>1.7816091954022113</v>
      </c>
      <c r="L52">
        <f t="shared" si="9"/>
        <v>178.16091954022113</v>
      </c>
      <c r="M52">
        <f t="shared" si="10"/>
        <v>0.61588588230616437</v>
      </c>
    </row>
    <row r="53" spans="1:13" x14ac:dyDescent="0.25">
      <c r="A53" t="s">
        <v>14</v>
      </c>
      <c r="B53">
        <v>3601.025862068966</v>
      </c>
      <c r="C53">
        <v>3601.025862068966</v>
      </c>
      <c r="D53">
        <v>3541.4396551724139</v>
      </c>
      <c r="E53">
        <f t="shared" si="4"/>
        <v>3581.1637931034488</v>
      </c>
      <c r="G53">
        <f t="shared" si="5"/>
        <v>169.57183908046045</v>
      </c>
      <c r="H53">
        <f t="shared" si="6"/>
        <v>16957.183908046045</v>
      </c>
      <c r="I53">
        <f t="shared" si="7"/>
        <v>4.9704607516294379</v>
      </c>
      <c r="K53">
        <f t="shared" si="8"/>
        <v>-0.62643678160929994</v>
      </c>
      <c r="L53">
        <f t="shared" si="9"/>
        <v>-62.643678160929994</v>
      </c>
      <c r="M53">
        <f t="shared" si="10"/>
        <v>-1.7489488255972005E-2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645BA-4320-4872-8BE0-F942A2DC1EF9}">
  <dimension ref="A1:I35"/>
  <sheetViews>
    <sheetView tabSelected="1" workbookViewId="0">
      <selection activeCell="K15" sqref="K15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44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28</v>
      </c>
      <c r="H20" t="s">
        <v>20</v>
      </c>
      <c r="I20" t="s">
        <v>21</v>
      </c>
    </row>
    <row r="21" spans="1:9" x14ac:dyDescent="0.25">
      <c r="A21" t="s">
        <v>0</v>
      </c>
      <c r="B21">
        <v>0.69708300548484181</v>
      </c>
      <c r="C21">
        <v>0.68619268951218881</v>
      </c>
      <c r="D21">
        <v>0.69043864342018768</v>
      </c>
      <c r="E21">
        <f>AVERAGE(B21:D21)</f>
        <v>0.69123811280573955</v>
      </c>
      <c r="G21">
        <f>E21-E3</f>
        <v>-0.12053091578328856</v>
      </c>
      <c r="H21">
        <f>G21*100</f>
        <v>-12.053091578328857</v>
      </c>
      <c r="I21">
        <f>G21/E3*100</f>
        <v>-14.847932298278085</v>
      </c>
    </row>
    <row r="22" spans="1:9" x14ac:dyDescent="0.25">
      <c r="A22" t="s">
        <v>1</v>
      </c>
      <c r="B22">
        <v>0.54382183908045989</v>
      </c>
      <c r="C22">
        <v>0.55456178160919545</v>
      </c>
      <c r="D22">
        <v>0.54170258620689649</v>
      </c>
      <c r="E22">
        <f t="shared" ref="E22:E35" si="0">AVERAGE(B22:D22)</f>
        <v>0.54669540229885061</v>
      </c>
      <c r="G22">
        <f t="shared" ref="G22:G35" si="1">E22-E4</f>
        <v>-0.13234811165845639</v>
      </c>
      <c r="H22">
        <f t="shared" ref="H22:H35" si="2">G22*100</f>
        <v>-13.234811165845638</v>
      </c>
      <c r="I22">
        <f t="shared" ref="I22:I35" si="3">G22/E4*100</f>
        <v>-19.490372698969246</v>
      </c>
    </row>
    <row r="23" spans="1:9" x14ac:dyDescent="0.25">
      <c r="A23" t="s">
        <v>2</v>
      </c>
      <c r="B23">
        <v>0.54386973177266829</v>
      </c>
      <c r="C23">
        <v>0.56154214556239368</v>
      </c>
      <c r="D23">
        <v>0.5518438697030642</v>
      </c>
      <c r="E23">
        <f t="shared" si="0"/>
        <v>0.55241858234604202</v>
      </c>
      <c r="G23">
        <f t="shared" si="1"/>
        <v>-9.7852809706411525E-2</v>
      </c>
      <c r="H23">
        <f t="shared" si="2"/>
        <v>-9.7852809706411534</v>
      </c>
      <c r="I23">
        <f t="shared" si="3"/>
        <v>-15.047995483479355</v>
      </c>
    </row>
    <row r="24" spans="1:9" x14ac:dyDescent="0.25">
      <c r="A24" t="s">
        <v>3</v>
      </c>
      <c r="B24">
        <v>0.75825958252819026</v>
      </c>
      <c r="C24">
        <v>0.75787122879854174</v>
      </c>
      <c r="D24">
        <v>0.75761264842422937</v>
      </c>
      <c r="E24">
        <f t="shared" si="0"/>
        <v>0.75791448658365379</v>
      </c>
      <c r="G24">
        <f t="shared" si="1"/>
        <v>-2.6055795546488292E-2</v>
      </c>
      <c r="H24">
        <f t="shared" si="2"/>
        <v>-2.6055795546488292</v>
      </c>
      <c r="I24">
        <f t="shared" si="3"/>
        <v>-3.3235692908781624</v>
      </c>
    </row>
    <row r="25" spans="1:9" x14ac:dyDescent="0.25">
      <c r="A25" t="s">
        <v>4</v>
      </c>
      <c r="B25">
        <v>0.24732082527461621</v>
      </c>
      <c r="C25">
        <v>0.26852957042579167</v>
      </c>
      <c r="D25">
        <v>0.25631329889661297</v>
      </c>
      <c r="E25">
        <f t="shared" si="0"/>
        <v>0.25738789819900698</v>
      </c>
      <c r="G25">
        <f t="shared" si="1"/>
        <v>-1.9441839192606003E-2</v>
      </c>
      <c r="H25">
        <f t="shared" si="2"/>
        <v>-1.9441839192606003</v>
      </c>
      <c r="I25">
        <f t="shared" si="3"/>
        <v>-7.0230313317470303</v>
      </c>
    </row>
    <row r="26" spans="1:9" x14ac:dyDescent="0.25">
      <c r="A26" t="s">
        <v>5</v>
      </c>
      <c r="B26">
        <v>0.68557666824483743</v>
      </c>
      <c r="C26">
        <v>0.69038667204946758</v>
      </c>
      <c r="D26">
        <v>0.67024264595989635</v>
      </c>
      <c r="E26">
        <f t="shared" si="0"/>
        <v>0.68206866208473382</v>
      </c>
      <c r="G26">
        <f t="shared" si="1"/>
        <v>-7.8851436391614738E-2</v>
      </c>
      <c r="H26">
        <f t="shared" si="2"/>
        <v>-7.8851436391614733</v>
      </c>
      <c r="I26">
        <f t="shared" si="3"/>
        <v>-10.362643403624809</v>
      </c>
    </row>
    <row r="27" spans="1:9" x14ac:dyDescent="0.25">
      <c r="A27" t="s">
        <v>6</v>
      </c>
      <c r="B27">
        <v>0.24896968901157379</v>
      </c>
      <c r="C27">
        <v>0.24896970391273501</v>
      </c>
      <c r="D27">
        <v>0.24896968901157379</v>
      </c>
      <c r="E27">
        <f t="shared" si="0"/>
        <v>0.24896969397862753</v>
      </c>
      <c r="G27">
        <f t="shared" si="1"/>
        <v>-3.2908181349436433E-2</v>
      </c>
      <c r="H27">
        <f t="shared" si="2"/>
        <v>-3.2908181349436432</v>
      </c>
      <c r="I27">
        <f t="shared" si="3"/>
        <v>-11.674623739495765</v>
      </c>
    </row>
    <row r="28" spans="1:9" x14ac:dyDescent="0.25">
      <c r="A28" t="s">
        <v>7</v>
      </c>
      <c r="B28">
        <v>0.18234170973300931</v>
      </c>
      <c r="C28">
        <v>0.18234170973300931</v>
      </c>
      <c r="D28">
        <v>0.18234170973300931</v>
      </c>
      <c r="E28">
        <f t="shared" si="0"/>
        <v>0.18234170973300931</v>
      </c>
      <c r="G28">
        <f t="shared" si="1"/>
        <v>-2.161260942618054E-2</v>
      </c>
      <c r="H28">
        <f t="shared" si="2"/>
        <v>-2.1612609426180542</v>
      </c>
      <c r="I28">
        <f t="shared" si="3"/>
        <v>-10.596789278736249</v>
      </c>
    </row>
    <row r="29" spans="1:9" x14ac:dyDescent="0.25">
      <c r="A29" t="s">
        <v>8</v>
      </c>
      <c r="B29">
        <v>0.31667336821556091</v>
      </c>
      <c r="C29">
        <v>0.31667336821556091</v>
      </c>
      <c r="D29">
        <v>0.31667336821556091</v>
      </c>
      <c r="E29">
        <f t="shared" si="0"/>
        <v>0.31667336821556091</v>
      </c>
      <c r="G29">
        <f t="shared" si="1"/>
        <v>-4.5591523249944033E-2</v>
      </c>
      <c r="H29">
        <f t="shared" si="2"/>
        <v>-4.559152324994403</v>
      </c>
      <c r="I29">
        <f t="shared" si="3"/>
        <v>-12.585134337889677</v>
      </c>
    </row>
    <row r="30" spans="1:9" x14ac:dyDescent="0.25">
      <c r="A30" t="s">
        <v>9</v>
      </c>
      <c r="B30">
        <v>0.31393678160919541</v>
      </c>
      <c r="C30">
        <v>0.31393678160919541</v>
      </c>
      <c r="D30">
        <v>0.31393678160919541</v>
      </c>
      <c r="E30">
        <f t="shared" si="0"/>
        <v>0.31393678160919541</v>
      </c>
      <c r="G30">
        <f t="shared" si="1"/>
        <v>-7.0593869731800707E-2</v>
      </c>
      <c r="H30">
        <f t="shared" si="2"/>
        <v>-7.0593869731800707</v>
      </c>
      <c r="I30">
        <f t="shared" si="3"/>
        <v>-18.358450616515121</v>
      </c>
    </row>
    <row r="31" spans="1:9" x14ac:dyDescent="0.25">
      <c r="A31" t="s">
        <v>10</v>
      </c>
      <c r="B31">
        <v>0.43965517241379309</v>
      </c>
      <c r="C31">
        <v>0.43965517241379309</v>
      </c>
      <c r="D31">
        <v>0.43965517241379309</v>
      </c>
      <c r="E31">
        <f t="shared" si="0"/>
        <v>0.43965517241379309</v>
      </c>
      <c r="G31">
        <f t="shared" si="1"/>
        <v>-0.10632183908045983</v>
      </c>
      <c r="H31">
        <f t="shared" si="2"/>
        <v>-10.632183908045983</v>
      </c>
      <c r="I31">
        <f t="shared" si="3"/>
        <v>-19.473684210526326</v>
      </c>
    </row>
    <row r="32" spans="1:9" x14ac:dyDescent="0.25">
      <c r="A32" t="s">
        <v>11</v>
      </c>
      <c r="B32">
        <v>15.542166568081949</v>
      </c>
      <c r="C32">
        <v>14.3348177322026</v>
      </c>
      <c r="D32">
        <v>14.5566102101885</v>
      </c>
      <c r="E32">
        <f t="shared" si="0"/>
        <v>14.811198170157683</v>
      </c>
      <c r="G32">
        <f t="shared" si="1"/>
        <v>-1.5471433312043406</v>
      </c>
      <c r="H32">
        <f t="shared" si="2"/>
        <v>-154.71433312043405</v>
      </c>
      <c r="I32">
        <f t="shared" si="3"/>
        <v>-9.4578251167792455</v>
      </c>
    </row>
    <row r="33" spans="1:9" x14ac:dyDescent="0.25">
      <c r="A33" t="s">
        <v>12</v>
      </c>
      <c r="B33">
        <v>3596.8103448275861</v>
      </c>
      <c r="C33">
        <v>3623.370689655173</v>
      </c>
      <c r="D33">
        <v>3623.370689655173</v>
      </c>
      <c r="E33">
        <f t="shared" si="0"/>
        <v>3614.5172413793102</v>
      </c>
      <c r="G33">
        <f t="shared" si="1"/>
        <v>463.64942528735673</v>
      </c>
      <c r="H33">
        <f t="shared" si="2"/>
        <v>46364.942528735672</v>
      </c>
      <c r="I33">
        <f t="shared" si="3"/>
        <v>14.714975440081293</v>
      </c>
    </row>
    <row r="34" spans="1:9" x14ac:dyDescent="0.25">
      <c r="A34" t="s">
        <v>13</v>
      </c>
      <c r="B34">
        <v>271.88793103448268</v>
      </c>
      <c r="C34">
        <v>272.25862068965517</v>
      </c>
      <c r="D34">
        <v>272.25862068965517</v>
      </c>
      <c r="E34">
        <f t="shared" si="0"/>
        <v>272.13505747126436</v>
      </c>
      <c r="G34">
        <f t="shared" si="1"/>
        <v>11.410919540229884</v>
      </c>
      <c r="H34">
        <f t="shared" si="2"/>
        <v>1141.0919540229884</v>
      </c>
      <c r="I34">
        <f t="shared" si="3"/>
        <v>4.3766256667989234</v>
      </c>
    </row>
    <row r="35" spans="1:9" x14ac:dyDescent="0.25">
      <c r="A35" t="s">
        <v>14</v>
      </c>
      <c r="B35">
        <v>3868.6982758620688</v>
      </c>
      <c r="C35">
        <v>3895.629310344827</v>
      </c>
      <c r="D35">
        <v>3895.629310344827</v>
      </c>
      <c r="E35">
        <f t="shared" si="0"/>
        <v>3886.6522988505744</v>
      </c>
      <c r="G35">
        <f t="shared" si="1"/>
        <v>475.06034482758605</v>
      </c>
      <c r="H35">
        <f t="shared" si="2"/>
        <v>47506.034482758609</v>
      </c>
      <c r="I35">
        <f t="shared" si="3"/>
        <v>13.924887595874102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9704-B313-4B78-9F56-EFF1171E91BE}">
  <dimension ref="A1:AH59"/>
  <sheetViews>
    <sheetView topLeftCell="A28" zoomScaleNormal="100" workbookViewId="0">
      <pane xSplit="1" topLeftCell="Q1" activePane="topRight" state="frozen"/>
      <selection activeCell="A25" sqref="A25"/>
      <selection pane="topRight" activeCell="AB37" sqref="AB37"/>
    </sheetView>
  </sheetViews>
  <sheetFormatPr baseColWidth="10" defaultRowHeight="15" x14ac:dyDescent="0.25"/>
  <cols>
    <col min="21" max="21" width="15.5703125" customWidth="1"/>
    <col min="32" max="32" width="18.1406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27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27" x14ac:dyDescent="0.25">
      <c r="A19" t="s">
        <v>46</v>
      </c>
      <c r="B19" t="s">
        <v>29</v>
      </c>
      <c r="C19" t="s">
        <v>48</v>
      </c>
      <c r="O19" t="s">
        <v>46</v>
      </c>
      <c r="P19" t="s">
        <v>29</v>
      </c>
      <c r="Q19" t="s">
        <v>50</v>
      </c>
    </row>
    <row r="20" spans="1:27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  <c r="K20" t="s">
        <v>47</v>
      </c>
      <c r="L20" t="s">
        <v>20</v>
      </c>
      <c r="M20" t="s">
        <v>21</v>
      </c>
      <c r="P20" t="s">
        <v>15</v>
      </c>
      <c r="Q20" t="s">
        <v>16</v>
      </c>
      <c r="R20" t="s">
        <v>17</v>
      </c>
      <c r="S20" t="s">
        <v>18</v>
      </c>
      <c r="U20" t="s">
        <v>49</v>
      </c>
      <c r="V20" t="s">
        <v>20</v>
      </c>
      <c r="W20" t="s">
        <v>21</v>
      </c>
      <c r="Y20" t="s">
        <v>47</v>
      </c>
      <c r="Z20" t="s">
        <v>20</v>
      </c>
      <c r="AA20" t="s">
        <v>21</v>
      </c>
    </row>
    <row r="21" spans="1:27" x14ac:dyDescent="0.25">
      <c r="A21" t="s">
        <v>0</v>
      </c>
      <c r="B21">
        <v>0.86193303860933868</v>
      </c>
      <c r="C21">
        <v>0.85836585582356695</v>
      </c>
      <c r="D21">
        <v>0.87427053376171693</v>
      </c>
      <c r="E21">
        <f t="shared" ref="E21:E36" si="0">AVERAGE(B21:D21)</f>
        <v>0.86485647606487426</v>
      </c>
      <c r="G21">
        <f>E21-E3</f>
        <v>5.308744747584615E-2</v>
      </c>
      <c r="H21">
        <f>G21*100</f>
        <v>5.3087447475846155</v>
      </c>
      <c r="I21">
        <f>G21/E3*100</f>
        <v>6.5397231978805355</v>
      </c>
      <c r="K21">
        <f>E21-reranking!E21</f>
        <v>2.8378779822343936E-2</v>
      </c>
      <c r="L21">
        <f>K21*100</f>
        <v>2.8378779822343936</v>
      </c>
      <c r="M21">
        <f>K21/reranking!E21*100</f>
        <v>3.3926523026043389</v>
      </c>
      <c r="O21" t="s">
        <v>0</v>
      </c>
      <c r="P21">
        <v>0.89160878185889525</v>
      </c>
      <c r="Q21">
        <v>0.89810984626815848</v>
      </c>
      <c r="R21">
        <v>0.89491058567854109</v>
      </c>
      <c r="S21">
        <f>AVERAGE(P21:R21)</f>
        <v>0.89487640460186491</v>
      </c>
      <c r="U21">
        <f>S21-E21</f>
        <v>3.0019928536990648E-2</v>
      </c>
      <c r="V21">
        <f>U21*100</f>
        <v>3.0019928536990648</v>
      </c>
      <c r="W21">
        <f>U21/E21*100</f>
        <v>3.4710879050801959</v>
      </c>
      <c r="X21" t="s">
        <v>22</v>
      </c>
      <c r="Y21">
        <f>S21-reranking!E21</f>
        <v>5.8398708359334583E-2</v>
      </c>
      <c r="Z21">
        <f>Y21*100</f>
        <v>5.8398708359334588</v>
      </c>
      <c r="AA21">
        <f>Y21/reranking!E21*100</f>
        <v>6.9815021514216591</v>
      </c>
    </row>
    <row r="22" spans="1:27" x14ac:dyDescent="0.25">
      <c r="A22" t="s">
        <v>1</v>
      </c>
      <c r="B22">
        <v>0.84604885057471246</v>
      </c>
      <c r="C22">
        <v>0.83717672413793098</v>
      </c>
      <c r="D22">
        <v>0.85043103448275859</v>
      </c>
      <c r="E22">
        <f t="shared" si="0"/>
        <v>0.84455220306513412</v>
      </c>
      <c r="G22">
        <f t="shared" ref="G22:G35" si="1">E22-E4</f>
        <v>0.16550868910782712</v>
      </c>
      <c r="H22">
        <f t="shared" ref="H22:H36" si="2">G22*100</f>
        <v>16.550868910782711</v>
      </c>
      <c r="I22">
        <f t="shared" ref="I22:I35" si="3">G22/E4*100</f>
        <v>24.373797217100439</v>
      </c>
      <c r="K22">
        <f>E22-reranking!E22</f>
        <v>3.9379789272030674E-2</v>
      </c>
      <c r="L22">
        <f t="shared" ref="L22:L36" si="4">K22*100</f>
        <v>3.9379789272030674</v>
      </c>
      <c r="M22">
        <f>K22/reranking!E22*100</f>
        <v>4.8908517725434235</v>
      </c>
      <c r="O22" t="s">
        <v>1</v>
      </c>
      <c r="P22">
        <v>0.83405172413793105</v>
      </c>
      <c r="Q22">
        <v>0.83965517241379317</v>
      </c>
      <c r="R22">
        <v>0.83520114942528745</v>
      </c>
      <c r="S22">
        <f t="shared" ref="S22:S36" si="5">AVERAGE(P22:R22)</f>
        <v>0.83630268199233715</v>
      </c>
      <c r="U22">
        <f>S22-E22</f>
        <v>-8.2495210727969726E-3</v>
      </c>
      <c r="V22">
        <f t="shared" ref="V22:V36" si="6">U22*100</f>
        <v>-0.82495210727969726</v>
      </c>
      <c r="W22">
        <f t="shared" ref="W22:W36" si="7">U22/E22*100</f>
        <v>-0.97679232176021547</v>
      </c>
      <c r="X22" t="s">
        <v>26</v>
      </c>
      <c r="Y22">
        <f>S22-reranking!E22</f>
        <v>3.1130268199233702E-2</v>
      </c>
      <c r="Z22">
        <f t="shared" ref="Z22:Z36" si="8">Y22*100</f>
        <v>3.1130268199233702</v>
      </c>
      <c r="AA22">
        <f>Y22/reranking!E22*100</f>
        <v>3.8662859862003311</v>
      </c>
    </row>
    <row r="23" spans="1:27" x14ac:dyDescent="0.25">
      <c r="A23" t="s">
        <v>2</v>
      </c>
      <c r="B23">
        <v>0.8163673371290715</v>
      </c>
      <c r="C23">
        <v>0.82869971260691888</v>
      </c>
      <c r="D23">
        <v>0.82027059383324352</v>
      </c>
      <c r="E23">
        <f t="shared" si="0"/>
        <v>0.82177921452307812</v>
      </c>
      <c r="G23">
        <f t="shared" si="1"/>
        <v>0.17150782247062457</v>
      </c>
      <c r="H23">
        <f t="shared" si="2"/>
        <v>17.150782247062459</v>
      </c>
      <c r="I23">
        <f t="shared" si="3"/>
        <v>26.374806667919671</v>
      </c>
      <c r="K23">
        <f>E23-reranking!E23</f>
        <v>-4.6296296659353864E-4</v>
      </c>
      <c r="L23">
        <f t="shared" si="4"/>
        <v>-4.6296296659353864E-2</v>
      </c>
      <c r="M23">
        <f>K23/reranking!E23*100</f>
        <v>-5.6304940231475059E-2</v>
      </c>
      <c r="O23" t="s">
        <v>2</v>
      </c>
      <c r="P23">
        <v>0.84965277773962267</v>
      </c>
      <c r="Q23">
        <v>0.83639846739489709</v>
      </c>
      <c r="R23">
        <v>0.83923611107263274</v>
      </c>
      <c r="S23">
        <f t="shared" si="5"/>
        <v>0.84176245206905076</v>
      </c>
      <c r="U23">
        <f t="shared" ref="U23:U36" si="9">S23-E23</f>
        <v>1.9983237545972643E-2</v>
      </c>
      <c r="V23">
        <f t="shared" si="6"/>
        <v>1.9983237545972643</v>
      </c>
      <c r="W23">
        <f t="shared" si="7"/>
        <v>2.4317039410116954</v>
      </c>
      <c r="X23" t="s">
        <v>22</v>
      </c>
      <c r="Y23">
        <f>S23-reranking!E23</f>
        <v>1.9520274579379104E-2</v>
      </c>
      <c r="Z23">
        <f t="shared" si="8"/>
        <v>1.9520274579379104</v>
      </c>
      <c r="AA23">
        <f>Y23/reranking!E23*100</f>
        <v>2.3740298313296271</v>
      </c>
    </row>
    <row r="24" spans="1:27" x14ac:dyDescent="0.25">
      <c r="A24" t="s">
        <v>3</v>
      </c>
      <c r="B24">
        <v>0.80255592989262259</v>
      </c>
      <c r="C24">
        <v>0.8021042033749457</v>
      </c>
      <c r="D24">
        <v>0.80330935746771004</v>
      </c>
      <c r="E24">
        <f t="shared" si="0"/>
        <v>0.80265649691175944</v>
      </c>
      <c r="G24">
        <f t="shared" si="1"/>
        <v>1.8686214781617361E-2</v>
      </c>
      <c r="H24">
        <f t="shared" si="2"/>
        <v>1.8686214781617361</v>
      </c>
      <c r="I24">
        <f t="shared" si="3"/>
        <v>2.3835361119613685</v>
      </c>
      <c r="K24">
        <f>E24-reranking!E24</f>
        <v>1.3856249311432367E-2</v>
      </c>
      <c r="L24">
        <f t="shared" si="4"/>
        <v>1.3856249311432367</v>
      </c>
      <c r="M24">
        <f>K24/reranking!E24*100</f>
        <v>1.7566233471129833</v>
      </c>
      <c r="O24" t="s">
        <v>3</v>
      </c>
      <c r="P24">
        <v>0.79947628800383952</v>
      </c>
      <c r="Q24">
        <v>0.79987369492181071</v>
      </c>
      <c r="R24">
        <v>0.79698692719417641</v>
      </c>
      <c r="S24">
        <f t="shared" si="5"/>
        <v>0.79877897003994225</v>
      </c>
      <c r="U24">
        <f t="shared" si="9"/>
        <v>-3.877526871817194E-3</v>
      </c>
      <c r="V24">
        <f t="shared" si="6"/>
        <v>-0.3877526871817194</v>
      </c>
      <c r="W24">
        <f t="shared" si="7"/>
        <v>-0.48308671103218792</v>
      </c>
      <c r="Y24">
        <f>S24-reranking!E24</f>
        <v>9.978722439615173E-3</v>
      </c>
      <c r="Z24">
        <f t="shared" si="8"/>
        <v>0.9978722439615173</v>
      </c>
      <c r="AA24">
        <f>Y24/reranking!E24*100</f>
        <v>1.265050622128004</v>
      </c>
    </row>
    <row r="25" spans="1:27" x14ac:dyDescent="0.25">
      <c r="A25" t="s">
        <v>4</v>
      </c>
      <c r="B25">
        <v>0.36348979403231518</v>
      </c>
      <c r="C25">
        <v>0.37660345412757812</v>
      </c>
      <c r="D25">
        <v>0.3582990793738795</v>
      </c>
      <c r="E25">
        <f t="shared" si="0"/>
        <v>0.36613077584459092</v>
      </c>
      <c r="G25">
        <f t="shared" si="1"/>
        <v>8.9301038452977932E-2</v>
      </c>
      <c r="H25">
        <f t="shared" si="2"/>
        <v>8.9301038452977934</v>
      </c>
      <c r="I25">
        <f t="shared" si="3"/>
        <v>32.258470240373626</v>
      </c>
      <c r="K25">
        <f>E25-reranking!E25</f>
        <v>3.5898160210962704E-2</v>
      </c>
      <c r="L25">
        <f t="shared" si="4"/>
        <v>3.5898160210962704</v>
      </c>
      <c r="M25">
        <f>K25/reranking!E25*100</f>
        <v>10.870567748762102</v>
      </c>
      <c r="O25" t="s">
        <v>4</v>
      </c>
      <c r="P25">
        <v>0.37813632251199891</v>
      </c>
      <c r="Q25">
        <v>0.36484400340509238</v>
      </c>
      <c r="R25">
        <v>0.36972184367287908</v>
      </c>
      <c r="S25">
        <f t="shared" si="5"/>
        <v>0.37090072319665679</v>
      </c>
      <c r="U25">
        <f t="shared" si="9"/>
        <v>4.7699473520658731E-3</v>
      </c>
      <c r="V25">
        <f t="shared" si="6"/>
        <v>0.47699473520658731</v>
      </c>
      <c r="W25">
        <f t="shared" si="7"/>
        <v>1.3027987994351342</v>
      </c>
      <c r="X25" t="s">
        <v>22</v>
      </c>
      <c r="Y25">
        <f>S25-reranking!E25</f>
        <v>4.0668107563028577E-2</v>
      </c>
      <c r="Z25">
        <f t="shared" si="8"/>
        <v>4.0668107563028579</v>
      </c>
      <c r="AA25">
        <f>Y25/reranking!E25*100</f>
        <v>12.314988174319891</v>
      </c>
    </row>
    <row r="26" spans="1:27" x14ac:dyDescent="0.25">
      <c r="A26" t="s">
        <v>5</v>
      </c>
      <c r="B26">
        <v>0.77916994078611457</v>
      </c>
      <c r="C26">
        <v>0.78500223866272734</v>
      </c>
      <c r="D26">
        <v>0.77949804559050373</v>
      </c>
      <c r="E26">
        <f t="shared" si="0"/>
        <v>0.78122340834644854</v>
      </c>
      <c r="G26">
        <f t="shared" si="1"/>
        <v>2.0303309870099984E-2</v>
      </c>
      <c r="H26">
        <f t="shared" si="2"/>
        <v>2.0303309870099984</v>
      </c>
      <c r="I26">
        <f t="shared" si="3"/>
        <v>2.6682577987826752</v>
      </c>
      <c r="K26">
        <f>E26-reranking!E26</f>
        <v>5.410052242126806E-2</v>
      </c>
      <c r="L26">
        <f t="shared" si="4"/>
        <v>5.410052242126806</v>
      </c>
      <c r="M26">
        <f>K26/reranking!E26*100</f>
        <v>7.4403547830063612</v>
      </c>
      <c r="O26" t="s">
        <v>5</v>
      </c>
      <c r="P26">
        <v>0.8058425059096519</v>
      </c>
      <c r="Q26">
        <v>0.81420678293886306</v>
      </c>
      <c r="R26">
        <v>0.77582268680620714</v>
      </c>
      <c r="S26">
        <f t="shared" si="5"/>
        <v>0.79862399188490729</v>
      </c>
      <c r="U26">
        <f t="shared" si="9"/>
        <v>1.7400583538458747E-2</v>
      </c>
      <c r="V26">
        <f t="shared" si="6"/>
        <v>1.7400583538458747</v>
      </c>
      <c r="W26">
        <f t="shared" si="7"/>
        <v>2.2273505059569496</v>
      </c>
      <c r="X26" t="s">
        <v>22</v>
      </c>
      <c r="Y26">
        <f>S26-reranking!E26</f>
        <v>7.1501105959726807E-2</v>
      </c>
      <c r="Z26">
        <f t="shared" si="8"/>
        <v>7.1501105959726807</v>
      </c>
      <c r="AA26">
        <f>Y26/reranking!E26*100</f>
        <v>9.8334280688675957</v>
      </c>
    </row>
    <row r="27" spans="1:27" x14ac:dyDescent="0.25">
      <c r="A27" t="s">
        <v>6</v>
      </c>
      <c r="B27">
        <v>0.32398912310600281</v>
      </c>
      <c r="C27">
        <v>0.32398912310600281</v>
      </c>
      <c r="D27">
        <v>0.32019639015197748</v>
      </c>
      <c r="E27">
        <f t="shared" si="0"/>
        <v>0.32272487878799438</v>
      </c>
      <c r="G27">
        <f t="shared" si="1"/>
        <v>4.084700345993042E-2</v>
      </c>
      <c r="H27">
        <f t="shared" si="2"/>
        <v>4.084700345993042</v>
      </c>
      <c r="I27">
        <f t="shared" si="3"/>
        <v>14.491028574836026</v>
      </c>
      <c r="K27">
        <f>E27-reranking!E27</f>
        <v>2.8299510478973389E-2</v>
      </c>
      <c r="L27">
        <f t="shared" si="4"/>
        <v>2.8299510478973389</v>
      </c>
      <c r="M27">
        <f>K27/reranking!E27*100</f>
        <v>9.6117772193023043</v>
      </c>
      <c r="O27" t="s">
        <v>6</v>
      </c>
      <c r="P27">
        <v>0.31888476014137268</v>
      </c>
      <c r="Q27">
        <v>0.31888476014137268</v>
      </c>
      <c r="R27">
        <v>0.31546175479888922</v>
      </c>
      <c r="S27">
        <f t="shared" si="5"/>
        <v>0.31774375836054486</v>
      </c>
      <c r="U27">
        <f t="shared" si="9"/>
        <v>-4.9811204274495258E-3</v>
      </c>
      <c r="V27">
        <f t="shared" si="6"/>
        <v>-0.49811204274495258</v>
      </c>
      <c r="W27">
        <f t="shared" si="7"/>
        <v>-1.5434572153706632</v>
      </c>
      <c r="X27" t="s">
        <v>26</v>
      </c>
      <c r="Y27">
        <f>S27-reranking!E27</f>
        <v>2.3318390051523863E-2</v>
      </c>
      <c r="Z27">
        <f t="shared" si="8"/>
        <v>2.3318390051523865</v>
      </c>
      <c r="AA27">
        <f>Y27/reranking!E27*100</f>
        <v>7.9199663349149674</v>
      </c>
    </row>
    <row r="28" spans="1:27" x14ac:dyDescent="0.25">
      <c r="A28" t="s">
        <v>7</v>
      </c>
      <c r="B28">
        <v>0.25633656978607178</v>
      </c>
      <c r="C28">
        <v>0.25633656978607178</v>
      </c>
      <c r="D28">
        <v>0.24928221106529239</v>
      </c>
      <c r="E28">
        <f t="shared" si="0"/>
        <v>0.25398511687914532</v>
      </c>
      <c r="G28">
        <f t="shared" si="1"/>
        <v>5.0030797719955472E-2</v>
      </c>
      <c r="H28">
        <f t="shared" si="2"/>
        <v>5.0030797719955471</v>
      </c>
      <c r="I28">
        <f t="shared" si="3"/>
        <v>24.530393828485472</v>
      </c>
      <c r="K28">
        <f>E28-reranking!E28</f>
        <v>4.4071515401204409E-2</v>
      </c>
      <c r="L28">
        <f t="shared" si="4"/>
        <v>4.4071515401204406</v>
      </c>
      <c r="M28">
        <f>K28/reranking!E28*100</f>
        <v>20.995073730768098</v>
      </c>
      <c r="O28" t="s">
        <v>7</v>
      </c>
      <c r="P28">
        <v>0.24754798412323001</v>
      </c>
      <c r="Q28">
        <v>0.24754798412323001</v>
      </c>
      <c r="R28">
        <v>0.2402177304029465</v>
      </c>
      <c r="S28">
        <f t="shared" si="5"/>
        <v>0.24510456621646884</v>
      </c>
      <c r="U28">
        <f t="shared" si="9"/>
        <v>-8.8805506626764841E-3</v>
      </c>
      <c r="V28">
        <f t="shared" si="6"/>
        <v>-0.88805506626764841</v>
      </c>
      <c r="W28">
        <f t="shared" si="7"/>
        <v>-3.4964846648483539</v>
      </c>
      <c r="X28" t="s">
        <v>26</v>
      </c>
      <c r="Y28">
        <f>S28-reranking!E28</f>
        <v>3.5190964738527925E-2</v>
      </c>
      <c r="Z28">
        <f t="shared" si="8"/>
        <v>3.5190964738527923</v>
      </c>
      <c r="AA28">
        <f>Y28/reranking!E28*100</f>
        <v>16.764499532549834</v>
      </c>
    </row>
    <row r="29" spans="1:27" x14ac:dyDescent="0.25">
      <c r="A29" t="s">
        <v>8</v>
      </c>
      <c r="B29">
        <v>0.3942626416683197</v>
      </c>
      <c r="C29">
        <v>0.3942626416683197</v>
      </c>
      <c r="D29">
        <v>0.39372545480728149</v>
      </c>
      <c r="E29">
        <f t="shared" si="0"/>
        <v>0.39408357938130695</v>
      </c>
      <c r="G29">
        <f t="shared" si="1"/>
        <v>3.1818687915802002E-2</v>
      </c>
      <c r="H29">
        <f t="shared" si="2"/>
        <v>3.1818687915802002</v>
      </c>
      <c r="I29">
        <f t="shared" si="3"/>
        <v>8.783265689115721</v>
      </c>
      <c r="K29">
        <f>E29-reranking!E29</f>
        <v>1.2292514244715336E-2</v>
      </c>
      <c r="L29">
        <f t="shared" si="4"/>
        <v>1.2292514244715336</v>
      </c>
      <c r="M29">
        <f>K29/reranking!E29*100</f>
        <v>3.2196966789459833</v>
      </c>
      <c r="O29" t="s">
        <v>8</v>
      </c>
      <c r="P29">
        <v>0.39287653565406799</v>
      </c>
      <c r="Q29">
        <v>0.39287653565406799</v>
      </c>
      <c r="R29">
        <v>0.39350235462188721</v>
      </c>
      <c r="S29">
        <f t="shared" si="5"/>
        <v>0.39308514197667438</v>
      </c>
      <c r="U29">
        <f t="shared" si="9"/>
        <v>-9.9843740463256836E-4</v>
      </c>
      <c r="V29">
        <f t="shared" si="6"/>
        <v>-9.9843740463256836E-2</v>
      </c>
      <c r="W29">
        <f t="shared" si="7"/>
        <v>-0.2533567641158937</v>
      </c>
      <c r="X29" t="s">
        <v>26</v>
      </c>
      <c r="Y29">
        <f>S29-reranking!E29</f>
        <v>1.1294076840082767E-2</v>
      </c>
      <c r="Z29">
        <f t="shared" si="8"/>
        <v>1.1294076840082767</v>
      </c>
      <c r="AA29">
        <f>Y29/reranking!E29*100</f>
        <v>2.9581825955099652</v>
      </c>
    </row>
    <row r="30" spans="1:27" x14ac:dyDescent="0.25">
      <c r="A30" t="s">
        <v>9</v>
      </c>
      <c r="B30">
        <v>0.55244252873563215</v>
      </c>
      <c r="C30">
        <v>0.55244252873563215</v>
      </c>
      <c r="D30">
        <v>0.55244252873563215</v>
      </c>
      <c r="E30">
        <f t="shared" si="0"/>
        <v>0.55244252873563215</v>
      </c>
      <c r="G30">
        <f t="shared" si="1"/>
        <v>0.16791187739463603</v>
      </c>
      <c r="H30">
        <f t="shared" si="2"/>
        <v>16.791187739463602</v>
      </c>
      <c r="I30">
        <f t="shared" si="3"/>
        <v>43.666708182837226</v>
      </c>
      <c r="K30">
        <f>E30-reranking!E30</f>
        <v>5.6034482758620663E-2</v>
      </c>
      <c r="L30">
        <f t="shared" si="4"/>
        <v>5.6034482758620658</v>
      </c>
      <c r="M30">
        <f>K30/reranking!E30*100</f>
        <v>11.287988422575971</v>
      </c>
      <c r="O30" t="s">
        <v>9</v>
      </c>
      <c r="P30">
        <v>0.55043103448275865</v>
      </c>
      <c r="Q30">
        <v>0.55043103448275865</v>
      </c>
      <c r="R30">
        <v>0.55258620689655169</v>
      </c>
      <c r="S30">
        <f t="shared" si="5"/>
        <v>0.55114942528735633</v>
      </c>
      <c r="U30">
        <f t="shared" si="9"/>
        <v>-1.293103448275823E-3</v>
      </c>
      <c r="V30">
        <f t="shared" si="6"/>
        <v>-0.1293103448275823</v>
      </c>
      <c r="W30">
        <f t="shared" si="7"/>
        <v>-0.23407022106631284</v>
      </c>
      <c r="X30" t="s">
        <v>26</v>
      </c>
      <c r="Y30">
        <f>S30-reranking!E30</f>
        <v>5.474137931034484E-2</v>
      </c>
      <c r="Z30">
        <f t="shared" si="8"/>
        <v>5.474137931034484</v>
      </c>
      <c r="AA30">
        <f>Y30/reranking!E30*100</f>
        <v>11.027496382054995</v>
      </c>
    </row>
    <row r="31" spans="1:27" x14ac:dyDescent="0.25">
      <c r="A31" t="s">
        <v>10</v>
      </c>
      <c r="B31">
        <v>0.7068965517241379</v>
      </c>
      <c r="C31">
        <v>0.7068965517241379</v>
      </c>
      <c r="D31">
        <v>0.7068965517241379</v>
      </c>
      <c r="E31">
        <f t="shared" si="0"/>
        <v>0.7068965517241379</v>
      </c>
      <c r="G31">
        <f t="shared" si="1"/>
        <v>0.16091954022988497</v>
      </c>
      <c r="H31">
        <f t="shared" si="2"/>
        <v>16.091954022988496</v>
      </c>
      <c r="I31">
        <f t="shared" si="3"/>
        <v>29.473684210526297</v>
      </c>
      <c r="K31">
        <f>E31-reranking!E31</f>
        <v>5.1724137931034475E-2</v>
      </c>
      <c r="L31">
        <f t="shared" si="4"/>
        <v>5.1724137931034475</v>
      </c>
      <c r="M31">
        <f>K31/reranking!E31*100</f>
        <v>7.8947368421052628</v>
      </c>
      <c r="O31" t="s">
        <v>10</v>
      </c>
      <c r="P31">
        <v>0.69827586206896552</v>
      </c>
      <c r="Q31">
        <v>0.69827586206896552</v>
      </c>
      <c r="R31">
        <v>0.69827586206896552</v>
      </c>
      <c r="S31">
        <f t="shared" si="5"/>
        <v>0.69827586206896564</v>
      </c>
      <c r="U31">
        <f t="shared" si="9"/>
        <v>-8.6206896551722645E-3</v>
      </c>
      <c r="V31">
        <f t="shared" si="6"/>
        <v>-0.86206896551722645</v>
      </c>
      <c r="W31">
        <f t="shared" si="7"/>
        <v>-1.2195121951219301</v>
      </c>
      <c r="X31" t="s">
        <v>26</v>
      </c>
      <c r="Y31">
        <f>S31-reranking!E31</f>
        <v>4.3103448275862211E-2</v>
      </c>
      <c r="Z31">
        <f t="shared" si="8"/>
        <v>4.3103448275862206</v>
      </c>
      <c r="AA31">
        <f>Y31/reranking!E31*100</f>
        <v>6.5789473684210744</v>
      </c>
    </row>
    <row r="32" spans="1:27" x14ac:dyDescent="0.25">
      <c r="A32" t="s">
        <v>11</v>
      </c>
      <c r="B32">
        <v>15.474021940395749</v>
      </c>
      <c r="C32">
        <v>14.907878057710059</v>
      </c>
      <c r="D32">
        <v>19.596090717562308</v>
      </c>
      <c r="E32">
        <f t="shared" si="0"/>
        <v>16.659330238556038</v>
      </c>
      <c r="G32">
        <f t="shared" si="1"/>
        <v>0.30098873719401453</v>
      </c>
      <c r="H32">
        <f t="shared" si="2"/>
        <v>30.098873719401453</v>
      </c>
      <c r="I32">
        <f t="shared" si="3"/>
        <v>1.839970984643851</v>
      </c>
      <c r="K32">
        <f>E32-reranking!E32</f>
        <v>1.2203696883957935</v>
      </c>
      <c r="L32">
        <f t="shared" si="4"/>
        <v>122.03696883957934</v>
      </c>
      <c r="M32">
        <f>K32/reranking!E32*100</f>
        <v>7.9044809035613932</v>
      </c>
      <c r="O32" t="s">
        <v>11</v>
      </c>
      <c r="P32">
        <v>19.323886593867989</v>
      </c>
      <c r="Q32">
        <v>14.690561553527569</v>
      </c>
      <c r="R32">
        <v>31.621115400873379</v>
      </c>
      <c r="S32">
        <f t="shared" si="5"/>
        <v>21.878521182756312</v>
      </c>
      <c r="U32">
        <f t="shared" si="9"/>
        <v>5.2191909442002746</v>
      </c>
      <c r="V32">
        <f t="shared" si="6"/>
        <v>521.91909442002748</v>
      </c>
      <c r="W32">
        <f t="shared" si="7"/>
        <v>31.328936214500857</v>
      </c>
      <c r="Y32">
        <f>S32-reranking!E32</f>
        <v>6.4395606325960681</v>
      </c>
      <c r="Z32">
        <f t="shared" si="8"/>
        <v>643.95606325960682</v>
      </c>
      <c r="AA32">
        <f>Y32/reranking!E32*100</f>
        <v>41.7098068984264</v>
      </c>
    </row>
    <row r="33" spans="1:34" x14ac:dyDescent="0.25">
      <c r="A33" t="s">
        <v>12</v>
      </c>
      <c r="B33">
        <v>3165.525862068966</v>
      </c>
      <c r="C33">
        <v>3165.525862068966</v>
      </c>
      <c r="D33">
        <v>3161.0775862068972</v>
      </c>
      <c r="E33">
        <f t="shared" si="0"/>
        <v>3164.0431034482767</v>
      </c>
      <c r="G33">
        <f t="shared" si="1"/>
        <v>13.175287356323224</v>
      </c>
      <c r="H33">
        <f t="shared" si="2"/>
        <v>1317.5287356323224</v>
      </c>
      <c r="I33">
        <f t="shared" si="3"/>
        <v>0.41814789211515185</v>
      </c>
      <c r="K33">
        <f>E33-reranking!E33</f>
        <v>-210.91666666666606</v>
      </c>
      <c r="L33">
        <f t="shared" si="4"/>
        <v>-21091.666666666606</v>
      </c>
      <c r="M33">
        <f>K33/reranking!E33*100</f>
        <v>-6.2494572093664615</v>
      </c>
      <c r="O33" t="s">
        <v>12</v>
      </c>
      <c r="P33">
        <v>3179.53448275862</v>
      </c>
      <c r="Q33">
        <v>3179.53448275862</v>
      </c>
      <c r="R33">
        <v>3173.5172413793098</v>
      </c>
      <c r="S33">
        <f t="shared" si="5"/>
        <v>3177.5287356321837</v>
      </c>
      <c r="U33">
        <f t="shared" si="9"/>
        <v>13.485632183907001</v>
      </c>
      <c r="V33">
        <f t="shared" si="6"/>
        <v>1348.5632183907001</v>
      </c>
      <c r="W33">
        <f t="shared" si="7"/>
        <v>0.42621518553934745</v>
      </c>
      <c r="Y33">
        <f>S33-reranking!E33</f>
        <v>-197.43103448275906</v>
      </c>
      <c r="Z33">
        <f t="shared" si="8"/>
        <v>-19743.103448275906</v>
      </c>
      <c r="AA33">
        <f>Y33/reranking!E33*100</f>
        <v>-5.8498781594672176</v>
      </c>
    </row>
    <row r="34" spans="1:34" x14ac:dyDescent="0.25">
      <c r="A34" t="s">
        <v>13</v>
      </c>
      <c r="B34">
        <v>263.24137931034483</v>
      </c>
      <c r="C34">
        <v>263.24137931034483</v>
      </c>
      <c r="D34">
        <v>252.9568965517241</v>
      </c>
      <c r="E34">
        <f t="shared" si="0"/>
        <v>259.81321839080459</v>
      </c>
      <c r="G34">
        <f t="shared" si="1"/>
        <v>-0.91091954022988375</v>
      </c>
      <c r="H34">
        <f t="shared" si="2"/>
        <v>-91.091954022988375</v>
      </c>
      <c r="I34">
        <f t="shared" si="3"/>
        <v>-0.3493805933959348</v>
      </c>
      <c r="K34">
        <f>E34-reranking!E34</f>
        <v>-33.086206896551744</v>
      </c>
      <c r="L34">
        <f t="shared" si="4"/>
        <v>-3308.6206896551744</v>
      </c>
      <c r="M34">
        <f>K34/reranking!E34*100</f>
        <v>-11.296098264478221</v>
      </c>
      <c r="O34" t="s">
        <v>13</v>
      </c>
      <c r="P34">
        <v>256.06896551724139</v>
      </c>
      <c r="Q34">
        <v>256.06896551724139</v>
      </c>
      <c r="R34">
        <v>260.57758620689663</v>
      </c>
      <c r="S34">
        <f t="shared" si="5"/>
        <v>257.57183908045982</v>
      </c>
      <c r="U34">
        <f t="shared" si="9"/>
        <v>-2.2413793103447688</v>
      </c>
      <c r="V34">
        <f t="shared" si="6"/>
        <v>-224.13793103447688</v>
      </c>
      <c r="W34">
        <f t="shared" si="7"/>
        <v>-0.86268871315598028</v>
      </c>
      <c r="Y34">
        <f>S34-reranking!E34</f>
        <v>-35.327586206896513</v>
      </c>
      <c r="Z34">
        <f t="shared" si="8"/>
        <v>-3532.7586206896513</v>
      </c>
      <c r="AA34">
        <f>Y34/reranking!E34*100</f>
        <v>-12.061336812879539</v>
      </c>
    </row>
    <row r="35" spans="1:34" x14ac:dyDescent="0.25">
      <c r="A35" t="s">
        <v>14</v>
      </c>
      <c r="B35">
        <v>3428.7672413793098</v>
      </c>
      <c r="C35">
        <v>3428.7672413793098</v>
      </c>
      <c r="D35">
        <v>3414.03448275862</v>
      </c>
      <c r="E35">
        <f t="shared" si="0"/>
        <v>3423.8563218390796</v>
      </c>
      <c r="G35">
        <f t="shared" si="1"/>
        <v>12.26436781609118</v>
      </c>
      <c r="H35">
        <f t="shared" si="2"/>
        <v>1226.436781609118</v>
      </c>
      <c r="I35">
        <f t="shared" si="3"/>
        <v>0.35949105231148459</v>
      </c>
      <c r="K35">
        <f>E35-reranking!E35</f>
        <v>-244.00287356321996</v>
      </c>
      <c r="L35">
        <f t="shared" si="4"/>
        <v>-24400.287356321998</v>
      </c>
      <c r="M35">
        <f>K35/reranking!E35*100</f>
        <v>-6.6524602108248914</v>
      </c>
      <c r="O35" t="s">
        <v>14</v>
      </c>
      <c r="P35">
        <v>3435.6034482758619</v>
      </c>
      <c r="Q35">
        <v>3435.6034482758619</v>
      </c>
      <c r="R35">
        <v>3434.094827586207</v>
      </c>
      <c r="S35">
        <f t="shared" si="5"/>
        <v>3435.1005747126437</v>
      </c>
      <c r="U35">
        <f t="shared" si="9"/>
        <v>11.244252873564164</v>
      </c>
      <c r="V35">
        <f t="shared" si="6"/>
        <v>1124.4252873564164</v>
      </c>
      <c r="W35">
        <f t="shared" si="7"/>
        <v>0.32840901651867394</v>
      </c>
      <c r="Y35">
        <f>S35-reranking!E35</f>
        <v>-232.7586206896558</v>
      </c>
      <c r="Z35">
        <f t="shared" si="8"/>
        <v>-23275.86206896558</v>
      </c>
      <c r="AA35">
        <f>Y35/reranking!E35*100</f>
        <v>-6.3458984734588828</v>
      </c>
    </row>
    <row r="36" spans="1:34" x14ac:dyDescent="0.25">
      <c r="A36" t="s">
        <v>30</v>
      </c>
      <c r="B36">
        <v>13057.560344827591</v>
      </c>
      <c r="C36">
        <v>13057.560344827591</v>
      </c>
      <c r="D36">
        <v>13086.448275862071</v>
      </c>
      <c r="E36">
        <f t="shared" si="0"/>
        <v>13067.189655172418</v>
      </c>
      <c r="G36">
        <f>E36-E18</f>
        <v>13067.189655172418</v>
      </c>
      <c r="H36">
        <f t="shared" si="2"/>
        <v>1306718.9655172417</v>
      </c>
      <c r="I36" t="e">
        <f>G36/E18*100</f>
        <v>#DIV/0!</v>
      </c>
      <c r="K36">
        <f>E36-reranking!E36</f>
        <v>-1433.9568965517192</v>
      </c>
      <c r="L36">
        <f t="shared" si="4"/>
        <v>-143395.68965517191</v>
      </c>
      <c r="M36">
        <f>K36/reranking!E36*100</f>
        <v>-9.8885759925047214</v>
      </c>
      <c r="O36" t="s">
        <v>30</v>
      </c>
      <c r="P36">
        <v>13057.560344827591</v>
      </c>
      <c r="Q36">
        <v>13057.560344827591</v>
      </c>
      <c r="R36">
        <v>13079.931034482761</v>
      </c>
      <c r="S36">
        <f t="shared" si="5"/>
        <v>13065.017241379313</v>
      </c>
      <c r="U36">
        <f t="shared" si="9"/>
        <v>-2.1724137931050791</v>
      </c>
      <c r="V36">
        <f t="shared" si="6"/>
        <v>-217.24137931050791</v>
      </c>
      <c r="W36">
        <f t="shared" si="7"/>
        <v>-1.6624950356063494E-2</v>
      </c>
      <c r="Y36">
        <f>S36-reranking!E36</f>
        <v>-1436.1293103448243</v>
      </c>
      <c r="Z36">
        <f t="shared" si="8"/>
        <v>-143612.93103448243</v>
      </c>
      <c r="AA36">
        <f>Y36/reranking!E36*100</f>
        <v>-9.9035569720111081</v>
      </c>
    </row>
    <row r="38" spans="1:34" ht="14.25" customHeight="1" x14ac:dyDescent="0.25">
      <c r="O38" t="s">
        <v>46</v>
      </c>
      <c r="P38" t="s">
        <v>36</v>
      </c>
      <c r="Q38" t="s">
        <v>50</v>
      </c>
    </row>
    <row r="39" spans="1:34" x14ac:dyDescent="0.25">
      <c r="A39" t="s">
        <v>46</v>
      </c>
      <c r="B39" t="s">
        <v>36</v>
      </c>
      <c r="C39" t="s">
        <v>48</v>
      </c>
      <c r="E39" t="s">
        <v>18</v>
      </c>
      <c r="G39" t="s">
        <v>28</v>
      </c>
      <c r="H39" t="s">
        <v>20</v>
      </c>
      <c r="I39" t="s">
        <v>21</v>
      </c>
      <c r="K39" t="s">
        <v>47</v>
      </c>
      <c r="L39" t="s">
        <v>20</v>
      </c>
      <c r="M39" t="s">
        <v>21</v>
      </c>
      <c r="P39" t="s">
        <v>15</v>
      </c>
      <c r="Q39" t="s">
        <v>16</v>
      </c>
      <c r="R39" t="s">
        <v>17</v>
      </c>
      <c r="S39" t="s">
        <v>18</v>
      </c>
      <c r="U39" t="s">
        <v>49</v>
      </c>
      <c r="V39" t="s">
        <v>20</v>
      </c>
      <c r="W39" t="s">
        <v>21</v>
      </c>
      <c r="Y39" t="s">
        <v>47</v>
      </c>
      <c r="Z39" t="s">
        <v>20</v>
      </c>
      <c r="AA39" t="s">
        <v>21</v>
      </c>
      <c r="AD39" t="s">
        <v>51</v>
      </c>
      <c r="AG39" t="s">
        <v>52</v>
      </c>
    </row>
    <row r="40" spans="1:34" x14ac:dyDescent="0.25">
      <c r="A40" t="s">
        <v>0</v>
      </c>
      <c r="B40">
        <v>0.80783563818411519</v>
      </c>
      <c r="C40">
        <v>0.80691956514063767</v>
      </c>
      <c r="D40">
        <v>0.8132572759333393</v>
      </c>
      <c r="E40">
        <f>AVERAGE(B40:D40)</f>
        <v>0.80933749308603076</v>
      </c>
      <c r="G40">
        <f t="shared" ref="G40:G55" si="10">E40-E3</f>
        <v>-2.4315355029973507E-3</v>
      </c>
      <c r="H40">
        <f>G40*100</f>
        <v>-0.24315355029973507</v>
      </c>
      <c r="I40">
        <f t="shared" ref="I40:I55" si="11">G40/E3*100</f>
        <v>-0.29953538720536194</v>
      </c>
      <c r="K40">
        <f>E40-reranking!E40</f>
        <v>3.7757088724036159E-2</v>
      </c>
      <c r="L40">
        <f>K40*100</f>
        <v>3.7757088724036159</v>
      </c>
      <c r="M40">
        <f>K40/reranking!E40*100</f>
        <v>4.8934742912835878</v>
      </c>
      <c r="N40" t="s">
        <v>22</v>
      </c>
      <c r="O40" t="s">
        <v>0</v>
      </c>
      <c r="P40">
        <v>0.81317853956400798</v>
      </c>
      <c r="Q40">
        <v>0.80311103441479037</v>
      </c>
      <c r="R40">
        <v>0.80750425729613762</v>
      </c>
      <c r="S40">
        <f>AVERAGE(P40:R40)</f>
        <v>0.80793127709164525</v>
      </c>
      <c r="U40">
        <f>S40-E40</f>
        <v>-1.4062159943855068E-3</v>
      </c>
      <c r="V40">
        <f>U40*100</f>
        <v>-0.14062159943855068</v>
      </c>
      <c r="W40">
        <f t="shared" ref="W40:W55" si="12">U40/E41*100</f>
        <v>-0.18333930666730805</v>
      </c>
      <c r="X40" t="s">
        <v>22</v>
      </c>
      <c r="Y40">
        <f>S40-reranking!E40</f>
        <v>3.6350872729650652E-2</v>
      </c>
      <c r="Z40">
        <f>Y40*100</f>
        <v>3.6350872729650652</v>
      </c>
      <c r="AA40">
        <f>Y40/reranking!E40*100</f>
        <v>4.7112229035557878</v>
      </c>
      <c r="AB40" t="s">
        <v>22</v>
      </c>
      <c r="AD40">
        <f t="shared" ref="AD40:AD55" si="13">AA40-AA21</f>
        <v>-2.2702792478658713</v>
      </c>
      <c r="AE40" t="s">
        <v>26</v>
      </c>
      <c r="AG40">
        <f>AD41</f>
        <v>5.1977877559939092</v>
      </c>
      <c r="AH40" t="s">
        <v>22</v>
      </c>
    </row>
    <row r="41" spans="1:34" x14ac:dyDescent="0.25">
      <c r="A41" t="s">
        <v>1</v>
      </c>
      <c r="B41">
        <v>0.7630747126436781</v>
      </c>
      <c r="C41">
        <v>0.76594827586206893</v>
      </c>
      <c r="D41">
        <v>0.77198275862068966</v>
      </c>
      <c r="E41">
        <f t="shared" ref="E41:E55" si="14">AVERAGE(B41:D41)</f>
        <v>0.76700191570881227</v>
      </c>
      <c r="G41">
        <f t="shared" si="10"/>
        <v>8.7958401751505266E-2</v>
      </c>
      <c r="H41">
        <f t="shared" ref="H41:H55" si="15">G41*100</f>
        <v>8.7958401751505271</v>
      </c>
      <c r="I41">
        <f t="shared" si="11"/>
        <v>12.95327912623806</v>
      </c>
      <c r="K41">
        <f>E41-reranking!E41</f>
        <v>6.2275900479167201E-2</v>
      </c>
      <c r="L41">
        <f t="shared" ref="L41:L55" si="16">K41*100</f>
        <v>6.2275900479167206</v>
      </c>
      <c r="M41">
        <f>K41/reranking!E41*100</f>
        <v>8.8368953512910569</v>
      </c>
      <c r="N41" t="s">
        <v>22</v>
      </c>
      <c r="O41" t="s">
        <v>1</v>
      </c>
      <c r="P41">
        <v>0.77097701149425291</v>
      </c>
      <c r="Q41">
        <v>0.76500410509031191</v>
      </c>
      <c r="R41">
        <v>0.76982758620689651</v>
      </c>
      <c r="S41">
        <f t="shared" ref="S41:S55" si="17">AVERAGE(P41:R41)</f>
        <v>0.76860290093048711</v>
      </c>
      <c r="U41">
        <f t="shared" ref="U41:U55" si="18">S41-E41</f>
        <v>1.6009852216748444E-3</v>
      </c>
      <c r="V41">
        <f t="shared" ref="V41:V55" si="19">U41*100</f>
        <v>0.16009852216748444</v>
      </c>
      <c r="W41">
        <f t="shared" si="12"/>
        <v>0.22654734743777349</v>
      </c>
      <c r="X41" t="s">
        <v>22</v>
      </c>
      <c r="Y41">
        <f>S41-reranking!E41</f>
        <v>6.3876885700842045E-2</v>
      </c>
      <c r="Z41">
        <f t="shared" ref="Z41:Z55" si="20">Y41*100</f>
        <v>6.3876885700842045</v>
      </c>
      <c r="AA41">
        <f>Y41/reranking!E41*100</f>
        <v>9.0640737421942408</v>
      </c>
      <c r="AB41" t="s">
        <v>22</v>
      </c>
      <c r="AD41">
        <f t="shared" si="13"/>
        <v>5.1977877559939092</v>
      </c>
      <c r="AE41" t="s">
        <v>22</v>
      </c>
      <c r="AG41">
        <f>AD42</f>
        <v>-5.6233696090730518</v>
      </c>
      <c r="AH41" t="s">
        <v>26</v>
      </c>
    </row>
    <row r="42" spans="1:34" x14ac:dyDescent="0.25">
      <c r="A42" t="s">
        <v>2</v>
      </c>
      <c r="B42">
        <v>0.69996408042767566</v>
      </c>
      <c r="C42">
        <v>0.70626197314811712</v>
      </c>
      <c r="D42">
        <v>0.71384099613608976</v>
      </c>
      <c r="E42">
        <f t="shared" si="14"/>
        <v>0.70668901657062755</v>
      </c>
      <c r="G42">
        <f t="shared" si="10"/>
        <v>5.6417624518174003E-2</v>
      </c>
      <c r="H42">
        <f t="shared" si="15"/>
        <v>5.6417624518174003</v>
      </c>
      <c r="I42">
        <f t="shared" si="11"/>
        <v>8.6760120786035024</v>
      </c>
      <c r="K42">
        <f>E42-reranking!E42</f>
        <v>-2.636161086384925E-2</v>
      </c>
      <c r="L42">
        <f t="shared" si="16"/>
        <v>-2.636161086384925</v>
      </c>
      <c r="M42">
        <f>K42/reranking!E42*100</f>
        <v>-3.596151463113721</v>
      </c>
      <c r="O42" t="s">
        <v>2</v>
      </c>
      <c r="P42">
        <v>0.71981561299381647</v>
      </c>
      <c r="Q42">
        <v>0.70057471261149595</v>
      </c>
      <c r="R42">
        <v>0.70730363981343947</v>
      </c>
      <c r="S42">
        <f t="shared" si="17"/>
        <v>0.70923132180625059</v>
      </c>
      <c r="U42">
        <f t="shared" si="18"/>
        <v>2.5423052356230436E-3</v>
      </c>
      <c r="V42">
        <f t="shared" si="19"/>
        <v>0.25423052356230436</v>
      </c>
      <c r="W42">
        <f t="shared" si="12"/>
        <v>0.31918788879808813</v>
      </c>
      <c r="X42" t="s">
        <v>22</v>
      </c>
      <c r="Y42">
        <f>S42-reranking!E42</f>
        <v>-2.3819305628226206E-2</v>
      </c>
      <c r="Z42">
        <f t="shared" si="20"/>
        <v>-2.3819305628226206</v>
      </c>
      <c r="AA42">
        <f>Y42/reranking!E42*100</f>
        <v>-3.2493397777434243</v>
      </c>
      <c r="AB42" t="s">
        <v>26</v>
      </c>
      <c r="AD42">
        <f t="shared" si="13"/>
        <v>-5.6233696090730518</v>
      </c>
      <c r="AE42" t="s">
        <v>26</v>
      </c>
      <c r="AG42">
        <f>AD44</f>
        <v>5.3944469436855282</v>
      </c>
      <c r="AH42" t="s">
        <v>22</v>
      </c>
    </row>
    <row r="43" spans="1:34" x14ac:dyDescent="0.25">
      <c r="A43" t="s">
        <v>3</v>
      </c>
      <c r="B43">
        <v>0.7964917607607771</v>
      </c>
      <c r="C43">
        <v>0.7964917607607771</v>
      </c>
      <c r="D43">
        <v>0.7964917607607771</v>
      </c>
      <c r="E43">
        <f t="shared" si="14"/>
        <v>0.7964917607607771</v>
      </c>
      <c r="G43">
        <f t="shared" si="10"/>
        <v>1.2521478630635019E-2</v>
      </c>
      <c r="H43">
        <f t="shared" si="15"/>
        <v>1.2521478630635019</v>
      </c>
      <c r="I43">
        <f t="shared" si="11"/>
        <v>1.5971879184772984</v>
      </c>
      <c r="K43">
        <f>E43-reranking!E43</f>
        <v>9.6284092283113187E-3</v>
      </c>
      <c r="L43">
        <f t="shared" si="16"/>
        <v>0.96284092283113187</v>
      </c>
      <c r="M43">
        <f>K43/reranking!E43*100</f>
        <v>1.2236443862278485</v>
      </c>
      <c r="O43" t="s">
        <v>3</v>
      </c>
      <c r="P43">
        <v>0.79610835352224019</v>
      </c>
      <c r="Q43">
        <v>0.79610835352224019</v>
      </c>
      <c r="R43">
        <v>0.79610835352224019</v>
      </c>
      <c r="S43">
        <f t="shared" si="17"/>
        <v>0.79610835352224019</v>
      </c>
      <c r="U43">
        <f t="shared" si="18"/>
        <v>-3.8340723853691472E-4</v>
      </c>
      <c r="V43">
        <f t="shared" si="19"/>
        <v>-3.8340723853691472E-2</v>
      </c>
      <c r="W43">
        <f t="shared" si="12"/>
        <v>-0.11691968685362573</v>
      </c>
      <c r="Y43">
        <f>S43-reranking!E43</f>
        <v>9.245001989774404E-3</v>
      </c>
      <c r="Z43">
        <f t="shared" si="20"/>
        <v>0.9245001989774404</v>
      </c>
      <c r="AA43">
        <f>Y43/reranking!E43*100</f>
        <v>1.174918360572923</v>
      </c>
      <c r="AB43" t="s">
        <v>22</v>
      </c>
      <c r="AD43">
        <f t="shared" si="13"/>
        <v>-9.0132261555081028E-2</v>
      </c>
      <c r="AG43">
        <f>AD49</f>
        <v>2.4623424406499499</v>
      </c>
      <c r="AH43" t="s">
        <v>22</v>
      </c>
    </row>
    <row r="44" spans="1:34" x14ac:dyDescent="0.25">
      <c r="A44" t="s">
        <v>4</v>
      </c>
      <c r="B44">
        <v>0.31663988871654941</v>
      </c>
      <c r="C44">
        <v>0.33960651241618589</v>
      </c>
      <c r="D44">
        <v>0.32752437910441268</v>
      </c>
      <c r="E44">
        <f t="shared" si="14"/>
        <v>0.3279235934123827</v>
      </c>
      <c r="G44">
        <f t="shared" si="10"/>
        <v>5.1093856020769712E-2</v>
      </c>
      <c r="H44">
        <f t="shared" si="15"/>
        <v>5.109385602076971</v>
      </c>
      <c r="I44">
        <f t="shared" si="11"/>
        <v>18.456780150208559</v>
      </c>
      <c r="K44">
        <f>E44-reranking!E44</f>
        <v>4.6448640364930349E-2</v>
      </c>
      <c r="L44">
        <f t="shared" si="16"/>
        <v>4.6448640364930345</v>
      </c>
      <c r="M44">
        <f>K44/reranking!E44*100</f>
        <v>16.501873385906499</v>
      </c>
      <c r="N44" t="s">
        <v>22</v>
      </c>
      <c r="O44" t="s">
        <v>4</v>
      </c>
      <c r="P44">
        <v>0.32888600572493237</v>
      </c>
      <c r="Q44">
        <v>0.33009268614142939</v>
      </c>
      <c r="R44">
        <v>0.33498903982611961</v>
      </c>
      <c r="S44">
        <f t="shared" si="17"/>
        <v>0.33132257723082714</v>
      </c>
      <c r="U44">
        <f t="shared" si="18"/>
        <v>3.3989838184444454E-3</v>
      </c>
      <c r="V44">
        <f t="shared" si="19"/>
        <v>0.33989838184444454</v>
      </c>
      <c r="W44">
        <f t="shared" si="12"/>
        <v>0.4641386146635022</v>
      </c>
      <c r="X44" t="s">
        <v>22</v>
      </c>
      <c r="Y44">
        <f>S44-reranking!E44</f>
        <v>4.9847624183374795E-2</v>
      </c>
      <c r="Z44">
        <f t="shared" si="20"/>
        <v>4.9847624183374792</v>
      </c>
      <c r="AA44">
        <f>Y44/reranking!E44*100</f>
        <v>17.70943511800542</v>
      </c>
      <c r="AB44" t="s">
        <v>22</v>
      </c>
      <c r="AD44">
        <f t="shared" si="13"/>
        <v>5.3944469436855282</v>
      </c>
      <c r="AE44" t="s">
        <v>22</v>
      </c>
      <c r="AG44">
        <f>AD50</f>
        <v>-0.7818459191457201</v>
      </c>
    </row>
    <row r="45" spans="1:34" x14ac:dyDescent="0.25">
      <c r="A45" t="s">
        <v>5</v>
      </c>
      <c r="B45">
        <v>0.72918733986698314</v>
      </c>
      <c r="C45">
        <v>0.73067953071328751</v>
      </c>
      <c r="D45">
        <v>0.73709566026325046</v>
      </c>
      <c r="E45">
        <f t="shared" si="14"/>
        <v>0.73232084361450711</v>
      </c>
      <c r="G45">
        <f t="shared" si="10"/>
        <v>-2.859925486184145E-2</v>
      </c>
      <c r="H45">
        <f t="shared" si="15"/>
        <v>-2.859925486184145</v>
      </c>
      <c r="I45">
        <f t="shared" si="11"/>
        <v>-3.7585095884716457</v>
      </c>
      <c r="K45">
        <f>E45-reranking!E45</f>
        <v>2.3309293267555709E-2</v>
      </c>
      <c r="L45">
        <f t="shared" si="16"/>
        <v>2.3309293267555709</v>
      </c>
      <c r="M45">
        <f>K45/reranking!E45*100</f>
        <v>3.2875759578457382</v>
      </c>
      <c r="N45" t="s">
        <v>22</v>
      </c>
      <c r="O45" t="s">
        <v>5</v>
      </c>
      <c r="P45">
        <v>0.73022113152040635</v>
      </c>
      <c r="Q45">
        <v>0.73010590998455738</v>
      </c>
      <c r="R45">
        <v>0.71831100743961573</v>
      </c>
      <c r="S45">
        <f t="shared" si="17"/>
        <v>0.72621268298152641</v>
      </c>
      <c r="U45">
        <f t="shared" si="18"/>
        <v>-6.108160632980697E-3</v>
      </c>
      <c r="V45">
        <f t="shared" si="19"/>
        <v>-0.6108160632980697</v>
      </c>
      <c r="W45">
        <f t="shared" si="12"/>
        <v>-1.9907510244807074</v>
      </c>
      <c r="X45" t="s">
        <v>26</v>
      </c>
      <c r="Y45">
        <f>S45-reranking!E45</f>
        <v>1.7201132634575012E-2</v>
      </c>
      <c r="Z45">
        <f t="shared" si="20"/>
        <v>1.7201132634575012</v>
      </c>
      <c r="AA45">
        <f>Y45/reranking!E45*100</f>
        <v>2.426072272892835</v>
      </c>
      <c r="AB45" t="s">
        <v>22</v>
      </c>
      <c r="AD45">
        <f t="shared" si="13"/>
        <v>-7.4073557959747607</v>
      </c>
      <c r="AE45" t="s">
        <v>26</v>
      </c>
    </row>
    <row r="46" spans="1:34" x14ac:dyDescent="0.25">
      <c r="A46" t="s">
        <v>6</v>
      </c>
      <c r="B46">
        <v>0.30682694911956793</v>
      </c>
      <c r="C46">
        <v>0.30682694911956793</v>
      </c>
      <c r="D46">
        <v>0.30682694911956793</v>
      </c>
      <c r="E46">
        <f t="shared" si="14"/>
        <v>0.30682694911956793</v>
      </c>
      <c r="G46">
        <f t="shared" si="10"/>
        <v>2.4949073791503962E-2</v>
      </c>
      <c r="H46">
        <f t="shared" si="15"/>
        <v>2.494907379150396</v>
      </c>
      <c r="I46">
        <f t="shared" si="11"/>
        <v>8.8510223665007217</v>
      </c>
      <c r="K46">
        <f>E46-reranking!E46</f>
        <v>2.7089238166809138E-2</v>
      </c>
      <c r="L46">
        <f t="shared" si="16"/>
        <v>2.7089238166809135</v>
      </c>
      <c r="M46">
        <f>K46/reranking!E46*100</f>
        <v>9.6837991826507377</v>
      </c>
      <c r="N46" t="s">
        <v>22</v>
      </c>
      <c r="O46" t="s">
        <v>6</v>
      </c>
      <c r="P46">
        <v>0.30369645357131958</v>
      </c>
      <c r="Q46">
        <v>0.30369645357131958</v>
      </c>
      <c r="R46">
        <v>0.30369645357131958</v>
      </c>
      <c r="S46">
        <f t="shared" si="17"/>
        <v>0.30369645357131958</v>
      </c>
      <c r="U46">
        <f t="shared" si="18"/>
        <v>-3.1304955482483465E-3</v>
      </c>
      <c r="V46">
        <f t="shared" si="19"/>
        <v>-0.31304955482483465</v>
      </c>
      <c r="W46">
        <f t="shared" si="12"/>
        <v>-1.3456473607610329</v>
      </c>
      <c r="X46" t="s">
        <v>26</v>
      </c>
      <c r="Y46">
        <f>S46-reranking!E46</f>
        <v>2.3958742618560791E-2</v>
      </c>
      <c r="Z46">
        <f t="shared" si="20"/>
        <v>2.3958742618560791</v>
      </c>
      <c r="AA46">
        <f>Y46/reranking!E46*100</f>
        <v>8.5647167616263467</v>
      </c>
      <c r="AB46" t="s">
        <v>22</v>
      </c>
      <c r="AD46">
        <f t="shared" si="13"/>
        <v>0.64475042671137928</v>
      </c>
      <c r="AG46" t="s">
        <v>53</v>
      </c>
    </row>
    <row r="47" spans="1:34" x14ac:dyDescent="0.25">
      <c r="A47" t="s">
        <v>7</v>
      </c>
      <c r="B47">
        <v>0.23263862729072571</v>
      </c>
      <c r="C47">
        <v>0.23263862729072571</v>
      </c>
      <c r="D47">
        <v>0.23263862729072571</v>
      </c>
      <c r="E47">
        <f t="shared" si="14"/>
        <v>0.23263862729072571</v>
      </c>
      <c r="G47">
        <f t="shared" si="10"/>
        <v>2.8684308131535857E-2</v>
      </c>
      <c r="H47">
        <f t="shared" si="15"/>
        <v>2.8684308131535858</v>
      </c>
      <c r="I47">
        <f t="shared" si="11"/>
        <v>14.064084668463069</v>
      </c>
      <c r="K47">
        <f>E47-reranking!E47</f>
        <v>3.0556504925092015E-2</v>
      </c>
      <c r="L47">
        <f t="shared" si="16"/>
        <v>3.0556504925092014</v>
      </c>
      <c r="M47">
        <f>K47/reranking!E47*100</f>
        <v>15.12083531555807</v>
      </c>
      <c r="N47" t="s">
        <v>22</v>
      </c>
      <c r="O47" t="s">
        <v>7</v>
      </c>
      <c r="P47">
        <v>0.22337834537029269</v>
      </c>
      <c r="Q47">
        <v>0.22337834537029269</v>
      </c>
      <c r="R47">
        <v>0.22337834537029269</v>
      </c>
      <c r="S47">
        <f t="shared" si="17"/>
        <v>0.22337834537029269</v>
      </c>
      <c r="U47">
        <f t="shared" si="18"/>
        <v>-9.2602819204330167E-3</v>
      </c>
      <c r="V47">
        <f t="shared" si="19"/>
        <v>-0.92602819204330167</v>
      </c>
      <c r="W47">
        <f t="shared" si="12"/>
        <v>-2.4146307631155866</v>
      </c>
      <c r="X47" t="s">
        <v>26</v>
      </c>
      <c r="Y47">
        <f>S47-reranking!E47</f>
        <v>2.1296223004658998E-2</v>
      </c>
      <c r="Z47">
        <f t="shared" si="20"/>
        <v>2.1296223004658996</v>
      </c>
      <c r="AA47">
        <f>Y47/reranking!E47*100</f>
        <v>10.538400307438902</v>
      </c>
      <c r="AB47" t="s">
        <v>22</v>
      </c>
      <c r="AD47">
        <f t="shared" si="13"/>
        <v>-6.2260992251109322</v>
      </c>
      <c r="AE47" t="s">
        <v>26</v>
      </c>
      <c r="AF47" t="s">
        <v>54</v>
      </c>
      <c r="AG47">
        <f>AD40</f>
        <v>-2.2702792478658713</v>
      </c>
      <c r="AH47" t="s">
        <v>26</v>
      </c>
    </row>
    <row r="48" spans="1:34" x14ac:dyDescent="0.25">
      <c r="A48" t="s">
        <v>8</v>
      </c>
      <c r="B48">
        <v>0.38350716233253479</v>
      </c>
      <c r="C48">
        <v>0.38350716233253479</v>
      </c>
      <c r="D48">
        <v>0.38350716233253479</v>
      </c>
      <c r="E48">
        <f t="shared" si="14"/>
        <v>0.38350716233253479</v>
      </c>
      <c r="G48">
        <f t="shared" si="10"/>
        <v>2.1242270867029844E-2</v>
      </c>
      <c r="H48">
        <f t="shared" si="15"/>
        <v>2.1242270867029847</v>
      </c>
      <c r="I48">
        <f t="shared" si="11"/>
        <v>5.8637398675583627</v>
      </c>
      <c r="K48">
        <f>E48-reranking!E48</f>
        <v>2.2567729155222593E-2</v>
      </c>
      <c r="L48">
        <f t="shared" si="16"/>
        <v>2.2567729155222596</v>
      </c>
      <c r="M48">
        <f>K48/reranking!E48*100</f>
        <v>6.2524975330518</v>
      </c>
      <c r="N48" t="s">
        <v>22</v>
      </c>
      <c r="O48" t="s">
        <v>8</v>
      </c>
      <c r="P48">
        <v>0.38692313432693481</v>
      </c>
      <c r="Q48">
        <v>0.38692313432693481</v>
      </c>
      <c r="R48">
        <v>0.38692313432693481</v>
      </c>
      <c r="S48">
        <f t="shared" si="17"/>
        <v>0.38692313432693481</v>
      </c>
      <c r="U48">
        <f t="shared" si="18"/>
        <v>3.4159719944000244E-3</v>
      </c>
      <c r="V48">
        <f t="shared" si="19"/>
        <v>0.34159719944000244</v>
      </c>
      <c r="W48">
        <f t="shared" si="12"/>
        <v>0.73402794322396325</v>
      </c>
      <c r="X48" t="s">
        <v>22</v>
      </c>
      <c r="Y48">
        <f>S48-reranking!E48</f>
        <v>2.5983701149622618E-2</v>
      </c>
      <c r="Z48">
        <f t="shared" si="20"/>
        <v>2.598370114962262</v>
      </c>
      <c r="AA48">
        <f>Y48/reranking!E48*100</f>
        <v>7.1989089473795662</v>
      </c>
      <c r="AB48" t="s">
        <v>22</v>
      </c>
      <c r="AD48">
        <f t="shared" si="13"/>
        <v>4.2407263518696006</v>
      </c>
      <c r="AE48" t="s">
        <v>22</v>
      </c>
      <c r="AF48" t="s">
        <v>55</v>
      </c>
      <c r="AG48">
        <f>AD43</f>
        <v>-9.0132261555081028E-2</v>
      </c>
    </row>
    <row r="49" spans="1:34" x14ac:dyDescent="0.25">
      <c r="A49" t="s">
        <v>9</v>
      </c>
      <c r="B49">
        <v>0.4653735632183908</v>
      </c>
      <c r="C49">
        <v>0.4653735632183908</v>
      </c>
      <c r="D49">
        <v>0.4653735632183908</v>
      </c>
      <c r="E49">
        <f t="shared" si="14"/>
        <v>0.4653735632183908</v>
      </c>
      <c r="G49">
        <f t="shared" si="10"/>
        <v>8.0842911877394674E-2</v>
      </c>
      <c r="H49">
        <f t="shared" si="15"/>
        <v>8.084291187739467</v>
      </c>
      <c r="I49">
        <f t="shared" si="11"/>
        <v>21.023788765724262</v>
      </c>
      <c r="K49">
        <f>E49-reranking!E49</f>
        <v>5.5316091954022872E-2</v>
      </c>
      <c r="L49">
        <f t="shared" si="16"/>
        <v>5.5316091954022877</v>
      </c>
      <c r="M49">
        <f>K49/reranking!E49*100</f>
        <v>13.489838822704945</v>
      </c>
      <c r="N49" t="s">
        <v>22</v>
      </c>
      <c r="O49" t="s">
        <v>9</v>
      </c>
      <c r="P49">
        <v>0.4653735632183908</v>
      </c>
      <c r="Q49">
        <v>0.4653735632183908</v>
      </c>
      <c r="R49">
        <v>0.4653735632183908</v>
      </c>
      <c r="S49">
        <f t="shared" si="17"/>
        <v>0.4653735632183908</v>
      </c>
      <c r="U49">
        <f t="shared" si="18"/>
        <v>0</v>
      </c>
      <c r="V49">
        <f t="shared" si="19"/>
        <v>0</v>
      </c>
      <c r="W49">
        <f t="shared" si="12"/>
        <v>0</v>
      </c>
      <c r="Y49">
        <f>S49-reranking!E49</f>
        <v>5.5316091954022872E-2</v>
      </c>
      <c r="Z49">
        <f t="shared" si="20"/>
        <v>5.5316091954022877</v>
      </c>
      <c r="AA49">
        <f>Y49/reranking!E49*100</f>
        <v>13.489838822704945</v>
      </c>
      <c r="AB49" t="s">
        <v>22</v>
      </c>
      <c r="AD49">
        <f t="shared" si="13"/>
        <v>2.4623424406499499</v>
      </c>
      <c r="AE49" t="s">
        <v>22</v>
      </c>
      <c r="AF49" t="s">
        <v>56</v>
      </c>
      <c r="AG49">
        <f>AD45</f>
        <v>-7.4073557959747607</v>
      </c>
      <c r="AH49" t="s">
        <v>26</v>
      </c>
    </row>
    <row r="50" spans="1:34" x14ac:dyDescent="0.25">
      <c r="A50" t="s">
        <v>10</v>
      </c>
      <c r="B50">
        <v>0.62931034482758619</v>
      </c>
      <c r="C50">
        <v>0.62931034482758619</v>
      </c>
      <c r="D50">
        <v>0.62931034482758619</v>
      </c>
      <c r="E50">
        <f t="shared" si="14"/>
        <v>0.62931034482758619</v>
      </c>
      <c r="G50">
        <f t="shared" si="10"/>
        <v>8.3333333333333259E-2</v>
      </c>
      <c r="H50">
        <f t="shared" si="15"/>
        <v>8.333333333333325</v>
      </c>
      <c r="I50">
        <f t="shared" si="11"/>
        <v>15.263157894736826</v>
      </c>
      <c r="K50">
        <f>E50-reranking!E50</f>
        <v>3.4482758620689613E-2</v>
      </c>
      <c r="L50">
        <f t="shared" si="16"/>
        <v>3.4482758620689613</v>
      </c>
      <c r="M50">
        <f>K50/reranking!E50*100</f>
        <v>5.7971014492753543</v>
      </c>
      <c r="N50" t="s">
        <v>22</v>
      </c>
      <c r="O50" t="s">
        <v>10</v>
      </c>
      <c r="P50">
        <v>0.62931034482758619</v>
      </c>
      <c r="Q50">
        <v>0.62931034482758619</v>
      </c>
      <c r="R50">
        <v>0.62931034482758619</v>
      </c>
      <c r="S50">
        <f t="shared" si="17"/>
        <v>0.62931034482758619</v>
      </c>
      <c r="U50">
        <f t="shared" si="18"/>
        <v>0</v>
      </c>
      <c r="V50">
        <f t="shared" si="19"/>
        <v>0</v>
      </c>
      <c r="W50">
        <f t="shared" si="12"/>
        <v>0</v>
      </c>
      <c r="X50" t="s">
        <v>26</v>
      </c>
      <c r="Y50">
        <f>S50-reranking!E50</f>
        <v>3.4482758620689613E-2</v>
      </c>
      <c r="Z50">
        <f t="shared" si="20"/>
        <v>3.4482758620689613</v>
      </c>
      <c r="AA50">
        <f>Y50/reranking!E50*100</f>
        <v>5.7971014492753543</v>
      </c>
      <c r="AB50" t="s">
        <v>22</v>
      </c>
      <c r="AD50">
        <f t="shared" si="13"/>
        <v>-0.7818459191457201</v>
      </c>
      <c r="AF50" t="s">
        <v>6</v>
      </c>
      <c r="AG50">
        <f>AD46</f>
        <v>0.64475042671137928</v>
      </c>
    </row>
    <row r="51" spans="1:34" x14ac:dyDescent="0.25">
      <c r="A51" t="s">
        <v>11</v>
      </c>
      <c r="B51">
        <v>15.26280314757906</v>
      </c>
      <c r="C51">
        <v>18.702104985713959</v>
      </c>
      <c r="D51">
        <v>16.484393389060578</v>
      </c>
      <c r="E51">
        <f t="shared" si="14"/>
        <v>16.816433840784534</v>
      </c>
      <c r="G51">
        <f t="shared" si="10"/>
        <v>0.45809233942251026</v>
      </c>
      <c r="H51">
        <f t="shared" si="15"/>
        <v>45.809233942251026</v>
      </c>
      <c r="I51">
        <f t="shared" si="11"/>
        <v>2.8003593113908809</v>
      </c>
      <c r="K51">
        <f>E51-reranking!E51</f>
        <v>1.4153361649348799</v>
      </c>
      <c r="L51">
        <f t="shared" si="16"/>
        <v>141.53361649348798</v>
      </c>
      <c r="M51">
        <f>K51/reranking!E51*100</f>
        <v>9.1898395473087486</v>
      </c>
      <c r="O51" t="s">
        <v>11</v>
      </c>
      <c r="P51">
        <v>15.734360705161921</v>
      </c>
      <c r="Q51">
        <v>15.0645183016514</v>
      </c>
      <c r="R51">
        <v>21.620384935674991</v>
      </c>
      <c r="S51">
        <f t="shared" si="17"/>
        <v>17.473087980829437</v>
      </c>
      <c r="U51">
        <f t="shared" si="18"/>
        <v>0.6566541400449033</v>
      </c>
      <c r="V51">
        <f t="shared" si="19"/>
        <v>65.66541400449033</v>
      </c>
      <c r="W51">
        <f t="shared" si="12"/>
        <v>2.1047130439585643E-2</v>
      </c>
      <c r="Y51">
        <f>S51-reranking!E51</f>
        <v>2.0719903049797832</v>
      </c>
      <c r="Z51">
        <f t="shared" si="20"/>
        <v>207.19903049797833</v>
      </c>
      <c r="AA51">
        <f>Y51/reranking!E51*100</f>
        <v>13.453523564290199</v>
      </c>
      <c r="AD51">
        <f t="shared" si="13"/>
        <v>-28.256283334136199</v>
      </c>
      <c r="AE51" t="s">
        <v>22</v>
      </c>
      <c r="AF51" t="s">
        <v>57</v>
      </c>
      <c r="AG51">
        <f t="shared" ref="AG51:AG52" si="21">AD47</f>
        <v>-6.2260992251109322</v>
      </c>
      <c r="AH51" t="s">
        <v>26</v>
      </c>
    </row>
    <row r="52" spans="1:34" x14ac:dyDescent="0.25">
      <c r="A52" t="s">
        <v>12</v>
      </c>
      <c r="B52">
        <v>3119.9224137931028</v>
      </c>
      <c r="C52">
        <v>3119.9224137931028</v>
      </c>
      <c r="D52">
        <v>3119.9224137931028</v>
      </c>
      <c r="E52">
        <f t="shared" si="14"/>
        <v>3119.9224137931028</v>
      </c>
      <c r="G52">
        <f t="shared" si="10"/>
        <v>-30.945402298850695</v>
      </c>
      <c r="H52">
        <f t="shared" si="15"/>
        <v>-3094.5402298850695</v>
      </c>
      <c r="I52">
        <f t="shared" si="11"/>
        <v>-0.98212315162216246</v>
      </c>
      <c r="K52">
        <f>E52-reranking!E52</f>
        <v>-269.47126436781627</v>
      </c>
      <c r="L52">
        <f t="shared" si="16"/>
        <v>-26947.126436781626</v>
      </c>
      <c r="M52">
        <f>K52/reranking!E52*100</f>
        <v>-7.9504268301471264</v>
      </c>
      <c r="N52" t="s">
        <v>22</v>
      </c>
      <c r="O52" t="s">
        <v>12</v>
      </c>
      <c r="P52">
        <v>3120.3017241379312</v>
      </c>
      <c r="Q52">
        <v>3120.3017241379312</v>
      </c>
      <c r="R52">
        <v>3120.3017241379312</v>
      </c>
      <c r="S52">
        <f t="shared" si="17"/>
        <v>3120.3017241379312</v>
      </c>
      <c r="U52">
        <f t="shared" si="18"/>
        <v>0.37931034482835457</v>
      </c>
      <c r="V52">
        <f t="shared" si="19"/>
        <v>37.931034482835457</v>
      </c>
      <c r="W52">
        <f t="shared" si="12"/>
        <v>0.14965477364745802</v>
      </c>
      <c r="Y52">
        <f>S52-reranking!E52</f>
        <v>-269.09195402298792</v>
      </c>
      <c r="Z52">
        <f t="shared" si="20"/>
        <v>-26909.195402298792</v>
      </c>
      <c r="AA52">
        <f>Y52/reranking!E52*100</f>
        <v>-7.9392357328345788</v>
      </c>
      <c r="AD52">
        <f t="shared" si="13"/>
        <v>-2.0893575733673613</v>
      </c>
      <c r="AF52" t="s">
        <v>58</v>
      </c>
      <c r="AG52">
        <f t="shared" si="21"/>
        <v>4.2407263518696006</v>
      </c>
      <c r="AH52" t="s">
        <v>22</v>
      </c>
    </row>
    <row r="53" spans="1:34" x14ac:dyDescent="0.25">
      <c r="A53" t="s">
        <v>13</v>
      </c>
      <c r="B53">
        <v>253.4568965517241</v>
      </c>
      <c r="C53">
        <v>253.4568965517241</v>
      </c>
      <c r="D53">
        <v>253.4568965517241</v>
      </c>
      <c r="E53">
        <f t="shared" si="14"/>
        <v>253.4568965517241</v>
      </c>
      <c r="G53">
        <f t="shared" si="10"/>
        <v>-7.2672413793103772</v>
      </c>
      <c r="H53">
        <f t="shared" si="15"/>
        <v>-726.72413793103772</v>
      </c>
      <c r="I53">
        <f t="shared" si="11"/>
        <v>-2.7873297182912435</v>
      </c>
      <c r="K53">
        <f>E53-reranking!E53</f>
        <v>-22.704022988505841</v>
      </c>
      <c r="L53">
        <f t="shared" si="16"/>
        <v>-2270.402298850584</v>
      </c>
      <c r="M53">
        <f>K53/reranking!E53*100</f>
        <v>-8.2213019229168722</v>
      </c>
      <c r="N53" t="s">
        <v>22</v>
      </c>
      <c r="O53" t="s">
        <v>13</v>
      </c>
      <c r="P53">
        <v>259.85344827586209</v>
      </c>
      <c r="Q53">
        <v>259.85344827586209</v>
      </c>
      <c r="R53">
        <v>259.85344827586209</v>
      </c>
      <c r="S53">
        <f t="shared" si="17"/>
        <v>259.85344827586209</v>
      </c>
      <c r="U53">
        <f t="shared" si="18"/>
        <v>6.3965517241379928</v>
      </c>
      <c r="V53">
        <f t="shared" si="19"/>
        <v>639.65517241379928</v>
      </c>
      <c r="W53">
        <f t="shared" si="12"/>
        <v>0.1896185141268367</v>
      </c>
      <c r="Y53">
        <f>S53-reranking!E53</f>
        <v>-16.307471264367848</v>
      </c>
      <c r="Z53">
        <f t="shared" si="20"/>
        <v>-1630.7471264367848</v>
      </c>
      <c r="AA53">
        <f>Y53/reranking!E53*100</f>
        <v>-5.9050611837176499</v>
      </c>
      <c r="AD53">
        <f t="shared" si="13"/>
        <v>6.1562756291618888</v>
      </c>
    </row>
    <row r="54" spans="1:34" x14ac:dyDescent="0.25">
      <c r="A54" t="s">
        <v>14</v>
      </c>
      <c r="B54">
        <v>3373.379310344827</v>
      </c>
      <c r="C54">
        <v>3373.379310344827</v>
      </c>
      <c r="D54">
        <v>3373.379310344827</v>
      </c>
      <c r="E54">
        <f t="shared" si="14"/>
        <v>3373.3793103448274</v>
      </c>
      <c r="G54">
        <f t="shared" si="10"/>
        <v>-38.21264367816093</v>
      </c>
      <c r="H54">
        <f t="shared" si="15"/>
        <v>-3821.264367816093</v>
      </c>
      <c r="I54">
        <f t="shared" si="11"/>
        <v>-1.1200824774223115</v>
      </c>
      <c r="K54">
        <f>E54-reranking!E54</f>
        <v>-292.17528735632231</v>
      </c>
      <c r="L54">
        <f t="shared" si="16"/>
        <v>-29217.52873563223</v>
      </c>
      <c r="M54">
        <f>K54/reranking!E54*100</f>
        <v>-7.9708344145128782</v>
      </c>
      <c r="N54" t="s">
        <v>22</v>
      </c>
      <c r="O54" t="s">
        <v>14</v>
      </c>
      <c r="P54">
        <v>3380.155172413793</v>
      </c>
      <c r="Q54">
        <v>3380.155172413793</v>
      </c>
      <c r="R54">
        <v>3380.155172413793</v>
      </c>
      <c r="S54">
        <f t="shared" si="17"/>
        <v>3380.155172413793</v>
      </c>
      <c r="U54">
        <f t="shared" si="18"/>
        <v>6.77586206896558</v>
      </c>
      <c r="V54">
        <f t="shared" si="19"/>
        <v>677.586206896558</v>
      </c>
      <c r="W54">
        <f t="shared" si="12"/>
        <v>6.1532584086703562E-2</v>
      </c>
      <c r="Y54">
        <f>S54-reranking!E54</f>
        <v>-285.39942528735673</v>
      </c>
      <c r="Z54">
        <f t="shared" si="20"/>
        <v>-28539.942528735672</v>
      </c>
      <c r="AA54">
        <f>Y54/reranking!E54*100</f>
        <v>-7.7859821121296307</v>
      </c>
      <c r="AD54">
        <f t="shared" si="13"/>
        <v>-1.4400836386707478</v>
      </c>
      <c r="AG54" t="s">
        <v>59</v>
      </c>
    </row>
    <row r="55" spans="1:34" x14ac:dyDescent="0.25">
      <c r="A55" t="s">
        <v>30</v>
      </c>
      <c r="B55">
        <v>11011.8275862069</v>
      </c>
      <c r="C55">
        <v>11011.8275862069</v>
      </c>
      <c r="D55">
        <v>11011.8275862069</v>
      </c>
      <c r="E55">
        <f t="shared" si="14"/>
        <v>11011.8275862069</v>
      </c>
      <c r="G55">
        <f t="shared" si="10"/>
        <v>11011.8275862069</v>
      </c>
      <c r="H55">
        <f t="shared" si="15"/>
        <v>1101182.7586206901</v>
      </c>
      <c r="I55" t="e">
        <f t="shared" si="11"/>
        <v>#DIV/0!</v>
      </c>
      <c r="K55">
        <f>E55-reranking!E55</f>
        <v>-1637.4626436781582</v>
      </c>
      <c r="L55">
        <f t="shared" si="16"/>
        <v>-163746.26436781581</v>
      </c>
      <c r="M55">
        <f>K55/reranking!E55*100</f>
        <v>-12.945095052127975</v>
      </c>
      <c r="N55" t="s">
        <v>22</v>
      </c>
      <c r="O55" t="s">
        <v>30</v>
      </c>
      <c r="P55">
        <v>11011.8275862069</v>
      </c>
      <c r="Q55">
        <v>11011.8275862069</v>
      </c>
      <c r="R55">
        <v>11011.8275862069</v>
      </c>
      <c r="S55">
        <f t="shared" si="17"/>
        <v>11011.8275862069</v>
      </c>
      <c r="U55">
        <f t="shared" si="18"/>
        <v>0</v>
      </c>
      <c r="V55">
        <f t="shared" si="19"/>
        <v>0</v>
      </c>
      <c r="W55" t="e">
        <f t="shared" si="12"/>
        <v>#DIV/0!</v>
      </c>
      <c r="Y55">
        <f>S55-reranking!E55</f>
        <v>-1637.4626436781582</v>
      </c>
      <c r="Z55">
        <f t="shared" si="20"/>
        <v>-163746.26436781581</v>
      </c>
      <c r="AA55">
        <f>Y55/reranking!E55*100</f>
        <v>-12.945095052127975</v>
      </c>
      <c r="AD55">
        <f t="shared" si="13"/>
        <v>-3.041538080116867</v>
      </c>
      <c r="AF55" t="s">
        <v>60</v>
      </c>
      <c r="AG55">
        <f>AD51</f>
        <v>-28.256283334136199</v>
      </c>
      <c r="AH55" t="s">
        <v>22</v>
      </c>
    </row>
    <row r="56" spans="1:34" x14ac:dyDescent="0.25">
      <c r="AF56" t="s">
        <v>61</v>
      </c>
      <c r="AG56">
        <f t="shared" ref="AG56:AG59" si="22">AD52</f>
        <v>-2.0893575733673613</v>
      </c>
      <c r="AH56" t="s">
        <v>22</v>
      </c>
    </row>
    <row r="57" spans="1:34" x14ac:dyDescent="0.25">
      <c r="AF57" t="s">
        <v>62</v>
      </c>
      <c r="AG57">
        <f t="shared" si="22"/>
        <v>6.1562756291618888</v>
      </c>
      <c r="AH57" t="s">
        <v>26</v>
      </c>
    </row>
    <row r="58" spans="1:34" x14ac:dyDescent="0.25">
      <c r="AF58" t="s">
        <v>65</v>
      </c>
      <c r="AG58">
        <f t="shared" si="22"/>
        <v>-1.4400836386707478</v>
      </c>
      <c r="AH58" t="s">
        <v>22</v>
      </c>
    </row>
    <row r="59" spans="1:34" x14ac:dyDescent="0.25">
      <c r="AF59" t="s">
        <v>63</v>
      </c>
      <c r="AG59">
        <f t="shared" si="22"/>
        <v>-3.041538080116867</v>
      </c>
      <c r="AH59" t="s">
        <v>22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3056-FECB-43A4-AD55-F20D85FC56B4}">
  <dimension ref="A1:J74"/>
  <sheetViews>
    <sheetView topLeftCell="A16" workbookViewId="0">
      <selection activeCell="K48" sqref="K4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29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0.82311550057741301</v>
      </c>
      <c r="C21">
        <v>0.83980886100748964</v>
      </c>
      <c r="D21">
        <v>0.8465087271426881</v>
      </c>
      <c r="E21">
        <f>AVERAGE(B21:D21)</f>
        <v>0.83647769624253032</v>
      </c>
      <c r="G21">
        <f>E21-E3</f>
        <v>2.4708667653502214E-2</v>
      </c>
      <c r="H21">
        <f>G21*100</f>
        <v>2.4708667653502214</v>
      </c>
      <c r="I21">
        <f>G21/E3*100</f>
        <v>3.0438051691192811</v>
      </c>
    </row>
    <row r="22" spans="1:9" x14ac:dyDescent="0.25">
      <c r="A22" t="s">
        <v>1</v>
      </c>
      <c r="B22">
        <v>0.79784482758620701</v>
      </c>
      <c r="C22">
        <v>0.81005747126436778</v>
      </c>
      <c r="D22">
        <v>0.80761494252873567</v>
      </c>
      <c r="E22">
        <f t="shared" ref="E22:E36" si="0">AVERAGE(B22:D22)</f>
        <v>0.80517241379310345</v>
      </c>
      <c r="G22">
        <f t="shared" ref="G22:G36" si="1">E22-E4</f>
        <v>0.12612889983579645</v>
      </c>
      <c r="H22">
        <f t="shared" ref="H22:H36" si="2">G22*100</f>
        <v>12.612889983579645</v>
      </c>
      <c r="I22">
        <f t="shared" ref="I22:I36" si="3">G22/E4*100</f>
        <v>18.574494453344627</v>
      </c>
    </row>
    <row r="23" spans="1:9" x14ac:dyDescent="0.25">
      <c r="A23" t="s">
        <v>2</v>
      </c>
      <c r="B23">
        <v>0.81475095782279383</v>
      </c>
      <c r="C23">
        <v>0.81945641759132681</v>
      </c>
      <c r="D23">
        <v>0.83251915705489432</v>
      </c>
      <c r="E23">
        <f t="shared" si="0"/>
        <v>0.82224217748967166</v>
      </c>
      <c r="G23">
        <f t="shared" si="1"/>
        <v>0.17197078543721811</v>
      </c>
      <c r="H23">
        <f t="shared" si="2"/>
        <v>17.197078543721812</v>
      </c>
      <c r="I23">
        <f t="shared" si="3"/>
        <v>26.446002013778617</v>
      </c>
    </row>
    <row r="24" spans="1:9" x14ac:dyDescent="0.25">
      <c r="A24" t="s">
        <v>3</v>
      </c>
      <c r="B24">
        <v>0.78888568494846134</v>
      </c>
      <c r="C24">
        <v>0.78895270744514867</v>
      </c>
      <c r="D24">
        <v>0.78856235040737155</v>
      </c>
      <c r="E24">
        <f t="shared" si="0"/>
        <v>0.78880024760032708</v>
      </c>
      <c r="G24">
        <f t="shared" si="1"/>
        <v>4.8299654701849937E-3</v>
      </c>
      <c r="H24">
        <f t="shared" si="2"/>
        <v>0.48299654701849937</v>
      </c>
      <c r="I24">
        <f t="shared" si="3"/>
        <v>0.61609037743897554</v>
      </c>
    </row>
    <row r="25" spans="1:9" x14ac:dyDescent="0.25">
      <c r="A25" t="s">
        <v>4</v>
      </c>
      <c r="B25">
        <v>0.33261798698418632</v>
      </c>
      <c r="C25">
        <v>0.32460873406107821</v>
      </c>
      <c r="D25">
        <v>0.33347112585562028</v>
      </c>
      <c r="E25">
        <f t="shared" si="0"/>
        <v>0.33023261563362821</v>
      </c>
      <c r="G25">
        <f t="shared" si="1"/>
        <v>5.3402878242015228E-2</v>
      </c>
      <c r="H25">
        <f t="shared" si="2"/>
        <v>5.340287824201523</v>
      </c>
      <c r="I25">
        <f t="shared" si="3"/>
        <v>19.290874869584425</v>
      </c>
    </row>
    <row r="26" spans="1:9" x14ac:dyDescent="0.25">
      <c r="A26" t="s">
        <v>5</v>
      </c>
      <c r="B26">
        <v>0.7208099969006031</v>
      </c>
      <c r="C26">
        <v>0.74199673825976975</v>
      </c>
      <c r="D26">
        <v>0.71856192261516894</v>
      </c>
      <c r="E26">
        <f t="shared" si="0"/>
        <v>0.72712288592518048</v>
      </c>
      <c r="G26">
        <f t="shared" si="1"/>
        <v>-3.3797212551168077E-2</v>
      </c>
      <c r="H26">
        <f t="shared" si="2"/>
        <v>-3.3797212551168077</v>
      </c>
      <c r="I26">
        <f t="shared" si="3"/>
        <v>-4.4416243727617326</v>
      </c>
    </row>
    <row r="27" spans="1:9" x14ac:dyDescent="0.25">
      <c r="A27" t="s">
        <v>6</v>
      </c>
      <c r="B27">
        <v>0.29453861713409418</v>
      </c>
      <c r="C27">
        <v>0.29419887065887451</v>
      </c>
      <c r="D27">
        <v>0.29453861713409418</v>
      </c>
      <c r="E27">
        <f t="shared" si="0"/>
        <v>0.294425368309021</v>
      </c>
      <c r="G27">
        <f t="shared" si="1"/>
        <v>1.2547492980957031E-2</v>
      </c>
      <c r="H27">
        <f t="shared" si="2"/>
        <v>1.2547492980957031</v>
      </c>
      <c r="I27">
        <f t="shared" si="3"/>
        <v>4.4513933441401221</v>
      </c>
    </row>
    <row r="28" spans="1:9" x14ac:dyDescent="0.25">
      <c r="A28" t="s">
        <v>7</v>
      </c>
      <c r="B28">
        <v>0.2101947218179703</v>
      </c>
      <c r="C28">
        <v>0.20935136079788211</v>
      </c>
      <c r="D28">
        <v>0.2101947218179703</v>
      </c>
      <c r="E28">
        <f t="shared" si="0"/>
        <v>0.20991360147794091</v>
      </c>
      <c r="G28">
        <f t="shared" si="1"/>
        <v>5.9592823187510635E-3</v>
      </c>
      <c r="H28">
        <f t="shared" si="2"/>
        <v>0.59592823187510635</v>
      </c>
      <c r="I28">
        <f t="shared" si="3"/>
        <v>2.9218711049211668</v>
      </c>
    </row>
    <row r="29" spans="1:9" x14ac:dyDescent="0.25">
      <c r="A29" t="s">
        <v>8</v>
      </c>
      <c r="B29">
        <v>0.38173642754554749</v>
      </c>
      <c r="C29">
        <v>0.38190034031867981</v>
      </c>
      <c r="D29">
        <v>0.38173642754554749</v>
      </c>
      <c r="E29">
        <f t="shared" si="0"/>
        <v>0.38179106513659161</v>
      </c>
      <c r="G29">
        <f t="shared" si="1"/>
        <v>1.9526173671086666E-2</v>
      </c>
      <c r="H29">
        <f t="shared" si="2"/>
        <v>1.9526173671086666</v>
      </c>
      <c r="I29">
        <f t="shared" si="3"/>
        <v>5.3900265057691792</v>
      </c>
    </row>
    <row r="30" spans="1:9" x14ac:dyDescent="0.25">
      <c r="A30" t="s">
        <v>9</v>
      </c>
      <c r="B30">
        <v>0.49640804597701149</v>
      </c>
      <c r="C30">
        <v>0.49640804597701149</v>
      </c>
      <c r="D30">
        <v>0.49640804597701149</v>
      </c>
      <c r="E30">
        <f t="shared" si="0"/>
        <v>0.49640804597701149</v>
      </c>
      <c r="G30">
        <f t="shared" si="1"/>
        <v>0.11187739463601537</v>
      </c>
      <c r="H30">
        <f t="shared" si="2"/>
        <v>11.187739463601536</v>
      </c>
      <c r="I30">
        <f t="shared" si="3"/>
        <v>29.094532320338789</v>
      </c>
    </row>
    <row r="31" spans="1:9" x14ac:dyDescent="0.25">
      <c r="A31" t="s">
        <v>10</v>
      </c>
      <c r="B31">
        <v>0.65517241379310343</v>
      </c>
      <c r="C31">
        <v>0.65517241379310343</v>
      </c>
      <c r="D31">
        <v>0.65517241379310343</v>
      </c>
      <c r="E31">
        <f t="shared" si="0"/>
        <v>0.65517241379310343</v>
      </c>
      <c r="G31">
        <f t="shared" si="1"/>
        <v>0.1091954022988505</v>
      </c>
      <c r="H31">
        <f t="shared" si="2"/>
        <v>10.919540229885049</v>
      </c>
      <c r="I31">
        <f t="shared" si="3"/>
        <v>19.999999999999986</v>
      </c>
    </row>
    <row r="32" spans="1:9" x14ac:dyDescent="0.25">
      <c r="A32" t="s">
        <v>11</v>
      </c>
      <c r="B32">
        <v>16.957900456313428</v>
      </c>
      <c r="C32">
        <v>14.593507018582571</v>
      </c>
      <c r="D32">
        <v>14.76547417558473</v>
      </c>
      <c r="E32">
        <f t="shared" si="0"/>
        <v>15.438960550160244</v>
      </c>
      <c r="G32">
        <f t="shared" si="1"/>
        <v>-0.91938095120177898</v>
      </c>
      <c r="H32">
        <f t="shared" si="2"/>
        <v>-91.938095120177906</v>
      </c>
      <c r="I32">
        <f t="shared" si="3"/>
        <v>-5.6202577206572544</v>
      </c>
    </row>
    <row r="33" spans="1:10" x14ac:dyDescent="0.25">
      <c r="A33" t="s">
        <v>12</v>
      </c>
      <c r="B33">
        <v>3361.7931034482758</v>
      </c>
      <c r="C33">
        <v>3380.5086206896549</v>
      </c>
      <c r="D33">
        <v>3382.5775862068972</v>
      </c>
      <c r="E33">
        <f t="shared" si="0"/>
        <v>3374.9597701149428</v>
      </c>
      <c r="G33">
        <f t="shared" si="1"/>
        <v>224.09195402298928</v>
      </c>
      <c r="H33">
        <f t="shared" si="2"/>
        <v>22409.19540229893</v>
      </c>
      <c r="I33">
        <f t="shared" si="3"/>
        <v>7.1120709310151993</v>
      </c>
    </row>
    <row r="34" spans="1:10" x14ac:dyDescent="0.25">
      <c r="A34" t="s">
        <v>13</v>
      </c>
      <c r="B34">
        <v>290.82758620689663</v>
      </c>
      <c r="C34">
        <v>294.61206896551732</v>
      </c>
      <c r="D34">
        <v>293.25862068965517</v>
      </c>
      <c r="E34">
        <f t="shared" si="0"/>
        <v>292.89942528735634</v>
      </c>
      <c r="G34">
        <f t="shared" si="1"/>
        <v>32.17528735632186</v>
      </c>
      <c r="H34">
        <f t="shared" si="2"/>
        <v>3217.528735632186</v>
      </c>
      <c r="I34">
        <f t="shared" si="3"/>
        <v>12.340739761054543</v>
      </c>
    </row>
    <row r="35" spans="1:10" x14ac:dyDescent="0.25">
      <c r="A35" t="s">
        <v>14</v>
      </c>
      <c r="B35">
        <v>3652.620689655173</v>
      </c>
      <c r="C35">
        <v>3675.120689655173</v>
      </c>
      <c r="D35">
        <v>3675.8362068965521</v>
      </c>
      <c r="E35">
        <f t="shared" si="0"/>
        <v>3667.8591954022995</v>
      </c>
      <c r="G35">
        <f t="shared" si="1"/>
        <v>256.26724137931114</v>
      </c>
      <c r="H35">
        <f t="shared" si="2"/>
        <v>25626.724137931116</v>
      </c>
      <c r="I35">
        <f t="shared" si="3"/>
        <v>7.511661559557786</v>
      </c>
    </row>
    <row r="36" spans="1:10" x14ac:dyDescent="0.25">
      <c r="A36" t="s">
        <v>30</v>
      </c>
      <c r="B36">
        <v>14503.793103448281</v>
      </c>
      <c r="C36">
        <v>14496.724137931031</v>
      </c>
      <c r="D36">
        <v>14502.9224137931</v>
      </c>
      <c r="E36">
        <f t="shared" si="0"/>
        <v>14501.146551724138</v>
      </c>
      <c r="G36">
        <f t="shared" si="1"/>
        <v>14501.146551724138</v>
      </c>
      <c r="H36">
        <f t="shared" si="2"/>
        <v>1450114.6551724137</v>
      </c>
      <c r="I36" t="e">
        <f t="shared" si="3"/>
        <v>#DIV/0!</v>
      </c>
    </row>
    <row r="38" spans="1:10" x14ac:dyDescent="0.25">
      <c r="A38" t="s">
        <v>36</v>
      </c>
    </row>
    <row r="39" spans="1:10" x14ac:dyDescent="0.25">
      <c r="B39" t="s">
        <v>15</v>
      </c>
      <c r="C39" t="s">
        <v>16</v>
      </c>
      <c r="D39" t="s">
        <v>17</v>
      </c>
      <c r="E39" t="s">
        <v>18</v>
      </c>
      <c r="G39" t="s">
        <v>28</v>
      </c>
      <c r="H39" t="s">
        <v>20</v>
      </c>
      <c r="I39" t="s">
        <v>21</v>
      </c>
    </row>
    <row r="40" spans="1:10" x14ac:dyDescent="0.25">
      <c r="A40" t="s">
        <v>0</v>
      </c>
      <c r="B40">
        <v>0.76993333772462869</v>
      </c>
      <c r="C40">
        <v>0.76577832767868992</v>
      </c>
      <c r="D40">
        <v>0.77902954768266508</v>
      </c>
      <c r="E40">
        <f>AVERAGE(B40:D40)</f>
        <v>0.7715804043619946</v>
      </c>
      <c r="G40">
        <f>E40-E3</f>
        <v>-4.0188624227033509E-2</v>
      </c>
      <c r="H40">
        <f>G40*100</f>
        <v>-4.0188624227033509</v>
      </c>
      <c r="I40">
        <f>G40/E3*100</f>
        <v>-4.9507461866199973</v>
      </c>
      <c r="J40" t="s">
        <v>26</v>
      </c>
    </row>
    <row r="41" spans="1:10" x14ac:dyDescent="0.25">
      <c r="A41" t="s">
        <v>1</v>
      </c>
      <c r="B41">
        <v>0.7068504594820384</v>
      </c>
      <c r="C41">
        <v>0.70357142857142874</v>
      </c>
      <c r="D41">
        <v>0.70375615763546795</v>
      </c>
      <c r="E41">
        <f t="shared" ref="E41:E55" si="4">AVERAGE(B41:D41)</f>
        <v>0.70472601522964506</v>
      </c>
      <c r="G41">
        <f t="shared" ref="G41:G55" si="5">E41-E4</f>
        <v>2.5682501272338065E-2</v>
      </c>
      <c r="H41">
        <f t="shared" ref="H41:H55" si="6">G41*100</f>
        <v>2.5682501272338065</v>
      </c>
      <c r="I41">
        <f t="shared" ref="I41:I55" si="7">G41/E4*100</f>
        <v>3.7821583955152511</v>
      </c>
      <c r="J41" t="s">
        <v>22</v>
      </c>
    </row>
    <row r="42" spans="1:10" x14ac:dyDescent="0.25">
      <c r="A42" t="s">
        <v>2</v>
      </c>
      <c r="B42">
        <v>0.72522946857010362</v>
      </c>
      <c r="C42">
        <v>0.73678160916557645</v>
      </c>
      <c r="D42">
        <v>0.73714080456775022</v>
      </c>
      <c r="E42">
        <f t="shared" si="4"/>
        <v>0.7330506274344768</v>
      </c>
      <c r="G42">
        <f t="shared" si="5"/>
        <v>8.2779235382023253E-2</v>
      </c>
      <c r="H42">
        <f t="shared" si="6"/>
        <v>8.2779235382023248</v>
      </c>
      <c r="I42">
        <f t="shared" si="7"/>
        <v>12.729951892969934</v>
      </c>
      <c r="J42" t="s">
        <v>22</v>
      </c>
    </row>
    <row r="43" spans="1:10" x14ac:dyDescent="0.25">
      <c r="A43" t="s">
        <v>3</v>
      </c>
      <c r="B43">
        <v>0.78722659826775332</v>
      </c>
      <c r="C43">
        <v>0.78727786122879417</v>
      </c>
      <c r="D43">
        <v>0.78608559510084985</v>
      </c>
      <c r="E43">
        <f t="shared" si="4"/>
        <v>0.78686335153246578</v>
      </c>
      <c r="G43">
        <f t="shared" si="5"/>
        <v>2.8930694023237002E-3</v>
      </c>
      <c r="H43">
        <f t="shared" si="6"/>
        <v>0.28930694023237002</v>
      </c>
      <c r="I43">
        <f t="shared" si="7"/>
        <v>0.369027942546863</v>
      </c>
    </row>
    <row r="44" spans="1:10" x14ac:dyDescent="0.25">
      <c r="A44" t="s">
        <v>4</v>
      </c>
      <c r="B44">
        <v>0.27794117642294758</v>
      </c>
      <c r="C44">
        <v>0.27489079075862038</v>
      </c>
      <c r="D44">
        <v>0.29159289196078908</v>
      </c>
      <c r="E44">
        <f t="shared" si="4"/>
        <v>0.28147495304745235</v>
      </c>
      <c r="G44">
        <f t="shared" si="5"/>
        <v>4.6452156558393631E-3</v>
      </c>
      <c r="H44">
        <f t="shared" si="6"/>
        <v>0.46452156558393631</v>
      </c>
      <c r="I44">
        <f t="shared" si="7"/>
        <v>1.6780045740779934</v>
      </c>
    </row>
    <row r="45" spans="1:10" x14ac:dyDescent="0.25">
      <c r="A45" t="s">
        <v>5</v>
      </c>
      <c r="B45">
        <v>0.70655532221611339</v>
      </c>
      <c r="C45">
        <v>0.71173713146123263</v>
      </c>
      <c r="D45">
        <v>0.70874219736350841</v>
      </c>
      <c r="E45">
        <f t="shared" si="4"/>
        <v>0.7090115503469514</v>
      </c>
      <c r="G45">
        <f t="shared" si="5"/>
        <v>-5.1908548129397158E-2</v>
      </c>
      <c r="H45">
        <f t="shared" si="6"/>
        <v>-5.1908548129397154</v>
      </c>
      <c r="I45">
        <f t="shared" si="7"/>
        <v>-6.8218132538932554</v>
      </c>
      <c r="J45" t="s">
        <v>26</v>
      </c>
    </row>
    <row r="46" spans="1:10" x14ac:dyDescent="0.25">
      <c r="A46" t="s">
        <v>6</v>
      </c>
      <c r="B46">
        <v>0.28015336394309998</v>
      </c>
      <c r="C46">
        <v>0.28015336394309998</v>
      </c>
      <c r="D46">
        <v>0.27890640497207642</v>
      </c>
      <c r="E46">
        <f t="shared" si="4"/>
        <v>0.27973771095275879</v>
      </c>
      <c r="G46">
        <f t="shared" si="5"/>
        <v>-2.1401643753051758E-3</v>
      </c>
      <c r="H46">
        <f t="shared" si="6"/>
        <v>-0.21401643753051758</v>
      </c>
      <c r="I46">
        <f t="shared" si="7"/>
        <v>-0.75925234387918616</v>
      </c>
    </row>
    <row r="47" spans="1:10" x14ac:dyDescent="0.25">
      <c r="A47" t="s">
        <v>7</v>
      </c>
      <c r="B47">
        <v>0.20270580053329471</v>
      </c>
      <c r="C47">
        <v>0.20270580053329471</v>
      </c>
      <c r="D47">
        <v>0.20083476603031161</v>
      </c>
      <c r="E47">
        <f t="shared" si="4"/>
        <v>0.20208212236563369</v>
      </c>
      <c r="G47">
        <f t="shared" si="5"/>
        <v>-1.8721967935561579E-3</v>
      </c>
      <c r="H47">
        <f t="shared" si="6"/>
        <v>-0.18721967935561579</v>
      </c>
      <c r="I47">
        <f t="shared" si="7"/>
        <v>-0.91794907863406228</v>
      </c>
    </row>
    <row r="48" spans="1:10" x14ac:dyDescent="0.25">
      <c r="A48" t="s">
        <v>8</v>
      </c>
      <c r="B48">
        <v>0.36114498972892761</v>
      </c>
      <c r="C48">
        <v>0.36114498972892761</v>
      </c>
      <c r="D48">
        <v>0.36052832007408142</v>
      </c>
      <c r="E48">
        <f t="shared" si="4"/>
        <v>0.3609394331773122</v>
      </c>
      <c r="G48">
        <f t="shared" si="5"/>
        <v>-1.325458288192749E-3</v>
      </c>
      <c r="H48">
        <f t="shared" si="6"/>
        <v>-0.1325458288192749</v>
      </c>
      <c r="I48">
        <f t="shared" si="7"/>
        <v>-0.36588096705445161</v>
      </c>
    </row>
    <row r="49" spans="1:10" x14ac:dyDescent="0.25">
      <c r="A49" t="s">
        <v>9</v>
      </c>
      <c r="B49">
        <v>0.41005747126436792</v>
      </c>
      <c r="C49">
        <v>0.41005747126436792</v>
      </c>
      <c r="D49">
        <v>0.41005747126436792</v>
      </c>
      <c r="E49">
        <f t="shared" si="4"/>
        <v>0.41005747126436792</v>
      </c>
      <c r="G49">
        <f t="shared" si="5"/>
        <v>2.5526819923371802E-2</v>
      </c>
      <c r="H49">
        <f t="shared" si="6"/>
        <v>2.5526819923371802</v>
      </c>
      <c r="I49">
        <f t="shared" si="7"/>
        <v>6.6384356706937764</v>
      </c>
      <c r="J49" t="s">
        <v>22</v>
      </c>
    </row>
    <row r="50" spans="1:10" x14ac:dyDescent="0.25">
      <c r="A50" t="s">
        <v>10</v>
      </c>
      <c r="B50">
        <v>0.59482758620689657</v>
      </c>
      <c r="C50">
        <v>0.59482758620689657</v>
      </c>
      <c r="D50">
        <v>0.59482758620689657</v>
      </c>
      <c r="E50">
        <f t="shared" si="4"/>
        <v>0.59482758620689657</v>
      </c>
      <c r="G50">
        <f t="shared" si="5"/>
        <v>4.8850574712643646E-2</v>
      </c>
      <c r="H50">
        <f t="shared" si="6"/>
        <v>4.8850574712643642</v>
      </c>
      <c r="I50">
        <f t="shared" si="7"/>
        <v>8.9473684210526248</v>
      </c>
      <c r="J50" t="s">
        <v>22</v>
      </c>
    </row>
    <row r="51" spans="1:10" x14ac:dyDescent="0.25">
      <c r="A51" t="s">
        <v>11</v>
      </c>
      <c r="B51">
        <v>15.383776977144439</v>
      </c>
      <c r="C51">
        <v>16.153961255632598</v>
      </c>
      <c r="D51">
        <v>14.66555479477192</v>
      </c>
      <c r="E51">
        <f t="shared" si="4"/>
        <v>15.401097675849654</v>
      </c>
      <c r="G51">
        <f t="shared" si="5"/>
        <v>-0.95724382551236964</v>
      </c>
      <c r="H51">
        <f t="shared" si="6"/>
        <v>-95.724382551236971</v>
      </c>
      <c r="I51">
        <f t="shared" si="7"/>
        <v>-5.8517168469228249</v>
      </c>
    </row>
    <row r="52" spans="1:10" x14ac:dyDescent="0.25">
      <c r="A52" t="s">
        <v>12</v>
      </c>
      <c r="B52">
        <v>3389.974137931034</v>
      </c>
      <c r="C52">
        <v>3389.974137931034</v>
      </c>
      <c r="D52">
        <v>3388.2327586206902</v>
      </c>
      <c r="E52">
        <f t="shared" si="4"/>
        <v>3389.3936781609191</v>
      </c>
      <c r="G52">
        <f t="shared" si="5"/>
        <v>238.52586206896558</v>
      </c>
      <c r="H52">
        <f t="shared" si="6"/>
        <v>23852.586206896558</v>
      </c>
      <c r="I52">
        <f t="shared" si="7"/>
        <v>7.5701640307085647</v>
      </c>
    </row>
    <row r="53" spans="1:10" x14ac:dyDescent="0.25">
      <c r="A53" t="s">
        <v>13</v>
      </c>
      <c r="B53">
        <v>275.91379310344831</v>
      </c>
      <c r="C53">
        <v>275.91379310344831</v>
      </c>
      <c r="D53">
        <v>276.65517241379308</v>
      </c>
      <c r="E53">
        <f t="shared" si="4"/>
        <v>276.16091954022994</v>
      </c>
      <c r="G53">
        <f t="shared" si="5"/>
        <v>15.436781609195464</v>
      </c>
      <c r="H53">
        <f t="shared" si="6"/>
        <v>1543.6781609195464</v>
      </c>
      <c r="I53">
        <f t="shared" si="7"/>
        <v>5.9207335890314567</v>
      </c>
    </row>
    <row r="54" spans="1:10" x14ac:dyDescent="0.25">
      <c r="A54" t="s">
        <v>14</v>
      </c>
      <c r="B54">
        <v>3665.8879310344828</v>
      </c>
      <c r="C54">
        <v>3665.8879310344828</v>
      </c>
      <c r="D54">
        <v>3664.8879310344828</v>
      </c>
      <c r="E54">
        <f t="shared" si="4"/>
        <v>3665.5545977011498</v>
      </c>
      <c r="G54">
        <f t="shared" si="5"/>
        <v>253.96264367816138</v>
      </c>
      <c r="H54">
        <f t="shared" si="6"/>
        <v>25396.26436781614</v>
      </c>
      <c r="I54">
        <f t="shared" si="7"/>
        <v>7.4441095858103932</v>
      </c>
    </row>
    <row r="55" spans="1:10" x14ac:dyDescent="0.25">
      <c r="A55" t="s">
        <v>30</v>
      </c>
      <c r="B55">
        <v>12648.586206896551</v>
      </c>
      <c r="C55">
        <v>12648.1724137931</v>
      </c>
      <c r="D55">
        <v>12651.11206896552</v>
      </c>
      <c r="E55">
        <f t="shared" si="4"/>
        <v>12649.290229885059</v>
      </c>
      <c r="G55">
        <f t="shared" si="5"/>
        <v>12649.290229885059</v>
      </c>
      <c r="H55">
        <f t="shared" si="6"/>
        <v>1264929.0229885059</v>
      </c>
      <c r="I55" t="e">
        <f t="shared" si="7"/>
        <v>#DIV/0!</v>
      </c>
    </row>
    <row r="57" spans="1:10" x14ac:dyDescent="0.25">
      <c r="A57" t="s">
        <v>40</v>
      </c>
    </row>
    <row r="58" spans="1:10" x14ac:dyDescent="0.25">
      <c r="B58" t="s">
        <v>15</v>
      </c>
      <c r="C58" t="s">
        <v>16</v>
      </c>
      <c r="D58" t="s">
        <v>17</v>
      </c>
      <c r="E58" t="s">
        <v>18</v>
      </c>
      <c r="G58" t="s">
        <v>28</v>
      </c>
      <c r="H58" t="s">
        <v>20</v>
      </c>
      <c r="I58" t="s">
        <v>21</v>
      </c>
    </row>
    <row r="59" spans="1:10" x14ac:dyDescent="0.25">
      <c r="A59" t="s">
        <v>0</v>
      </c>
      <c r="B59">
        <v>0.83153899509311768</v>
      </c>
      <c r="C59">
        <v>0.84033658512880782</v>
      </c>
      <c r="D59">
        <v>0.83200213208542062</v>
      </c>
      <c r="E59">
        <f>AVERAGE(B59:D59)</f>
        <v>0.83462590410244875</v>
      </c>
      <c r="G59">
        <f>E59-E3</f>
        <v>2.2856875513420638E-2</v>
      </c>
      <c r="H59">
        <f>G59*100</f>
        <v>2.2856875513420638</v>
      </c>
      <c r="I59">
        <f>G59/E3*100</f>
        <v>2.8156870622607011</v>
      </c>
    </row>
    <row r="60" spans="1:10" x14ac:dyDescent="0.25">
      <c r="A60" t="s">
        <v>1</v>
      </c>
      <c r="B60">
        <v>0.79583333333333328</v>
      </c>
      <c r="C60">
        <v>0.79956896551724133</v>
      </c>
      <c r="D60">
        <v>0.80330459770114948</v>
      </c>
      <c r="E60">
        <f t="shared" ref="E60:E74" si="8">AVERAGE(B60:D60)</f>
        <v>0.79956896551724144</v>
      </c>
      <c r="G60">
        <f t="shared" ref="G60:G74" si="9">E60-E4</f>
        <v>0.12052545155993444</v>
      </c>
      <c r="H60">
        <f t="shared" ref="H60:H74" si="10">G60*100</f>
        <v>12.052545155993444</v>
      </c>
      <c r="I60">
        <f t="shared" ref="I60:I74" si="11">G60/E4*100</f>
        <v>17.749297222138278</v>
      </c>
    </row>
    <row r="61" spans="1:10" x14ac:dyDescent="0.25">
      <c r="A61" t="s">
        <v>2</v>
      </c>
      <c r="B61">
        <v>0.83255507659862704</v>
      </c>
      <c r="C61">
        <v>0.82664032564083345</v>
      </c>
      <c r="D61">
        <v>0.82326388885993496</v>
      </c>
      <c r="E61">
        <f t="shared" si="8"/>
        <v>0.82748643036646508</v>
      </c>
      <c r="G61">
        <f t="shared" si="9"/>
        <v>0.17721503831401153</v>
      </c>
      <c r="H61">
        <f t="shared" si="10"/>
        <v>17.721503831401154</v>
      </c>
      <c r="I61">
        <f t="shared" si="11"/>
        <v>27.252473425698025</v>
      </c>
    </row>
    <row r="62" spans="1:10" x14ac:dyDescent="0.25">
      <c r="A62" t="s">
        <v>3</v>
      </c>
      <c r="B62">
        <v>0.79595103458213701</v>
      </c>
      <c r="C62">
        <v>0.79524905884654229</v>
      </c>
      <c r="D62">
        <v>0.79574906781709909</v>
      </c>
      <c r="E62">
        <f t="shared" si="8"/>
        <v>0.79564972041525939</v>
      </c>
      <c r="G62">
        <f t="shared" si="9"/>
        <v>1.1679438285117305E-2</v>
      </c>
      <c r="H62">
        <f t="shared" si="10"/>
        <v>1.1679438285117305</v>
      </c>
      <c r="I62">
        <f t="shared" si="11"/>
        <v>1.4897807418647118</v>
      </c>
    </row>
    <row r="63" spans="1:10" x14ac:dyDescent="0.25">
      <c r="A63" t="s">
        <v>4</v>
      </c>
      <c r="B63">
        <v>0.32961725812326031</v>
      </c>
      <c r="C63">
        <v>0.3347569481257382</v>
      </c>
      <c r="D63">
        <v>0.33232824728844479</v>
      </c>
      <c r="E63">
        <f t="shared" si="8"/>
        <v>0.33223415117914779</v>
      </c>
      <c r="G63">
        <f t="shared" si="9"/>
        <v>5.5404413787534801E-2</v>
      </c>
      <c r="H63">
        <f t="shared" si="10"/>
        <v>5.5404413787534796</v>
      </c>
      <c r="I63">
        <f t="shared" si="11"/>
        <v>20.013895295200093</v>
      </c>
    </row>
    <row r="64" spans="1:10" x14ac:dyDescent="0.25">
      <c r="A64" t="s">
        <v>5</v>
      </c>
      <c r="B64">
        <v>0.77382145151238313</v>
      </c>
      <c r="C64">
        <v>0.77974862616240159</v>
      </c>
      <c r="D64">
        <v>0.76751136348775995</v>
      </c>
      <c r="E64">
        <f t="shared" si="8"/>
        <v>0.77369381372084822</v>
      </c>
      <c r="G64">
        <f t="shared" si="9"/>
        <v>1.2773715244499662E-2</v>
      </c>
      <c r="H64">
        <f t="shared" si="10"/>
        <v>1.2773715244499662</v>
      </c>
      <c r="I64">
        <f t="shared" si="11"/>
        <v>1.6787196540185358</v>
      </c>
    </row>
    <row r="65" spans="1:9" x14ac:dyDescent="0.25">
      <c r="A65" t="s">
        <v>6</v>
      </c>
      <c r="B65">
        <v>0.30279830098152161</v>
      </c>
      <c r="C65">
        <v>0.30183127522468572</v>
      </c>
      <c r="D65">
        <v>0.30158641934394842</v>
      </c>
      <c r="E65">
        <f t="shared" si="8"/>
        <v>0.30207199851671857</v>
      </c>
      <c r="G65">
        <f t="shared" si="9"/>
        <v>2.01941231886546E-2</v>
      </c>
      <c r="H65">
        <f t="shared" si="10"/>
        <v>2.0194123188654602</v>
      </c>
      <c r="I65">
        <f t="shared" si="11"/>
        <v>7.1641391383242272</v>
      </c>
    </row>
    <row r="66" spans="1:9" x14ac:dyDescent="0.25">
      <c r="A66" t="s">
        <v>7</v>
      </c>
      <c r="B66">
        <v>0.2227679789066315</v>
      </c>
      <c r="C66">
        <v>0.2201374173164368</v>
      </c>
      <c r="D66">
        <v>0.22032514214515689</v>
      </c>
      <c r="E66">
        <f t="shared" si="8"/>
        <v>0.22107684612274173</v>
      </c>
      <c r="G66">
        <f t="shared" si="9"/>
        <v>1.7122526963551876E-2</v>
      </c>
      <c r="H66">
        <f t="shared" si="10"/>
        <v>1.7122526963551876</v>
      </c>
      <c r="I66">
        <f t="shared" si="11"/>
        <v>8.395275488227071</v>
      </c>
    </row>
    <row r="67" spans="1:9" x14ac:dyDescent="0.25">
      <c r="A67" t="s">
        <v>8</v>
      </c>
      <c r="B67">
        <v>0.38521414995193481</v>
      </c>
      <c r="C67">
        <v>0.38606312870979309</v>
      </c>
      <c r="D67">
        <v>0.38542592525482178</v>
      </c>
      <c r="E67">
        <f t="shared" si="8"/>
        <v>0.38556773463884991</v>
      </c>
      <c r="G67">
        <f t="shared" si="9"/>
        <v>2.3302843173344967E-2</v>
      </c>
      <c r="H67">
        <f t="shared" si="10"/>
        <v>2.3302843173344967</v>
      </c>
      <c r="I67">
        <f t="shared" si="11"/>
        <v>6.4325425185630714</v>
      </c>
    </row>
    <row r="68" spans="1:9" x14ac:dyDescent="0.25">
      <c r="A68" t="s">
        <v>9</v>
      </c>
      <c r="B68">
        <v>0.49971264367816087</v>
      </c>
      <c r="C68">
        <v>0.49540229885057468</v>
      </c>
      <c r="D68">
        <v>0.49540229885057468</v>
      </c>
      <c r="E68">
        <f t="shared" si="8"/>
        <v>0.49683908045977004</v>
      </c>
      <c r="G68">
        <f t="shared" si="9"/>
        <v>0.11230842911877392</v>
      </c>
      <c r="H68">
        <f t="shared" si="10"/>
        <v>11.230842911877392</v>
      </c>
      <c r="I68">
        <f t="shared" si="11"/>
        <v>29.206625980819528</v>
      </c>
    </row>
    <row r="69" spans="1:9" x14ac:dyDescent="0.25">
      <c r="A69" t="s">
        <v>10</v>
      </c>
      <c r="B69">
        <v>0.64655172413793105</v>
      </c>
      <c r="C69">
        <v>0.64655172413793105</v>
      </c>
      <c r="D69">
        <v>0.64655172413793105</v>
      </c>
      <c r="E69">
        <f t="shared" si="8"/>
        <v>0.64655172413793105</v>
      </c>
      <c r="G69">
        <f t="shared" si="9"/>
        <v>0.10057471264367812</v>
      </c>
      <c r="H69">
        <f t="shared" si="10"/>
        <v>10.057471264367813</v>
      </c>
      <c r="I69">
        <f t="shared" si="11"/>
        <v>18.421052631578938</v>
      </c>
    </row>
    <row r="70" spans="1:9" x14ac:dyDescent="0.25">
      <c r="A70" t="s">
        <v>11</v>
      </c>
      <c r="B70">
        <v>14.31545526816927</v>
      </c>
      <c r="C70">
        <v>13.83569025993347</v>
      </c>
      <c r="D70">
        <v>13.916584528725719</v>
      </c>
      <c r="E70">
        <f t="shared" si="8"/>
        <v>14.022576685609486</v>
      </c>
      <c r="G70">
        <f t="shared" si="9"/>
        <v>-2.3357648157525368</v>
      </c>
      <c r="H70">
        <f t="shared" si="10"/>
        <v>-233.57648157525369</v>
      </c>
      <c r="I70">
        <f t="shared" si="11"/>
        <v>-14.278738560128831</v>
      </c>
    </row>
    <row r="71" spans="1:9" x14ac:dyDescent="0.25">
      <c r="A71" t="s">
        <v>12</v>
      </c>
      <c r="B71">
        <v>3387.4827586206902</v>
      </c>
      <c r="C71">
        <v>3386.3620689655172</v>
      </c>
      <c r="D71">
        <v>3386.3189655172409</v>
      </c>
      <c r="E71">
        <f t="shared" si="8"/>
        <v>3386.7212643678163</v>
      </c>
      <c r="G71">
        <f t="shared" si="9"/>
        <v>235.85344827586277</v>
      </c>
      <c r="H71">
        <f t="shared" si="10"/>
        <v>23585.344827586276</v>
      </c>
      <c r="I71">
        <f t="shared" si="11"/>
        <v>7.485348863932785</v>
      </c>
    </row>
    <row r="72" spans="1:9" x14ac:dyDescent="0.25">
      <c r="A72" t="s">
        <v>13</v>
      </c>
      <c r="B72">
        <v>269.04310344827587</v>
      </c>
      <c r="C72">
        <v>269.93103448275861</v>
      </c>
      <c r="D72">
        <v>269.25862068965517</v>
      </c>
      <c r="E72">
        <f t="shared" si="8"/>
        <v>269.41091954022983</v>
      </c>
      <c r="G72">
        <f t="shared" si="9"/>
        <v>8.68678160919535</v>
      </c>
      <c r="H72">
        <f t="shared" si="10"/>
        <v>868.678160919535</v>
      </c>
      <c r="I72">
        <f t="shared" si="11"/>
        <v>3.3317903275580631</v>
      </c>
    </row>
    <row r="73" spans="1:9" x14ac:dyDescent="0.25">
      <c r="A73" t="s">
        <v>14</v>
      </c>
      <c r="B73">
        <v>3656.525862068966</v>
      </c>
      <c r="C73">
        <v>3656.2931034482758</v>
      </c>
      <c r="D73">
        <v>3655.5775862068972</v>
      </c>
      <c r="E73">
        <f t="shared" si="8"/>
        <v>3656.1321839080465</v>
      </c>
      <c r="G73">
        <f t="shared" si="9"/>
        <v>244.54022988505812</v>
      </c>
      <c r="H73">
        <f t="shared" si="10"/>
        <v>24454.022988505814</v>
      </c>
      <c r="I73">
        <f t="shared" si="11"/>
        <v>7.1679214038681698</v>
      </c>
    </row>
    <row r="74" spans="1:9" x14ac:dyDescent="0.25">
      <c r="A74" t="s">
        <v>30</v>
      </c>
      <c r="B74">
        <v>12564.84482758621</v>
      </c>
      <c r="C74">
        <v>12566.9224137931</v>
      </c>
      <c r="D74">
        <v>12454.801724137929</v>
      </c>
      <c r="E74">
        <f t="shared" si="8"/>
        <v>12528.856321839079</v>
      </c>
      <c r="G74">
        <f t="shared" si="9"/>
        <v>12528.856321839079</v>
      </c>
      <c r="H74">
        <f t="shared" si="10"/>
        <v>1252885.632183908</v>
      </c>
      <c r="I74" t="e">
        <f t="shared" si="11"/>
        <v>#DIV/0!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8314-864A-44BB-8895-93D15CA11047}">
  <dimension ref="A1:Q71"/>
  <sheetViews>
    <sheetView topLeftCell="A33" workbookViewId="0">
      <selection activeCell="D57" sqref="D57:D7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37</v>
      </c>
      <c r="B19">
        <v>5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0.74595385946272041</v>
      </c>
      <c r="C21">
        <v>0.76145588931192643</v>
      </c>
      <c r="D21">
        <v>0.76729387526443049</v>
      </c>
      <c r="E21">
        <f>AVERAGE(B21:D21)</f>
        <v>0.75823454134635904</v>
      </c>
      <c r="G21">
        <f>E21-$E3</f>
        <v>-5.3534487242669071E-2</v>
      </c>
      <c r="H21">
        <f>G21*100</f>
        <v>-5.3534487242669071</v>
      </c>
      <c r="I21">
        <f>G21/$E3*100</f>
        <v>-6.5947930208325083</v>
      </c>
    </row>
    <row r="22" spans="1:9" x14ac:dyDescent="0.25">
      <c r="A22" t="s">
        <v>1</v>
      </c>
      <c r="B22">
        <v>0.60359195402298849</v>
      </c>
      <c r="C22">
        <v>0.60646551724137931</v>
      </c>
      <c r="D22">
        <v>0.64646962233169125</v>
      </c>
      <c r="E22">
        <f t="shared" ref="E22:E35" si="0">AVERAGE(B22:D22)</f>
        <v>0.61884236453201968</v>
      </c>
      <c r="G22">
        <f t="shared" ref="G22:G35" si="1">E22-$E4</f>
        <v>-6.0201149425287315E-2</v>
      </c>
      <c r="H22">
        <f t="shared" ref="H22:H35" si="2">G22*100</f>
        <v>-6.0201149425287319</v>
      </c>
      <c r="I22">
        <f t="shared" ref="I22:I35" si="3">G22/$E4*100</f>
        <v>-8.8655805096272946</v>
      </c>
    </row>
    <row r="23" spans="1:9" x14ac:dyDescent="0.25">
      <c r="A23" t="s">
        <v>2</v>
      </c>
      <c r="B23">
        <v>0.55278975092987503</v>
      </c>
      <c r="C23">
        <v>0.55080220303885818</v>
      </c>
      <c r="D23">
        <v>0.56679837162164337</v>
      </c>
      <c r="E23">
        <f t="shared" si="0"/>
        <v>0.55679677519679216</v>
      </c>
      <c r="G23">
        <f t="shared" si="1"/>
        <v>-9.3474616855661385E-2</v>
      </c>
      <c r="H23">
        <f t="shared" si="2"/>
        <v>-9.3474616855661381</v>
      </c>
      <c r="I23">
        <f t="shared" si="3"/>
        <v>-14.374708467587229</v>
      </c>
    </row>
    <row r="24" spans="1:9" x14ac:dyDescent="0.25">
      <c r="A24" t="s">
        <v>3</v>
      </c>
      <c r="B24">
        <v>0.77628548031145772</v>
      </c>
      <c r="C24">
        <v>0.77628548031145772</v>
      </c>
      <c r="D24">
        <v>0.78636779492556519</v>
      </c>
      <c r="E24">
        <f t="shared" si="0"/>
        <v>0.77964625184949343</v>
      </c>
      <c r="G24">
        <f t="shared" si="1"/>
        <v>-4.3240302806486497E-3</v>
      </c>
      <c r="H24">
        <f t="shared" si="2"/>
        <v>-0.43240302806486497</v>
      </c>
      <c r="I24">
        <f t="shared" si="3"/>
        <v>-0.55155538152539874</v>
      </c>
    </row>
    <row r="25" spans="1:9" x14ac:dyDescent="0.25">
      <c r="A25" t="s">
        <v>4</v>
      </c>
      <c r="B25">
        <v>0.26848876585018672</v>
      </c>
      <c r="C25">
        <v>0.24776785062437859</v>
      </c>
      <c r="D25">
        <v>0.2707694146347227</v>
      </c>
      <c r="E25">
        <f t="shared" si="0"/>
        <v>0.26234201036976268</v>
      </c>
      <c r="G25">
        <f t="shared" si="1"/>
        <v>-1.4487727021850305E-2</v>
      </c>
      <c r="H25">
        <f t="shared" si="2"/>
        <v>-1.4487727021850305</v>
      </c>
      <c r="I25">
        <f t="shared" si="3"/>
        <v>-5.233443183654602</v>
      </c>
    </row>
    <row r="26" spans="1:9" x14ac:dyDescent="0.25">
      <c r="A26" t="s">
        <v>5</v>
      </c>
      <c r="B26">
        <v>0.73236853945269842</v>
      </c>
      <c r="C26">
        <v>0.73616211145349297</v>
      </c>
      <c r="D26">
        <v>0.72922571655026802</v>
      </c>
      <c r="E26">
        <f t="shared" si="0"/>
        <v>0.73258545581881984</v>
      </c>
      <c r="G26">
        <f t="shared" si="1"/>
        <v>-2.8334642657528719E-2</v>
      </c>
      <c r="H26">
        <f t="shared" si="2"/>
        <v>-2.8334642657528719</v>
      </c>
      <c r="I26">
        <f t="shared" si="3"/>
        <v>-3.7237342940823157</v>
      </c>
    </row>
    <row r="27" spans="1:9" x14ac:dyDescent="0.25">
      <c r="A27" t="s">
        <v>6</v>
      </c>
      <c r="B27">
        <v>0.28038999438285828</v>
      </c>
      <c r="C27">
        <v>0.28038999438285828</v>
      </c>
      <c r="D27">
        <v>0.29023411870002752</v>
      </c>
      <c r="E27">
        <f t="shared" si="0"/>
        <v>0.28367136915524799</v>
      </c>
      <c r="G27">
        <f t="shared" si="1"/>
        <v>1.7934938271840228E-3</v>
      </c>
      <c r="H27">
        <f t="shared" si="2"/>
        <v>0.17934938271840228</v>
      </c>
      <c r="I27">
        <f t="shared" si="3"/>
        <v>0.63626626428082111</v>
      </c>
    </row>
    <row r="28" spans="1:9" x14ac:dyDescent="0.25">
      <c r="A28" t="s">
        <v>7</v>
      </c>
      <c r="B28">
        <v>0.21642366051673889</v>
      </c>
      <c r="C28">
        <v>0.21642366051673889</v>
      </c>
      <c r="D28">
        <v>0.22580386698245999</v>
      </c>
      <c r="E28">
        <f t="shared" si="0"/>
        <v>0.21955039600531259</v>
      </c>
      <c r="G28">
        <f t="shared" si="1"/>
        <v>1.5596076846122742E-2</v>
      </c>
      <c r="H28">
        <f t="shared" si="2"/>
        <v>1.5596076846122742</v>
      </c>
      <c r="I28">
        <f t="shared" si="3"/>
        <v>7.6468480346080518</v>
      </c>
    </row>
    <row r="29" spans="1:9" x14ac:dyDescent="0.25">
      <c r="A29" t="s">
        <v>8</v>
      </c>
      <c r="B29">
        <v>0.34688624739646912</v>
      </c>
      <c r="C29">
        <v>0.34688624739646912</v>
      </c>
      <c r="D29">
        <v>0.35668942332267761</v>
      </c>
      <c r="E29">
        <f t="shared" si="0"/>
        <v>0.35015397270520526</v>
      </c>
      <c r="G29">
        <f t="shared" si="1"/>
        <v>-1.2110918760299683E-2</v>
      </c>
      <c r="H29">
        <f t="shared" si="2"/>
        <v>-1.2110918760299683</v>
      </c>
      <c r="I29">
        <f t="shared" si="3"/>
        <v>-3.3431113656380615</v>
      </c>
    </row>
    <row r="30" spans="1:9" x14ac:dyDescent="0.25">
      <c r="A30" t="s">
        <v>9</v>
      </c>
      <c r="B30">
        <v>0.34497126436781611</v>
      </c>
      <c r="C30">
        <v>0.34497126436781611</v>
      </c>
      <c r="D30">
        <v>0.35890804597701148</v>
      </c>
      <c r="E30">
        <f t="shared" si="0"/>
        <v>0.3496168582375479</v>
      </c>
      <c r="G30">
        <f t="shared" si="1"/>
        <v>-3.4913793103448221E-2</v>
      </c>
      <c r="H30">
        <f t="shared" si="2"/>
        <v>-3.4913793103448221</v>
      </c>
      <c r="I30">
        <f t="shared" si="3"/>
        <v>-9.0795864989413246</v>
      </c>
    </row>
    <row r="31" spans="1:9" x14ac:dyDescent="0.25">
      <c r="A31" t="s">
        <v>10</v>
      </c>
      <c r="B31">
        <v>0.49137931034482762</v>
      </c>
      <c r="C31">
        <v>0.49137931034482762</v>
      </c>
      <c r="D31">
        <v>0.50862068965517238</v>
      </c>
      <c r="E31">
        <f t="shared" si="0"/>
        <v>0.49712643678160923</v>
      </c>
      <c r="G31">
        <f t="shared" si="1"/>
        <v>-4.8850574712643702E-2</v>
      </c>
      <c r="H31">
        <f t="shared" si="2"/>
        <v>-4.8850574712643704</v>
      </c>
      <c r="I31">
        <f t="shared" si="3"/>
        <v>-8.9473684210526336</v>
      </c>
    </row>
    <row r="32" spans="1:9" x14ac:dyDescent="0.25">
      <c r="A32" t="s">
        <v>11</v>
      </c>
      <c r="B32">
        <v>12.87613258485136</v>
      </c>
      <c r="C32">
        <v>12.859718269315261</v>
      </c>
      <c r="D32">
        <v>12.97767798859498</v>
      </c>
      <c r="E32">
        <f t="shared" si="0"/>
        <v>12.904509614253868</v>
      </c>
      <c r="G32">
        <f t="shared" si="1"/>
        <v>-3.453831887108155</v>
      </c>
      <c r="H32">
        <f t="shared" si="2"/>
        <v>-345.38318871081549</v>
      </c>
      <c r="I32">
        <f t="shared" si="3"/>
        <v>-21.113582246834639</v>
      </c>
    </row>
    <row r="33" spans="1:17" x14ac:dyDescent="0.25">
      <c r="A33" t="s">
        <v>12</v>
      </c>
      <c r="B33">
        <v>3004.2413793103451</v>
      </c>
      <c r="C33">
        <v>3004.2413793103451</v>
      </c>
      <c r="D33">
        <v>2966.1379310344828</v>
      </c>
      <c r="E33">
        <f t="shared" si="0"/>
        <v>2991.5402298850581</v>
      </c>
      <c r="G33">
        <f t="shared" si="1"/>
        <v>-159.32758620689538</v>
      </c>
      <c r="H33">
        <f t="shared" si="2"/>
        <v>-15932.758620689538</v>
      </c>
      <c r="I33">
        <f t="shared" si="3"/>
        <v>-5.0566255237108182</v>
      </c>
    </row>
    <row r="34" spans="1:17" x14ac:dyDescent="0.25">
      <c r="A34" t="s">
        <v>13</v>
      </c>
      <c r="B34">
        <v>249.5</v>
      </c>
      <c r="C34">
        <v>249.5</v>
      </c>
      <c r="D34">
        <v>260.73275862068971</v>
      </c>
      <c r="E34">
        <f t="shared" si="0"/>
        <v>253.24425287356325</v>
      </c>
      <c r="G34">
        <f t="shared" si="1"/>
        <v>-7.4798850574712219</v>
      </c>
      <c r="H34">
        <f t="shared" si="2"/>
        <v>-747.98850574712219</v>
      </c>
      <c r="I34">
        <f t="shared" si="3"/>
        <v>-2.868888594983011</v>
      </c>
    </row>
    <row r="35" spans="1:17" x14ac:dyDescent="0.25">
      <c r="A35" t="s">
        <v>14</v>
      </c>
      <c r="B35">
        <v>3253.7413793103451</v>
      </c>
      <c r="C35">
        <v>3253.7413793103451</v>
      </c>
      <c r="D35">
        <v>3226.870689655173</v>
      </c>
      <c r="E35">
        <f t="shared" si="0"/>
        <v>3244.7844827586209</v>
      </c>
      <c r="G35">
        <f t="shared" si="1"/>
        <v>-166.80747126436745</v>
      </c>
      <c r="H35">
        <f t="shared" si="2"/>
        <v>-16680.747126436745</v>
      </c>
      <c r="I35">
        <f t="shared" si="3"/>
        <v>-4.8894320748900277</v>
      </c>
    </row>
    <row r="37" spans="1:17" x14ac:dyDescent="0.25">
      <c r="A37" t="s">
        <v>37</v>
      </c>
      <c r="B37">
        <v>10</v>
      </c>
    </row>
    <row r="38" spans="1:17" x14ac:dyDescent="0.25">
      <c r="B38" t="s">
        <v>15</v>
      </c>
      <c r="C38" t="s">
        <v>16</v>
      </c>
      <c r="D38" t="s">
        <v>17</v>
      </c>
      <c r="E38" t="s">
        <v>18</v>
      </c>
      <c r="G38" t="s">
        <v>31</v>
      </c>
      <c r="H38" t="s">
        <v>20</v>
      </c>
      <c r="I38" t="s">
        <v>21</v>
      </c>
      <c r="K38" t="s">
        <v>42</v>
      </c>
      <c r="L38" t="s">
        <v>20</v>
      </c>
      <c r="M38" t="s">
        <v>21</v>
      </c>
      <c r="O38" t="s">
        <v>43</v>
      </c>
    </row>
    <row r="39" spans="1:17" x14ac:dyDescent="0.25">
      <c r="A39" t="s">
        <v>0</v>
      </c>
      <c r="B39">
        <v>0.76599927097444975</v>
      </c>
      <c r="C39">
        <v>0.75634091370653223</v>
      </c>
      <c r="D39">
        <v>0.77064425699336192</v>
      </c>
      <c r="E39">
        <f>AVERAGE(B39:D39)</f>
        <v>0.76432814722478126</v>
      </c>
      <c r="G39">
        <f>E39-E3</f>
        <v>-4.7440881364246845E-2</v>
      </c>
      <c r="H39">
        <f>G39*100</f>
        <v>-4.7440881364246845</v>
      </c>
      <c r="I39">
        <f>G39/E3*100</f>
        <v>-5.8441354244206574</v>
      </c>
      <c r="K39">
        <f>E39-E21</f>
        <v>6.0936058784222258E-3</v>
      </c>
      <c r="L39">
        <f>K39*100</f>
        <v>0.60936058784222258</v>
      </c>
      <c r="M39">
        <f>K39/E21*100</f>
        <v>0.80365712007819057</v>
      </c>
      <c r="O39">
        <f>E39-E57</f>
        <v>1.5541331074870435E-2</v>
      </c>
      <c r="P39">
        <f>O39*100</f>
        <v>1.5541331074870435</v>
      </c>
      <c r="Q39">
        <f>O39/E57*100</f>
        <v>2.0755348170765582</v>
      </c>
    </row>
    <row r="40" spans="1:17" x14ac:dyDescent="0.25">
      <c r="A40" t="s">
        <v>1</v>
      </c>
      <c r="B40">
        <v>0.61609195402298855</v>
      </c>
      <c r="C40">
        <v>0.64848111658456487</v>
      </c>
      <c r="D40">
        <v>0.64632594417077172</v>
      </c>
      <c r="E40">
        <f t="shared" ref="E40:E53" si="4">AVERAGE(B40:D40)</f>
        <v>0.63696633825944182</v>
      </c>
      <c r="G40">
        <f t="shared" ref="G40:G53" si="5">E40-E4</f>
        <v>-4.2077175697865177E-2</v>
      </c>
      <c r="H40">
        <f t="shared" ref="H40:H53" si="6">G40*100</f>
        <v>-4.2077175697865172</v>
      </c>
      <c r="I40">
        <f t="shared" ref="I40:I53" si="7">G40/E4*100</f>
        <v>-6.1965359852491968</v>
      </c>
      <c r="K40">
        <f t="shared" ref="K40:K53" si="8">E40-E22</f>
        <v>1.8123973727422138E-2</v>
      </c>
      <c r="L40">
        <f t="shared" ref="L40:L53" si="9">K40*100</f>
        <v>1.8123973727422138</v>
      </c>
      <c r="M40">
        <f t="shared" ref="M40:M53" si="10">K40/E22*100</f>
        <v>2.928689883913786</v>
      </c>
      <c r="O40">
        <f t="shared" ref="O40:O53" si="11">E40-E58</f>
        <v>1.3100533066800035E-2</v>
      </c>
      <c r="P40">
        <f t="shared" ref="P40:P53" si="12">O40*100</f>
        <v>1.3100533066800035</v>
      </c>
      <c r="Q40">
        <f t="shared" ref="Q40:Q53" si="13">O40/E58*100</f>
        <v>2.0998959965043698</v>
      </c>
    </row>
    <row r="41" spans="1:17" x14ac:dyDescent="0.25">
      <c r="A41" t="s">
        <v>2</v>
      </c>
      <c r="B41">
        <v>0.57168342909051018</v>
      </c>
      <c r="C41">
        <v>0.57471264365252395</v>
      </c>
      <c r="D41">
        <v>0.58050766280853472</v>
      </c>
      <c r="E41">
        <f t="shared" si="4"/>
        <v>0.57563457851718958</v>
      </c>
      <c r="G41">
        <f t="shared" si="5"/>
        <v>-7.4636813535263968E-2</v>
      </c>
      <c r="H41">
        <f t="shared" si="6"/>
        <v>-7.4636813535263968</v>
      </c>
      <c r="I41">
        <f t="shared" si="7"/>
        <v>-11.477794417448932</v>
      </c>
      <c r="K41">
        <f t="shared" si="8"/>
        <v>1.8837803320397417E-2</v>
      </c>
      <c r="L41">
        <f t="shared" si="9"/>
        <v>1.8837803320397417</v>
      </c>
      <c r="M41">
        <f t="shared" si="10"/>
        <v>3.3832457656996042</v>
      </c>
      <c r="O41">
        <f t="shared" si="11"/>
        <v>2.7298850566609412E-3</v>
      </c>
      <c r="P41">
        <f t="shared" si="12"/>
        <v>0.27298850566609412</v>
      </c>
      <c r="Q41">
        <f t="shared" si="13"/>
        <v>0.47649898627493475</v>
      </c>
    </row>
    <row r="42" spans="1:17" x14ac:dyDescent="0.25">
      <c r="A42" t="s">
        <v>3</v>
      </c>
      <c r="B42">
        <v>0.77628548031145772</v>
      </c>
      <c r="C42">
        <v>0.78636779492556519</v>
      </c>
      <c r="D42">
        <v>0.78636779492556519</v>
      </c>
      <c r="E42">
        <f t="shared" si="4"/>
        <v>0.78300702338752937</v>
      </c>
      <c r="G42">
        <f t="shared" si="5"/>
        <v>-9.6325874261271593E-4</v>
      </c>
      <c r="H42">
        <f t="shared" si="6"/>
        <v>-9.6325874261271593E-2</v>
      </c>
      <c r="I42">
        <f t="shared" si="7"/>
        <v>-0.12286929295271569</v>
      </c>
      <c r="K42">
        <f t="shared" si="8"/>
        <v>3.3607715380359338E-3</v>
      </c>
      <c r="L42">
        <f t="shared" si="9"/>
        <v>0.33607715380359338</v>
      </c>
      <c r="M42">
        <f t="shared" si="10"/>
        <v>0.4310636432950764</v>
      </c>
      <c r="O42">
        <f t="shared" si="11"/>
        <v>1.8079854537462747E-3</v>
      </c>
      <c r="P42">
        <f t="shared" si="12"/>
        <v>0.18079854537462747</v>
      </c>
      <c r="Q42">
        <f t="shared" si="13"/>
        <v>0.23143723506473718</v>
      </c>
    </row>
    <row r="43" spans="1:17" x14ac:dyDescent="0.25">
      <c r="A43" t="s">
        <v>4</v>
      </c>
      <c r="B43">
        <v>0.27484019302411228</v>
      </c>
      <c r="C43">
        <v>0.25668299125197008</v>
      </c>
      <c r="D43">
        <v>0.2806480796718912</v>
      </c>
      <c r="E43">
        <f t="shared" si="4"/>
        <v>0.27072375464932452</v>
      </c>
      <c r="G43">
        <f t="shared" si="5"/>
        <v>-6.1059827422884627E-3</v>
      </c>
      <c r="H43">
        <f t="shared" si="6"/>
        <v>-0.61059827422884627</v>
      </c>
      <c r="I43">
        <f t="shared" si="7"/>
        <v>-2.2056816582716787</v>
      </c>
      <c r="K43">
        <f t="shared" si="8"/>
        <v>8.3817442795618424E-3</v>
      </c>
      <c r="L43">
        <f t="shared" si="9"/>
        <v>0.83817442795618424</v>
      </c>
      <c r="M43">
        <f t="shared" si="10"/>
        <v>3.194968380301745</v>
      </c>
      <c r="O43">
        <f t="shared" si="11"/>
        <v>5.9807104464504879E-3</v>
      </c>
      <c r="P43">
        <f t="shared" si="12"/>
        <v>0.59807104464504879</v>
      </c>
      <c r="Q43">
        <f t="shared" si="13"/>
        <v>2.2590623540112489</v>
      </c>
    </row>
    <row r="44" spans="1:17" x14ac:dyDescent="0.25">
      <c r="A44" t="s">
        <v>5</v>
      </c>
      <c r="B44">
        <v>0.71698046567519536</v>
      </c>
      <c r="C44">
        <v>0.74661830697860299</v>
      </c>
      <c r="D44">
        <v>0.73883032605636234</v>
      </c>
      <c r="E44">
        <f t="shared" si="4"/>
        <v>0.73414303290338701</v>
      </c>
      <c r="G44">
        <f t="shared" si="5"/>
        <v>-2.6777065572961556E-2</v>
      </c>
      <c r="H44">
        <f t="shared" si="6"/>
        <v>-2.6777065572961556</v>
      </c>
      <c r="I44">
        <f t="shared" si="7"/>
        <v>-3.5190377579169514</v>
      </c>
      <c r="K44">
        <f t="shared" si="8"/>
        <v>1.5575770845671633E-3</v>
      </c>
      <c r="L44">
        <f t="shared" si="9"/>
        <v>0.15575770845671633</v>
      </c>
      <c r="M44">
        <f t="shared" si="10"/>
        <v>0.21261370563605306</v>
      </c>
      <c r="O44">
        <f t="shared" si="11"/>
        <v>1.3754825607259047E-2</v>
      </c>
      <c r="P44">
        <f t="shared" si="12"/>
        <v>1.3754825607259047</v>
      </c>
      <c r="Q44">
        <f t="shared" si="13"/>
        <v>1.9093629612408256</v>
      </c>
    </row>
    <row r="45" spans="1:17" x14ac:dyDescent="0.25">
      <c r="A45" t="s">
        <v>6</v>
      </c>
      <c r="B45">
        <v>0.28038999438285828</v>
      </c>
      <c r="C45">
        <v>0.29023411870002752</v>
      </c>
      <c r="D45">
        <v>0.29023411870002752</v>
      </c>
      <c r="E45">
        <f t="shared" si="4"/>
        <v>0.28695274392763775</v>
      </c>
      <c r="G45">
        <f t="shared" si="5"/>
        <v>5.0748685995737897E-3</v>
      </c>
      <c r="H45">
        <f t="shared" si="6"/>
        <v>0.50748685995737897</v>
      </c>
      <c r="I45">
        <f t="shared" si="7"/>
        <v>1.8003784772633882</v>
      </c>
      <c r="K45">
        <f t="shared" si="8"/>
        <v>3.2813747723897668E-3</v>
      </c>
      <c r="L45">
        <f t="shared" si="9"/>
        <v>0.32813747723897668</v>
      </c>
      <c r="M45">
        <f t="shared" si="10"/>
        <v>1.1567521890423604</v>
      </c>
      <c r="O45">
        <f t="shared" si="11"/>
        <v>7.6062480608622418E-3</v>
      </c>
      <c r="P45">
        <f t="shared" si="12"/>
        <v>0.76062480608622418</v>
      </c>
      <c r="Q45">
        <f t="shared" si="13"/>
        <v>2.722872193997298</v>
      </c>
    </row>
    <row r="46" spans="1:17" x14ac:dyDescent="0.25">
      <c r="A46" t="s">
        <v>7</v>
      </c>
      <c r="B46">
        <v>0.21642366051673889</v>
      </c>
      <c r="C46">
        <v>0.22580386698245999</v>
      </c>
      <c r="D46">
        <v>0.22580386698245999</v>
      </c>
      <c r="E46">
        <f t="shared" si="4"/>
        <v>0.22267713149388632</v>
      </c>
      <c r="G46">
        <f t="shared" si="5"/>
        <v>1.872281233469647E-2</v>
      </c>
      <c r="H46">
        <f t="shared" si="6"/>
        <v>1.872281233469647</v>
      </c>
      <c r="I46">
        <f t="shared" si="7"/>
        <v>9.1799048001935137</v>
      </c>
      <c r="K46">
        <f t="shared" si="8"/>
        <v>3.1267354885737286E-3</v>
      </c>
      <c r="L46">
        <f t="shared" si="9"/>
        <v>0.31267354885737286</v>
      </c>
      <c r="M46">
        <f t="shared" si="10"/>
        <v>1.4241538824179889</v>
      </c>
      <c r="O46">
        <f t="shared" si="11"/>
        <v>1.5220691760381155E-2</v>
      </c>
      <c r="P46">
        <f t="shared" si="12"/>
        <v>1.5220691760381155</v>
      </c>
      <c r="Q46">
        <f t="shared" si="13"/>
        <v>7.3368133473867498</v>
      </c>
    </row>
    <row r="47" spans="1:17" x14ac:dyDescent="0.25">
      <c r="A47" t="s">
        <v>8</v>
      </c>
      <c r="B47">
        <v>0.34688624739646912</v>
      </c>
      <c r="C47">
        <v>0.35668942332267761</v>
      </c>
      <c r="D47">
        <v>0.35668942332267761</v>
      </c>
      <c r="E47">
        <f t="shared" si="4"/>
        <v>0.35342169801394147</v>
      </c>
      <c r="G47">
        <f t="shared" si="5"/>
        <v>-8.8431934515634802E-3</v>
      </c>
      <c r="H47">
        <f t="shared" si="6"/>
        <v>-0.88431934515634802</v>
      </c>
      <c r="I47">
        <f t="shared" si="7"/>
        <v>-2.441084869082748</v>
      </c>
      <c r="K47">
        <f t="shared" si="8"/>
        <v>3.2677253087362024E-3</v>
      </c>
      <c r="L47">
        <f t="shared" si="9"/>
        <v>0.32677253087362024</v>
      </c>
      <c r="M47">
        <f t="shared" si="10"/>
        <v>0.93322525616103791</v>
      </c>
      <c r="O47">
        <f t="shared" si="11"/>
        <v>-6.4839919408166136E-4</v>
      </c>
      <c r="P47">
        <f t="shared" si="12"/>
        <v>-6.4839919408166136E-2</v>
      </c>
      <c r="Q47">
        <f t="shared" si="13"/>
        <v>-0.18312735223746221</v>
      </c>
    </row>
    <row r="48" spans="1:17" x14ac:dyDescent="0.25">
      <c r="A48" t="s">
        <v>9</v>
      </c>
      <c r="B48">
        <v>0.34497126436781611</v>
      </c>
      <c r="C48">
        <v>0.35890804597701148</v>
      </c>
      <c r="D48">
        <v>0.35890804597701148</v>
      </c>
      <c r="E48">
        <f t="shared" si="4"/>
        <v>0.35426245210727969</v>
      </c>
      <c r="G48">
        <f t="shared" si="5"/>
        <v>-3.0268199233716431E-2</v>
      </c>
      <c r="H48">
        <f t="shared" si="6"/>
        <v>-3.0268199233716429</v>
      </c>
      <c r="I48">
        <f t="shared" si="7"/>
        <v>-7.8714659359820542</v>
      </c>
      <c r="K48">
        <f t="shared" si="8"/>
        <v>4.64559386973179E-3</v>
      </c>
      <c r="L48">
        <f t="shared" si="9"/>
        <v>0.464559386973179</v>
      </c>
      <c r="M48">
        <f t="shared" si="10"/>
        <v>1.3287671232876681</v>
      </c>
      <c r="O48">
        <f t="shared" si="11"/>
        <v>1.6331417624521116E-2</v>
      </c>
      <c r="P48">
        <f t="shared" si="12"/>
        <v>1.6331417624521116</v>
      </c>
      <c r="Q48">
        <f t="shared" si="13"/>
        <v>4.8327664399093102</v>
      </c>
    </row>
    <row r="49" spans="1:17" x14ac:dyDescent="0.25">
      <c r="A49" t="s">
        <v>10</v>
      </c>
      <c r="B49">
        <v>0.49137931034482762</v>
      </c>
      <c r="C49">
        <v>0.50862068965517238</v>
      </c>
      <c r="D49">
        <v>0.50862068965517238</v>
      </c>
      <c r="E49">
        <f t="shared" si="4"/>
        <v>0.50287356321839083</v>
      </c>
      <c r="G49">
        <f t="shared" si="5"/>
        <v>-4.31034482758621E-2</v>
      </c>
      <c r="H49">
        <f t="shared" si="6"/>
        <v>-4.31034482758621</v>
      </c>
      <c r="I49">
        <f t="shared" si="7"/>
        <v>-7.8947368421052682</v>
      </c>
      <c r="K49">
        <f t="shared" si="8"/>
        <v>5.7471264367816022E-3</v>
      </c>
      <c r="L49">
        <f t="shared" si="9"/>
        <v>0.57471264367816022</v>
      </c>
      <c r="M49">
        <f t="shared" si="10"/>
        <v>1.1560693641618482</v>
      </c>
      <c r="O49">
        <f t="shared" si="11"/>
        <v>3.7356321839080553E-2</v>
      </c>
      <c r="P49">
        <f t="shared" si="12"/>
        <v>3.7356321839080553</v>
      </c>
      <c r="Q49">
        <f t="shared" si="13"/>
        <v>8.0246913580247128</v>
      </c>
    </row>
    <row r="50" spans="1:17" x14ac:dyDescent="0.25">
      <c r="A50" t="s">
        <v>11</v>
      </c>
      <c r="B50">
        <v>12.7555354463643</v>
      </c>
      <c r="C50">
        <v>13.13067487807109</v>
      </c>
      <c r="D50">
        <v>13.155256637211499</v>
      </c>
      <c r="E50">
        <f t="shared" si="4"/>
        <v>13.013822320548963</v>
      </c>
      <c r="G50">
        <f t="shared" si="5"/>
        <v>-3.3445191808130605</v>
      </c>
      <c r="H50">
        <f t="shared" si="6"/>
        <v>-334.45191808130608</v>
      </c>
      <c r="I50">
        <f t="shared" si="7"/>
        <v>-20.445343927650551</v>
      </c>
      <c r="K50">
        <f t="shared" si="8"/>
        <v>0.10931270629509449</v>
      </c>
      <c r="L50">
        <f t="shared" si="9"/>
        <v>10.931270629509449</v>
      </c>
      <c r="M50">
        <f t="shared" si="10"/>
        <v>0.84708919255909976</v>
      </c>
      <c r="O50">
        <f t="shared" si="11"/>
        <v>-0.40703684708168097</v>
      </c>
      <c r="P50">
        <f t="shared" si="12"/>
        <v>-40.703684708168097</v>
      </c>
      <c r="Q50">
        <f t="shared" si="13"/>
        <v>-3.0328672851541469</v>
      </c>
    </row>
    <row r="51" spans="1:17" x14ac:dyDescent="0.25">
      <c r="A51" t="s">
        <v>12</v>
      </c>
      <c r="B51">
        <v>2993.5431034482758</v>
      </c>
      <c r="C51">
        <v>2966.1379310344828</v>
      </c>
      <c r="D51">
        <v>2966.1379310344828</v>
      </c>
      <c r="E51">
        <f t="shared" si="4"/>
        <v>2975.2729885057474</v>
      </c>
      <c r="G51">
        <f t="shared" si="5"/>
        <v>-175.59482758620607</v>
      </c>
      <c r="H51">
        <f t="shared" si="6"/>
        <v>-17559.482758620608</v>
      </c>
      <c r="I51">
        <f t="shared" si="7"/>
        <v>-5.5729036517944994</v>
      </c>
      <c r="K51">
        <f t="shared" si="8"/>
        <v>-16.26724137931069</v>
      </c>
      <c r="L51">
        <f t="shared" si="9"/>
        <v>-1626.724137931069</v>
      </c>
      <c r="M51">
        <f t="shared" si="10"/>
        <v>-0.54377478252852096</v>
      </c>
      <c r="O51">
        <f t="shared" si="11"/>
        <v>8.5229885057474348</v>
      </c>
      <c r="P51">
        <f t="shared" si="12"/>
        <v>852.29885057474348</v>
      </c>
      <c r="Q51">
        <f t="shared" si="13"/>
        <v>0.28728367761851975</v>
      </c>
    </row>
    <row r="52" spans="1:17" x14ac:dyDescent="0.25">
      <c r="A52" t="s">
        <v>13</v>
      </c>
      <c r="B52">
        <v>248.61206896551721</v>
      </c>
      <c r="C52">
        <v>260.73275862068971</v>
      </c>
      <c r="D52">
        <v>260.73275862068971</v>
      </c>
      <c r="E52">
        <f t="shared" si="4"/>
        <v>256.69252873563221</v>
      </c>
      <c r="G52">
        <f t="shared" si="5"/>
        <v>-4.0316091954022681</v>
      </c>
      <c r="H52">
        <f t="shared" si="6"/>
        <v>-403.16091954022681</v>
      </c>
      <c r="I52">
        <f t="shared" si="7"/>
        <v>-1.5463122161971403</v>
      </c>
      <c r="K52">
        <f t="shared" si="8"/>
        <v>3.4482758620689538</v>
      </c>
      <c r="L52">
        <f t="shared" si="9"/>
        <v>344.82758620689538</v>
      </c>
      <c r="M52">
        <f t="shared" si="10"/>
        <v>1.3616403227087517</v>
      </c>
      <c r="O52">
        <f t="shared" si="11"/>
        <v>-9.8936781609194782</v>
      </c>
      <c r="P52">
        <f t="shared" si="12"/>
        <v>-989.36781609194782</v>
      </c>
      <c r="Q52">
        <f t="shared" si="13"/>
        <v>-3.7112490837752548</v>
      </c>
    </row>
    <row r="53" spans="1:17" x14ac:dyDescent="0.25">
      <c r="A53" t="s">
        <v>14</v>
      </c>
      <c r="B53">
        <v>3242.155172413793</v>
      </c>
      <c r="C53">
        <v>3226.870689655173</v>
      </c>
      <c r="D53">
        <v>3226.870689655173</v>
      </c>
      <c r="E53">
        <f t="shared" si="4"/>
        <v>3231.9655172413791</v>
      </c>
      <c r="G53">
        <f t="shared" si="5"/>
        <v>-179.6264367816093</v>
      </c>
      <c r="H53">
        <f t="shared" si="6"/>
        <v>-17962.64367816093</v>
      </c>
      <c r="I53">
        <f t="shared" si="7"/>
        <v>-5.2651794001856445</v>
      </c>
      <c r="K53">
        <f t="shared" si="8"/>
        <v>-12.81896551724185</v>
      </c>
      <c r="L53">
        <f t="shared" si="9"/>
        <v>-1281.896551724185</v>
      </c>
      <c r="M53">
        <f t="shared" si="10"/>
        <v>-0.39506369638280386</v>
      </c>
      <c r="O53">
        <f t="shared" si="11"/>
        <v>-1.3706896551730097</v>
      </c>
      <c r="P53">
        <f t="shared" si="12"/>
        <v>-137.06896551730097</v>
      </c>
      <c r="Q53">
        <f t="shared" si="13"/>
        <v>-4.2392425886593359E-2</v>
      </c>
    </row>
    <row r="55" spans="1:17" x14ac:dyDescent="0.25">
      <c r="A55" t="s">
        <v>41</v>
      </c>
    </row>
    <row r="56" spans="1:17" x14ac:dyDescent="0.25">
      <c r="B56" t="s">
        <v>15</v>
      </c>
      <c r="C56" t="s">
        <v>16</v>
      </c>
      <c r="D56" t="s">
        <v>17</v>
      </c>
      <c r="E56" t="s">
        <v>18</v>
      </c>
      <c r="G56" t="s">
        <v>31</v>
      </c>
      <c r="H56" t="s">
        <v>20</v>
      </c>
      <c r="I56" t="s">
        <v>21</v>
      </c>
    </row>
    <row r="57" spans="1:17" x14ac:dyDescent="0.25">
      <c r="A57" t="s">
        <v>0</v>
      </c>
      <c r="B57">
        <v>0.74759512507732151</v>
      </c>
      <c r="C57">
        <v>0.75181218599583421</v>
      </c>
      <c r="D57">
        <v>0.74695313737657687</v>
      </c>
      <c r="E57">
        <f>AVERAGE(B57:D57)</f>
        <v>0.74878681614991083</v>
      </c>
      <c r="G57">
        <f>E57-E3</f>
        <v>-6.298221243911728E-2</v>
      </c>
      <c r="H57">
        <f>G57*100</f>
        <v>-6.298221243911728</v>
      </c>
      <c r="I57">
        <f>G57/E3*100</f>
        <v>-7.7586370286372555</v>
      </c>
    </row>
    <row r="58" spans="1:17" x14ac:dyDescent="0.25">
      <c r="A58" t="s">
        <v>1</v>
      </c>
      <c r="B58">
        <v>0.62432266009852222</v>
      </c>
      <c r="C58">
        <v>0.61578407224958942</v>
      </c>
      <c r="D58">
        <v>0.63149068322981361</v>
      </c>
      <c r="E58">
        <f t="shared" ref="E58:E71" si="14">AVERAGE(B58:D58)</f>
        <v>0.62386580519264179</v>
      </c>
      <c r="G58">
        <f t="shared" ref="G58:G71" si="15">E58-E4</f>
        <v>-5.5177708764665212E-2</v>
      </c>
      <c r="H58">
        <f t="shared" ref="H58:H71" si="16">G58*100</f>
        <v>-5.5177708764665212</v>
      </c>
      <c r="I58">
        <f t="shared" ref="I58:I71" si="17">G58/E4*100</f>
        <v>-8.125798660987483</v>
      </c>
    </row>
    <row r="59" spans="1:17" x14ac:dyDescent="0.25">
      <c r="A59" t="s">
        <v>2</v>
      </c>
      <c r="B59">
        <v>0.56920498081770876</v>
      </c>
      <c r="C59">
        <v>0.5901460727687422</v>
      </c>
      <c r="D59">
        <v>0.55936302679513505</v>
      </c>
      <c r="E59">
        <f t="shared" si="14"/>
        <v>0.57290469346052864</v>
      </c>
      <c r="G59">
        <f t="shared" si="15"/>
        <v>-7.736669859192491E-2</v>
      </c>
      <c r="H59">
        <f t="shared" si="16"/>
        <v>-7.7366698591924905</v>
      </c>
      <c r="I59">
        <f t="shared" si="17"/>
        <v>-11.897601453407349</v>
      </c>
    </row>
    <row r="60" spans="1:17" x14ac:dyDescent="0.25">
      <c r="A60" t="s">
        <v>3</v>
      </c>
      <c r="B60">
        <v>0.78102962807348197</v>
      </c>
      <c r="C60">
        <v>0.78102962807348197</v>
      </c>
      <c r="D60">
        <v>0.78153785765438522</v>
      </c>
      <c r="E60">
        <f t="shared" si="14"/>
        <v>0.78119903793378309</v>
      </c>
      <c r="G60">
        <f t="shared" si="15"/>
        <v>-2.7712441963589907E-3</v>
      </c>
      <c r="H60">
        <f t="shared" si="16"/>
        <v>-0.27712441963589907</v>
      </c>
      <c r="I60">
        <f t="shared" si="17"/>
        <v>-0.35348842418225157</v>
      </c>
    </row>
    <row r="61" spans="1:17" x14ac:dyDescent="0.25">
      <c r="A61" t="s">
        <v>4</v>
      </c>
      <c r="B61">
        <v>0.25858937868247411</v>
      </c>
      <c r="C61">
        <v>0.2749965893765372</v>
      </c>
      <c r="D61">
        <v>0.26064316454961067</v>
      </c>
      <c r="E61">
        <f t="shared" si="14"/>
        <v>0.26474304420287403</v>
      </c>
      <c r="G61">
        <f t="shared" si="15"/>
        <v>-1.2086693188738951E-2</v>
      </c>
      <c r="H61">
        <f t="shared" si="16"/>
        <v>-1.2086693188738951</v>
      </c>
      <c r="I61">
        <f t="shared" si="17"/>
        <v>-4.3661108458303719</v>
      </c>
    </row>
    <row r="62" spans="1:17" x14ac:dyDescent="0.25">
      <c r="A62" t="s">
        <v>5</v>
      </c>
      <c r="B62">
        <v>0.72158026460148172</v>
      </c>
      <c r="C62">
        <v>0.73002370667605032</v>
      </c>
      <c r="D62">
        <v>0.7095606506108515</v>
      </c>
      <c r="E62">
        <f t="shared" si="14"/>
        <v>0.72038820729612796</v>
      </c>
      <c r="G62">
        <f t="shared" si="15"/>
        <v>-4.0531891180220603E-2</v>
      </c>
      <c r="H62">
        <f t="shared" si="16"/>
        <v>-4.0531891180220603</v>
      </c>
      <c r="I62">
        <f t="shared" si="17"/>
        <v>-5.3266947819331971</v>
      </c>
    </row>
    <row r="63" spans="1:17" x14ac:dyDescent="0.25">
      <c r="A63" t="s">
        <v>6</v>
      </c>
      <c r="B63">
        <v>0.27934649586677551</v>
      </c>
      <c r="C63">
        <v>0.27934649586677551</v>
      </c>
      <c r="D63">
        <v>0.27934649586677551</v>
      </c>
      <c r="E63">
        <f t="shared" si="14"/>
        <v>0.27934649586677551</v>
      </c>
      <c r="G63">
        <f t="shared" si="15"/>
        <v>-2.5313794612884521E-3</v>
      </c>
      <c r="H63">
        <f t="shared" si="16"/>
        <v>-0.25313794612884521</v>
      </c>
      <c r="I63">
        <f t="shared" si="17"/>
        <v>-0.89804120253932762</v>
      </c>
    </row>
    <row r="64" spans="1:17" x14ac:dyDescent="0.25">
      <c r="A64" t="s">
        <v>7</v>
      </c>
      <c r="B64">
        <v>0.20745643973350519</v>
      </c>
      <c r="C64">
        <v>0.20745643973350519</v>
      </c>
      <c r="D64">
        <v>0.20745643973350519</v>
      </c>
      <c r="E64">
        <f t="shared" si="14"/>
        <v>0.20745643973350517</v>
      </c>
      <c r="G64">
        <f t="shared" si="15"/>
        <v>3.502120574315315E-3</v>
      </c>
      <c r="H64">
        <f t="shared" si="16"/>
        <v>0.3502120574315315</v>
      </c>
      <c r="I64">
        <f t="shared" si="17"/>
        <v>1.7171102768271602</v>
      </c>
    </row>
    <row r="65" spans="1:9" x14ac:dyDescent="0.25">
      <c r="A65" t="s">
        <v>8</v>
      </c>
      <c r="B65">
        <v>0.35407009720802313</v>
      </c>
      <c r="C65">
        <v>0.35407009720802313</v>
      </c>
      <c r="D65">
        <v>0.35407009720802313</v>
      </c>
      <c r="E65">
        <f t="shared" si="14"/>
        <v>0.35407009720802313</v>
      </c>
      <c r="G65">
        <f t="shared" si="15"/>
        <v>-8.1947942574818189E-3</v>
      </c>
      <c r="H65">
        <f t="shared" si="16"/>
        <v>-0.81947942574818189</v>
      </c>
      <c r="I65">
        <f t="shared" si="17"/>
        <v>-2.2621000407548828</v>
      </c>
    </row>
    <row r="66" spans="1:9" x14ac:dyDescent="0.25">
      <c r="A66" t="s">
        <v>9</v>
      </c>
      <c r="B66">
        <v>0.33793103448275857</v>
      </c>
      <c r="C66">
        <v>0.33793103448275857</v>
      </c>
      <c r="D66">
        <v>0.33793103448275857</v>
      </c>
      <c r="E66">
        <f t="shared" si="14"/>
        <v>0.33793103448275857</v>
      </c>
      <c r="G66">
        <f t="shared" si="15"/>
        <v>-4.6599616858237547E-2</v>
      </c>
      <c r="H66">
        <f t="shared" si="16"/>
        <v>-4.6599616858237543</v>
      </c>
      <c r="I66">
        <f t="shared" si="17"/>
        <v>-12.118570183086314</v>
      </c>
    </row>
    <row r="67" spans="1:9" x14ac:dyDescent="0.25">
      <c r="A67" t="s">
        <v>10</v>
      </c>
      <c r="B67">
        <v>0.46551724137931028</v>
      </c>
      <c r="C67">
        <v>0.46551724137931028</v>
      </c>
      <c r="D67">
        <v>0.46551724137931028</v>
      </c>
      <c r="E67">
        <f t="shared" si="14"/>
        <v>0.46551724137931028</v>
      </c>
      <c r="G67">
        <f t="shared" si="15"/>
        <v>-8.0459770114942653E-2</v>
      </c>
      <c r="H67">
        <f t="shared" si="16"/>
        <v>-8.0459770114942657</v>
      </c>
      <c r="I67">
        <f t="shared" si="17"/>
        <v>-14.736842105263179</v>
      </c>
    </row>
    <row r="68" spans="1:9" x14ac:dyDescent="0.25">
      <c r="A68" t="s">
        <v>11</v>
      </c>
      <c r="B68">
        <v>13.50204211473465</v>
      </c>
      <c r="C68">
        <v>13.477828052537189</v>
      </c>
      <c r="D68">
        <v>13.28270733562009</v>
      </c>
      <c r="E68">
        <f t="shared" si="14"/>
        <v>13.420859167630644</v>
      </c>
      <c r="G68">
        <f t="shared" si="15"/>
        <v>-2.9374823337313796</v>
      </c>
      <c r="H68">
        <f t="shared" si="16"/>
        <v>-293.74823337313796</v>
      </c>
      <c r="I68">
        <f t="shared" si="17"/>
        <v>-17.95709139271117</v>
      </c>
    </row>
    <row r="69" spans="1:9" x14ac:dyDescent="0.25">
      <c r="A69" t="s">
        <v>12</v>
      </c>
      <c r="B69">
        <v>2966.75</v>
      </c>
      <c r="C69">
        <v>2966.75</v>
      </c>
      <c r="D69">
        <v>2966.75</v>
      </c>
      <c r="E69">
        <f t="shared" si="14"/>
        <v>2966.75</v>
      </c>
      <c r="G69">
        <f t="shared" si="15"/>
        <v>-184.1178160919535</v>
      </c>
      <c r="H69">
        <f t="shared" si="16"/>
        <v>-18411.78160919535</v>
      </c>
      <c r="I69">
        <f t="shared" si="17"/>
        <v>-5.8434001944364748</v>
      </c>
    </row>
    <row r="70" spans="1:9" x14ac:dyDescent="0.25">
      <c r="A70" t="s">
        <v>13</v>
      </c>
      <c r="B70">
        <v>266.58620689655169</v>
      </c>
      <c r="C70">
        <v>266.58620689655169</v>
      </c>
      <c r="D70">
        <v>266.58620689655169</v>
      </c>
      <c r="E70">
        <f t="shared" si="14"/>
        <v>266.58620689655169</v>
      </c>
      <c r="G70">
        <f t="shared" si="15"/>
        <v>5.86206896551721</v>
      </c>
      <c r="H70">
        <f t="shared" si="16"/>
        <v>586.206896551721</v>
      </c>
      <c r="I70">
        <f t="shared" si="17"/>
        <v>2.2483798439359752</v>
      </c>
    </row>
    <row r="71" spans="1:9" x14ac:dyDescent="0.25">
      <c r="A71" t="s">
        <v>14</v>
      </c>
      <c r="B71">
        <v>3233.3362068965521</v>
      </c>
      <c r="C71">
        <v>3233.3362068965521</v>
      </c>
      <c r="D71">
        <v>3233.3362068965521</v>
      </c>
      <c r="E71">
        <f t="shared" si="14"/>
        <v>3233.3362068965521</v>
      </c>
      <c r="G71">
        <f t="shared" si="15"/>
        <v>-178.25574712643629</v>
      </c>
      <c r="H71">
        <f t="shared" si="16"/>
        <v>-17825.574712643629</v>
      </c>
      <c r="I71">
        <f t="shared" si="17"/>
        <v>-5.2250019793907381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C0D7-26DA-49F7-8B1A-69A3552AD304}">
  <dimension ref="A1:J35"/>
  <sheetViews>
    <sheetView workbookViewId="0">
      <selection activeCell="I13" sqref="I13"/>
    </sheetView>
  </sheetViews>
  <sheetFormatPr baseColWidth="10" defaultRowHeight="15" x14ac:dyDescent="0.25"/>
  <sheetData>
    <row r="1" spans="1:10" x14ac:dyDescent="0.25">
      <c r="A1" t="s">
        <v>45</v>
      </c>
      <c r="B1">
        <v>400</v>
      </c>
    </row>
    <row r="2" spans="1:10" x14ac:dyDescent="0.25">
      <c r="B2" t="s">
        <v>15</v>
      </c>
      <c r="C2" t="s">
        <v>16</v>
      </c>
      <c r="D2" t="s">
        <v>17</v>
      </c>
      <c r="E2" t="s">
        <v>18</v>
      </c>
      <c r="G2" t="s">
        <v>64</v>
      </c>
      <c r="H2" t="s">
        <v>20</v>
      </c>
      <c r="I2" t="s">
        <v>21</v>
      </c>
    </row>
    <row r="3" spans="1:10" x14ac:dyDescent="0.25">
      <c r="A3" t="s">
        <v>0</v>
      </c>
      <c r="B3">
        <v>0.76599927097444975</v>
      </c>
      <c r="C3">
        <v>0.75634091370653223</v>
      </c>
      <c r="D3">
        <v>0.77064425699336192</v>
      </c>
      <c r="E3">
        <f>AVERAGE(B3:D3)</f>
        <v>0.76432814722478126</v>
      </c>
      <c r="G3">
        <f>E3-E21</f>
        <v>-1.9950074237007343E-3</v>
      </c>
      <c r="H3">
        <f>G3*100</f>
        <v>-0.19950074237007343</v>
      </c>
      <c r="I3">
        <f>G3/E21*100</f>
        <v>-0.26033500509531893</v>
      </c>
    </row>
    <row r="4" spans="1:10" x14ac:dyDescent="0.25">
      <c r="A4" t="s">
        <v>1</v>
      </c>
      <c r="B4">
        <v>0.61609195402298855</v>
      </c>
      <c r="C4">
        <v>0.64848111658456487</v>
      </c>
      <c r="D4">
        <v>0.64632594417077172</v>
      </c>
      <c r="E4">
        <f t="shared" ref="E4:E17" si="0">AVERAGE(B4:D4)</f>
        <v>0.63696633825944182</v>
      </c>
      <c r="G4">
        <f t="shared" ref="G4:G17" si="1">E4-E22</f>
        <v>-4.3787629994525012E-3</v>
      </c>
      <c r="H4">
        <f t="shared" ref="H4:H17" si="2">G4*100</f>
        <v>-0.43787629994525012</v>
      </c>
      <c r="I4">
        <f t="shared" ref="I4:I17" si="3">G4/E22*100</f>
        <v>-0.68274677562164909</v>
      </c>
    </row>
    <row r="5" spans="1:10" x14ac:dyDescent="0.25">
      <c r="A5" t="s">
        <v>2</v>
      </c>
      <c r="B5">
        <v>0.57168342909051018</v>
      </c>
      <c r="C5">
        <v>0.57471264365252395</v>
      </c>
      <c r="D5">
        <v>0.58050766280853472</v>
      </c>
      <c r="E5">
        <f t="shared" si="0"/>
        <v>0.57563457851718958</v>
      </c>
      <c r="G5">
        <f t="shared" si="1"/>
        <v>3.8599103221568232E-3</v>
      </c>
      <c r="H5">
        <f t="shared" si="2"/>
        <v>0.38599103221568232</v>
      </c>
      <c r="I5">
        <f t="shared" si="3"/>
        <v>0.67507543388407076</v>
      </c>
    </row>
    <row r="6" spans="1:10" x14ac:dyDescent="0.25">
      <c r="A6" t="s">
        <v>3</v>
      </c>
      <c r="B6">
        <v>0.77628548031145772</v>
      </c>
      <c r="C6">
        <v>0.78636779492556519</v>
      </c>
      <c r="D6">
        <v>0.78636779492556519</v>
      </c>
      <c r="E6">
        <f t="shared" si="0"/>
        <v>0.78300702338752937</v>
      </c>
      <c r="G6">
        <f t="shared" si="1"/>
        <v>-2.1482882825062388E-3</v>
      </c>
      <c r="H6">
        <f t="shared" si="2"/>
        <v>-0.21482882825062388</v>
      </c>
      <c r="I6">
        <f t="shared" si="3"/>
        <v>-0.27361316297240623</v>
      </c>
    </row>
    <row r="7" spans="1:10" x14ac:dyDescent="0.25">
      <c r="A7" t="s">
        <v>4</v>
      </c>
      <c r="B7">
        <v>0.27484019302411228</v>
      </c>
      <c r="C7">
        <v>0.25668299125197008</v>
      </c>
      <c r="D7">
        <v>0.2806480796718912</v>
      </c>
      <c r="E7">
        <f t="shared" si="0"/>
        <v>0.27072375464932452</v>
      </c>
      <c r="G7">
        <f t="shared" si="1"/>
        <v>2.3707131684031907E-2</v>
      </c>
      <c r="H7">
        <f t="shared" si="2"/>
        <v>2.3707131684031908</v>
      </c>
      <c r="I7">
        <f t="shared" si="3"/>
        <v>9.5973831232252369</v>
      </c>
      <c r="J7" t="s">
        <v>22</v>
      </c>
    </row>
    <row r="8" spans="1:10" x14ac:dyDescent="0.25">
      <c r="A8" t="s">
        <v>5</v>
      </c>
      <c r="B8">
        <v>0.71698046567519536</v>
      </c>
      <c r="C8">
        <v>0.74661830697860299</v>
      </c>
      <c r="D8">
        <v>0.73883032605636234</v>
      </c>
      <c r="E8">
        <f t="shared" si="0"/>
        <v>0.73414303290338701</v>
      </c>
      <c r="G8">
        <f t="shared" si="1"/>
        <v>1.1275128543050239E-2</v>
      </c>
      <c r="H8">
        <f t="shared" si="2"/>
        <v>1.1275128543050239</v>
      </c>
      <c r="I8">
        <f t="shared" si="3"/>
        <v>1.5597771702186114</v>
      </c>
    </row>
    <row r="9" spans="1:10" x14ac:dyDescent="0.25">
      <c r="A9" t="s">
        <v>6</v>
      </c>
      <c r="B9">
        <v>0.28038999438285828</v>
      </c>
      <c r="C9">
        <v>0.29023411870002752</v>
      </c>
      <c r="D9">
        <v>0.29023411870002752</v>
      </c>
      <c r="E9">
        <f t="shared" si="0"/>
        <v>0.28695274392763775</v>
      </c>
      <c r="G9">
        <f t="shared" si="1"/>
        <v>-2.9604037602742328E-3</v>
      </c>
      <c r="H9">
        <f t="shared" si="2"/>
        <v>-0.29604037602742328</v>
      </c>
      <c r="I9">
        <f t="shared" si="3"/>
        <v>-1.0211347032322493</v>
      </c>
    </row>
    <row r="10" spans="1:10" x14ac:dyDescent="0.25">
      <c r="A10" t="s">
        <v>7</v>
      </c>
      <c r="B10">
        <v>0.21642366051673889</v>
      </c>
      <c r="C10">
        <v>0.22580386698245999</v>
      </c>
      <c r="D10">
        <v>0.22580386698245999</v>
      </c>
      <c r="E10">
        <f t="shared" si="0"/>
        <v>0.22267713149388632</v>
      </c>
      <c r="G10">
        <f t="shared" si="1"/>
        <v>-1.7474542061487741E-3</v>
      </c>
      <c r="H10">
        <f t="shared" si="2"/>
        <v>-0.17474542061487741</v>
      </c>
      <c r="I10">
        <f t="shared" si="3"/>
        <v>-0.77863759921758913</v>
      </c>
    </row>
    <row r="11" spans="1:10" x14ac:dyDescent="0.25">
      <c r="A11" t="s">
        <v>8</v>
      </c>
      <c r="B11">
        <v>0.34688624739646912</v>
      </c>
      <c r="C11">
        <v>0.35668942332267761</v>
      </c>
      <c r="D11">
        <v>0.35668942332267761</v>
      </c>
      <c r="E11">
        <f t="shared" si="0"/>
        <v>0.35342169801394147</v>
      </c>
      <c r="G11">
        <f t="shared" si="1"/>
        <v>-3.7656327088673169E-3</v>
      </c>
      <c r="H11">
        <f t="shared" si="2"/>
        <v>-0.37656327088673169</v>
      </c>
      <c r="I11">
        <f t="shared" si="3"/>
        <v>-1.0542458774355561</v>
      </c>
    </row>
    <row r="12" spans="1:10" x14ac:dyDescent="0.25">
      <c r="A12" t="s">
        <v>9</v>
      </c>
      <c r="B12">
        <v>0.34497126436781611</v>
      </c>
      <c r="C12">
        <v>0.35890804597701148</v>
      </c>
      <c r="D12">
        <v>0.35890804597701148</v>
      </c>
      <c r="E12">
        <f t="shared" si="0"/>
        <v>0.35426245210727969</v>
      </c>
      <c r="G12">
        <f t="shared" si="1"/>
        <v>3.1130268199233702E-3</v>
      </c>
      <c r="H12">
        <f t="shared" si="2"/>
        <v>0.31130268199233702</v>
      </c>
      <c r="I12">
        <f t="shared" si="3"/>
        <v>0.88652482269503496</v>
      </c>
      <c r="J12" t="s">
        <v>22</v>
      </c>
    </row>
    <row r="13" spans="1:10" x14ac:dyDescent="0.25">
      <c r="A13" t="s">
        <v>10</v>
      </c>
      <c r="B13">
        <v>0.49137931034482762</v>
      </c>
      <c r="C13">
        <v>0.50862068965517238</v>
      </c>
      <c r="D13">
        <v>0.50862068965517238</v>
      </c>
      <c r="E13">
        <f t="shared" si="0"/>
        <v>0.50287356321839083</v>
      </c>
      <c r="G13">
        <f t="shared" si="1"/>
        <v>2.8735632183908288E-3</v>
      </c>
      <c r="H13">
        <f t="shared" si="2"/>
        <v>0.28735632183908288</v>
      </c>
      <c r="I13">
        <f t="shared" si="3"/>
        <v>0.57471264367816577</v>
      </c>
      <c r="J13" t="s">
        <v>22</v>
      </c>
    </row>
    <row r="14" spans="1:10" x14ac:dyDescent="0.25">
      <c r="A14" t="s">
        <v>11</v>
      </c>
      <c r="B14">
        <v>12.7555354463643</v>
      </c>
      <c r="C14">
        <v>13.13067487807109</v>
      </c>
      <c r="D14">
        <v>13.155256637211499</v>
      </c>
      <c r="E14">
        <f t="shared" si="0"/>
        <v>13.013822320548963</v>
      </c>
      <c r="G14">
        <f t="shared" si="1"/>
        <v>0.16546640999015416</v>
      </c>
      <c r="H14">
        <f t="shared" si="2"/>
        <v>16.546640999015416</v>
      </c>
      <c r="I14">
        <f t="shared" si="3"/>
        <v>1.2878411147855384</v>
      </c>
    </row>
    <row r="15" spans="1:10" x14ac:dyDescent="0.25">
      <c r="A15" t="s">
        <v>12</v>
      </c>
      <c r="B15">
        <v>2993.5431034482758</v>
      </c>
      <c r="C15">
        <v>2966.1379310344828</v>
      </c>
      <c r="D15">
        <v>2966.1379310344828</v>
      </c>
      <c r="E15">
        <f t="shared" si="0"/>
        <v>2975.2729885057474</v>
      </c>
      <c r="G15">
        <f t="shared" si="1"/>
        <v>-5.8908045977004804</v>
      </c>
      <c r="H15">
        <f t="shared" si="2"/>
        <v>-589.08045977004804</v>
      </c>
      <c r="I15">
        <f t="shared" si="3"/>
        <v>-0.19760083667083725</v>
      </c>
    </row>
    <row r="16" spans="1:10" x14ac:dyDescent="0.25">
      <c r="A16" t="s">
        <v>13</v>
      </c>
      <c r="B16">
        <v>248.61206896551721</v>
      </c>
      <c r="C16">
        <v>260.73275862068971</v>
      </c>
      <c r="D16">
        <v>260.73275862068971</v>
      </c>
      <c r="E16">
        <f t="shared" si="0"/>
        <v>256.69252873563221</v>
      </c>
      <c r="G16">
        <f t="shared" si="1"/>
        <v>12.821839080459796</v>
      </c>
      <c r="H16">
        <f t="shared" si="2"/>
        <v>1282.1839080459795</v>
      </c>
      <c r="I16">
        <f t="shared" si="3"/>
        <v>5.2576384224728212</v>
      </c>
    </row>
    <row r="17" spans="1:9" x14ac:dyDescent="0.25">
      <c r="A17" t="s">
        <v>14</v>
      </c>
      <c r="B17">
        <v>3242.155172413793</v>
      </c>
      <c r="C17">
        <v>3226.870689655173</v>
      </c>
      <c r="D17">
        <v>3226.870689655173</v>
      </c>
      <c r="E17">
        <f t="shared" si="0"/>
        <v>3231.9655172413791</v>
      </c>
      <c r="G17">
        <f t="shared" si="1"/>
        <v>6.9310344827590598</v>
      </c>
      <c r="H17">
        <f t="shared" si="2"/>
        <v>693.10344827590598</v>
      </c>
      <c r="I17">
        <f t="shared" si="3"/>
        <v>0.21491349998932144</v>
      </c>
    </row>
    <row r="19" spans="1:9" x14ac:dyDescent="0.25">
      <c r="A19" t="s">
        <v>45</v>
      </c>
      <c r="B19">
        <v>500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</row>
    <row r="21" spans="1:9" x14ac:dyDescent="0.25">
      <c r="A21" t="s">
        <v>0</v>
      </c>
      <c r="B21">
        <v>0.76107182983884436</v>
      </c>
      <c r="C21">
        <v>0.76896402247221907</v>
      </c>
      <c r="D21">
        <v>0.76893361163438301</v>
      </c>
      <c r="E21">
        <f>AVERAGE(B21:D21)</f>
        <v>0.766323154648482</v>
      </c>
    </row>
    <row r="22" spans="1:9" x14ac:dyDescent="0.25">
      <c r="A22" t="s">
        <v>1</v>
      </c>
      <c r="B22">
        <v>0.64552545155993435</v>
      </c>
      <c r="C22">
        <v>0.63419540229885052</v>
      </c>
      <c r="D22">
        <v>0.64431444991789821</v>
      </c>
      <c r="E22">
        <f t="shared" ref="E22:E35" si="4">AVERAGE(B22:D22)</f>
        <v>0.64134510125889432</v>
      </c>
    </row>
    <row r="23" spans="1:9" x14ac:dyDescent="0.25">
      <c r="A23" t="s">
        <v>2</v>
      </c>
      <c r="B23">
        <v>0.55952898548173224</v>
      </c>
      <c r="C23">
        <v>0.57995689652470117</v>
      </c>
      <c r="D23">
        <v>0.57583812257866518</v>
      </c>
      <c r="E23">
        <f t="shared" si="4"/>
        <v>0.57177466819503275</v>
      </c>
    </row>
    <row r="24" spans="1:9" x14ac:dyDescent="0.25">
      <c r="A24" t="s">
        <v>3</v>
      </c>
      <c r="B24">
        <v>0.78511276335892621</v>
      </c>
      <c r="C24">
        <v>0.78518098923546775</v>
      </c>
      <c r="D24">
        <v>0.78517218241571296</v>
      </c>
      <c r="E24">
        <f t="shared" si="4"/>
        <v>0.7851553116700356</v>
      </c>
    </row>
    <row r="25" spans="1:9" x14ac:dyDescent="0.25">
      <c r="A25" t="s">
        <v>4</v>
      </c>
      <c r="B25">
        <v>0.24685006693176789</v>
      </c>
      <c r="C25">
        <v>0.2409772532865084</v>
      </c>
      <c r="D25">
        <v>0.25322254867760158</v>
      </c>
      <c r="E25">
        <f t="shared" si="4"/>
        <v>0.24701662296529261</v>
      </c>
    </row>
    <row r="26" spans="1:9" x14ac:dyDescent="0.25">
      <c r="A26" t="s">
        <v>5</v>
      </c>
      <c r="B26">
        <v>0.72557694043827725</v>
      </c>
      <c r="C26">
        <v>0.72506135329461796</v>
      </c>
      <c r="D26">
        <v>0.71796541934811497</v>
      </c>
      <c r="E26">
        <f t="shared" si="4"/>
        <v>0.72286790436033677</v>
      </c>
    </row>
    <row r="27" spans="1:9" x14ac:dyDescent="0.25">
      <c r="A27" t="s">
        <v>6</v>
      </c>
      <c r="B27">
        <v>0.28991314768791199</v>
      </c>
      <c r="C27">
        <v>0.28991314768791199</v>
      </c>
      <c r="D27">
        <v>0.28991314768791199</v>
      </c>
      <c r="E27">
        <f t="shared" si="4"/>
        <v>0.28991314768791199</v>
      </c>
    </row>
    <row r="28" spans="1:9" x14ac:dyDescent="0.25">
      <c r="A28" t="s">
        <v>7</v>
      </c>
      <c r="B28">
        <v>0.2244245857000351</v>
      </c>
      <c r="C28">
        <v>0.2244245857000351</v>
      </c>
      <c r="D28">
        <v>0.2244245857000351</v>
      </c>
      <c r="E28">
        <f t="shared" si="4"/>
        <v>0.2244245857000351</v>
      </c>
    </row>
    <row r="29" spans="1:9" x14ac:dyDescent="0.25">
      <c r="A29" t="s">
        <v>8</v>
      </c>
      <c r="B29">
        <v>0.35718733072280878</v>
      </c>
      <c r="C29">
        <v>0.35718733072280878</v>
      </c>
      <c r="D29">
        <v>0.35718733072280878</v>
      </c>
      <c r="E29">
        <f t="shared" si="4"/>
        <v>0.35718733072280878</v>
      </c>
    </row>
    <row r="30" spans="1:9" x14ac:dyDescent="0.25">
      <c r="A30" t="s">
        <v>9</v>
      </c>
      <c r="B30">
        <v>0.35114942528735632</v>
      </c>
      <c r="C30">
        <v>0.35114942528735632</v>
      </c>
      <c r="D30">
        <v>0.35114942528735632</v>
      </c>
      <c r="E30">
        <f t="shared" si="4"/>
        <v>0.35114942528735632</v>
      </c>
    </row>
    <row r="31" spans="1:9" x14ac:dyDescent="0.25">
      <c r="A31" t="s">
        <v>10</v>
      </c>
      <c r="B31">
        <v>0.5</v>
      </c>
      <c r="C31">
        <v>0.5</v>
      </c>
      <c r="D31">
        <v>0.5</v>
      </c>
      <c r="E31">
        <f t="shared" si="4"/>
        <v>0.5</v>
      </c>
    </row>
    <row r="32" spans="1:9" x14ac:dyDescent="0.25">
      <c r="A32" t="s">
        <v>11</v>
      </c>
      <c r="B32">
        <v>13.08439662538726</v>
      </c>
      <c r="C32">
        <v>12.729620183336319</v>
      </c>
      <c r="D32">
        <v>12.73105092295285</v>
      </c>
      <c r="E32">
        <f t="shared" si="4"/>
        <v>12.848355910558809</v>
      </c>
    </row>
    <row r="33" spans="1:5" x14ac:dyDescent="0.25">
      <c r="A33" t="s">
        <v>12</v>
      </c>
      <c r="B33">
        <v>2981.1637931034479</v>
      </c>
      <c r="C33">
        <v>2981.1637931034479</v>
      </c>
      <c r="D33">
        <v>2981.1637931034479</v>
      </c>
      <c r="E33">
        <f t="shared" si="4"/>
        <v>2981.1637931034479</v>
      </c>
    </row>
    <row r="34" spans="1:5" x14ac:dyDescent="0.25">
      <c r="A34" t="s">
        <v>13</v>
      </c>
      <c r="B34">
        <v>243.87068965517241</v>
      </c>
      <c r="C34">
        <v>243.87068965517241</v>
      </c>
      <c r="D34">
        <v>243.87068965517241</v>
      </c>
      <c r="E34">
        <f t="shared" si="4"/>
        <v>243.87068965517241</v>
      </c>
    </row>
    <row r="35" spans="1:5" x14ac:dyDescent="0.25">
      <c r="A35" t="s">
        <v>14</v>
      </c>
      <c r="B35">
        <v>3225.03448275862</v>
      </c>
      <c r="C35">
        <v>3225.03448275862</v>
      </c>
      <c r="D35">
        <v>3225.03448275862</v>
      </c>
      <c r="E35">
        <f t="shared" si="4"/>
        <v>3225.03448275862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ED00-1548-461F-8757-FEADD3932EF4}">
  <dimension ref="A1:I35"/>
  <sheetViews>
    <sheetView topLeftCell="A4" workbookViewId="0">
      <selection activeCell="I25" sqref="I25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20" spans="1:9" x14ac:dyDescent="0.25">
      <c r="A20" t="s">
        <v>32</v>
      </c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0.78010525375598061</v>
      </c>
      <c r="C21">
        <v>0.77389086260835749</v>
      </c>
      <c r="D21">
        <v>0.76431684118725984</v>
      </c>
      <c r="E21">
        <f>AVERAGE(B21:D21)</f>
        <v>0.77277098585053261</v>
      </c>
      <c r="G21">
        <f>E21-E3</f>
        <v>-3.8998042738495498E-2</v>
      </c>
      <c r="H21">
        <f>G21*100</f>
        <v>-3.8998042738495498</v>
      </c>
      <c r="I21">
        <f>G21/E3*100</f>
        <v>-4.8040811320776466</v>
      </c>
    </row>
    <row r="22" spans="1:9" x14ac:dyDescent="0.25">
      <c r="A22" t="s">
        <v>1</v>
      </c>
      <c r="B22">
        <v>0.66709770114942524</v>
      </c>
      <c r="C22">
        <v>0.68545258620689653</v>
      </c>
      <c r="D22">
        <v>0.67614942528735633</v>
      </c>
      <c r="E22">
        <f t="shared" ref="E22:E35" si="0">AVERAGE(B22:D22)</f>
        <v>0.67623323754789266</v>
      </c>
      <c r="G22">
        <f t="shared" ref="G22:G35" si="1">E22-E4</f>
        <v>-2.8102764094143362E-3</v>
      </c>
      <c r="H22">
        <f t="shared" ref="H22:H35" si="2">G22*100</f>
        <v>-0.28102764094143362</v>
      </c>
      <c r="I22">
        <f t="shared" ref="I22:I35" si="3">G22/E4*100</f>
        <v>-0.41385807413676656</v>
      </c>
    </row>
    <row r="23" spans="1:9" x14ac:dyDescent="0.25">
      <c r="A23" t="s">
        <v>2</v>
      </c>
      <c r="B23">
        <v>0.64701867813004521</v>
      </c>
      <c r="C23">
        <v>0.62733477008614202</v>
      </c>
      <c r="D23">
        <v>0.6258860152955914</v>
      </c>
      <c r="E23">
        <f t="shared" si="0"/>
        <v>0.63341315450392621</v>
      </c>
      <c r="G23">
        <f t="shared" si="1"/>
        <v>-1.6858237548527333E-2</v>
      </c>
      <c r="H23">
        <f t="shared" si="2"/>
        <v>-1.6858237548527333</v>
      </c>
      <c r="I23">
        <f t="shared" si="3"/>
        <v>-2.59249257380332</v>
      </c>
    </row>
    <row r="24" spans="1:9" x14ac:dyDescent="0.25">
      <c r="A24" t="s">
        <v>3</v>
      </c>
      <c r="B24">
        <v>0.77736996807890157</v>
      </c>
      <c r="C24">
        <v>0.77713869036916794</v>
      </c>
      <c r="D24">
        <v>0.77828712535580014</v>
      </c>
      <c r="E24">
        <f t="shared" si="0"/>
        <v>0.77759859460128988</v>
      </c>
      <c r="G24">
        <f t="shared" si="1"/>
        <v>-6.371687528852199E-3</v>
      </c>
      <c r="H24">
        <f t="shared" si="2"/>
        <v>-0.6371687528852199</v>
      </c>
      <c r="I24">
        <f t="shared" si="3"/>
        <v>-0.81274605352891094</v>
      </c>
    </row>
    <row r="25" spans="1:9" x14ac:dyDescent="0.25">
      <c r="A25" t="s">
        <v>4</v>
      </c>
      <c r="B25">
        <v>0.27990844108872298</v>
      </c>
      <c r="C25">
        <v>0.29509227238341967</v>
      </c>
      <c r="D25">
        <v>0.28152644851893482</v>
      </c>
      <c r="E25">
        <f t="shared" si="0"/>
        <v>0.28550905399702581</v>
      </c>
      <c r="G25">
        <f t="shared" si="1"/>
        <v>8.6793166054128235E-3</v>
      </c>
      <c r="H25">
        <f t="shared" si="2"/>
        <v>0.86793166054128235</v>
      </c>
      <c r="I25">
        <f t="shared" si="3"/>
        <v>3.1352544301029193</v>
      </c>
    </row>
    <row r="26" spans="1:9" x14ac:dyDescent="0.25">
      <c r="A26" t="s">
        <v>5</v>
      </c>
      <c r="B26">
        <v>0.69277850660982321</v>
      </c>
      <c r="C26">
        <v>0.68286122554372364</v>
      </c>
      <c r="D26">
        <v>0.6956917532452741</v>
      </c>
      <c r="E26">
        <f t="shared" si="0"/>
        <v>0.69044382846627361</v>
      </c>
      <c r="G26">
        <f t="shared" si="1"/>
        <v>-7.0476270010074948E-2</v>
      </c>
      <c r="H26">
        <f t="shared" si="2"/>
        <v>-7.0476270010074948</v>
      </c>
      <c r="I26">
        <f t="shared" si="3"/>
        <v>-9.261980351313527</v>
      </c>
    </row>
    <row r="27" spans="1:9" x14ac:dyDescent="0.25">
      <c r="A27" t="s">
        <v>6</v>
      </c>
      <c r="B27">
        <v>0.28047475218772888</v>
      </c>
      <c r="C27">
        <v>0.27995514869689941</v>
      </c>
      <c r="D27">
        <v>0.27759167551994318</v>
      </c>
      <c r="E27">
        <f t="shared" si="0"/>
        <v>0.27934052546819049</v>
      </c>
      <c r="G27">
        <f t="shared" si="1"/>
        <v>-2.5373498598734723E-3</v>
      </c>
      <c r="H27">
        <f t="shared" si="2"/>
        <v>-0.25373498598734723</v>
      </c>
      <c r="I27">
        <f t="shared" si="3"/>
        <v>-0.90015928242696375</v>
      </c>
    </row>
    <row r="28" spans="1:9" x14ac:dyDescent="0.25">
      <c r="A28" t="s">
        <v>7</v>
      </c>
      <c r="B28">
        <v>0.2093124836683273</v>
      </c>
      <c r="C28">
        <v>0.208344966173172</v>
      </c>
      <c r="D28">
        <v>0.20594584941864011</v>
      </c>
      <c r="E28">
        <f t="shared" si="0"/>
        <v>0.20786776642004648</v>
      </c>
      <c r="G28">
        <f t="shared" si="1"/>
        <v>3.9134472608566284E-3</v>
      </c>
      <c r="H28">
        <f t="shared" si="2"/>
        <v>0.39134472608566284</v>
      </c>
      <c r="I28">
        <f t="shared" si="3"/>
        <v>1.9187861659365573</v>
      </c>
    </row>
    <row r="29" spans="1:9" x14ac:dyDescent="0.25">
      <c r="A29" t="s">
        <v>8</v>
      </c>
      <c r="B29">
        <v>0.35389664769172668</v>
      </c>
      <c r="C29">
        <v>0.35387969017028809</v>
      </c>
      <c r="D29">
        <v>0.3515298068523407</v>
      </c>
      <c r="E29">
        <f t="shared" si="0"/>
        <v>0.35310204823811847</v>
      </c>
      <c r="G29">
        <f t="shared" si="1"/>
        <v>-9.1628432273864746E-3</v>
      </c>
      <c r="H29">
        <f t="shared" si="2"/>
        <v>-0.91628432273864746</v>
      </c>
      <c r="I29">
        <f t="shared" si="3"/>
        <v>-2.5293213455819981</v>
      </c>
    </row>
    <row r="30" spans="1:9" x14ac:dyDescent="0.25">
      <c r="A30" t="s">
        <v>9</v>
      </c>
      <c r="B30">
        <v>0.35632183908045978</v>
      </c>
      <c r="C30">
        <v>0.35632183908045978</v>
      </c>
      <c r="D30">
        <v>0.35775862068965519</v>
      </c>
      <c r="E30">
        <f t="shared" si="0"/>
        <v>0.35680076628352492</v>
      </c>
      <c r="G30">
        <f t="shared" si="1"/>
        <v>-2.7729885057471204E-2</v>
      </c>
      <c r="H30">
        <f t="shared" si="2"/>
        <v>-2.7729885057471204</v>
      </c>
      <c r="I30">
        <f t="shared" si="3"/>
        <v>-7.2113588242620343</v>
      </c>
    </row>
    <row r="31" spans="1:9" x14ac:dyDescent="0.25">
      <c r="A31" t="s">
        <v>10</v>
      </c>
      <c r="B31">
        <v>0.53448275862068961</v>
      </c>
      <c r="C31">
        <v>0.53448275862068961</v>
      </c>
      <c r="D31">
        <v>0.53448275862068961</v>
      </c>
      <c r="E31">
        <f t="shared" si="0"/>
        <v>0.53448275862068961</v>
      </c>
      <c r="G31">
        <f t="shared" si="1"/>
        <v>-1.1494252873563315E-2</v>
      </c>
      <c r="H31">
        <f t="shared" si="2"/>
        <v>-1.1494252873563315</v>
      </c>
      <c r="I31">
        <f t="shared" si="3"/>
        <v>-2.1052631578947545</v>
      </c>
    </row>
    <row r="32" spans="1:9" x14ac:dyDescent="0.25">
      <c r="A32" t="s">
        <v>11</v>
      </c>
      <c r="B32">
        <v>16.306659532004389</v>
      </c>
      <c r="C32">
        <v>16.24340450352636</v>
      </c>
      <c r="D32">
        <v>14.72616429781092</v>
      </c>
      <c r="E32">
        <f t="shared" si="0"/>
        <v>15.758742777780556</v>
      </c>
      <c r="G32">
        <f t="shared" si="1"/>
        <v>-0.59959872358146704</v>
      </c>
      <c r="H32">
        <f t="shared" si="2"/>
        <v>-59.959872358146704</v>
      </c>
      <c r="I32">
        <f t="shared" si="3"/>
        <v>-3.6654004535334064</v>
      </c>
    </row>
    <row r="33" spans="1:9" x14ac:dyDescent="0.25">
      <c r="A33" t="s">
        <v>12</v>
      </c>
      <c r="B33">
        <v>3536.094827586207</v>
      </c>
      <c r="C33">
        <v>3536.3965517241381</v>
      </c>
      <c r="D33">
        <v>3536.3189655172409</v>
      </c>
      <c r="E33">
        <f t="shared" si="0"/>
        <v>3536.2701149425288</v>
      </c>
      <c r="G33">
        <f t="shared" si="1"/>
        <v>385.40229885057533</v>
      </c>
      <c r="H33">
        <f t="shared" si="2"/>
        <v>38540.229885057532</v>
      </c>
      <c r="I33">
        <f t="shared" si="3"/>
        <v>12.231623836527451</v>
      </c>
    </row>
    <row r="34" spans="1:9" x14ac:dyDescent="0.25">
      <c r="A34" t="s">
        <v>13</v>
      </c>
      <c r="B34">
        <v>256.75</v>
      </c>
      <c r="C34">
        <v>257.15517241379308</v>
      </c>
      <c r="D34">
        <v>257.00862068965517</v>
      </c>
      <c r="E34">
        <f t="shared" si="0"/>
        <v>256.97126436781605</v>
      </c>
      <c r="G34">
        <f t="shared" si="1"/>
        <v>-3.7528735632184294</v>
      </c>
      <c r="H34">
        <f t="shared" si="2"/>
        <v>-375.28735632184294</v>
      </c>
      <c r="I34">
        <f t="shared" si="3"/>
        <v>-1.4394039589119754</v>
      </c>
    </row>
    <row r="35" spans="1:9" x14ac:dyDescent="0.25">
      <c r="A35" t="s">
        <v>14</v>
      </c>
      <c r="B35">
        <v>3792.844827586207</v>
      </c>
      <c r="C35">
        <v>3793.5517241379312</v>
      </c>
      <c r="D35">
        <v>3793.3275862068972</v>
      </c>
      <c r="E35">
        <f t="shared" si="0"/>
        <v>3793.2413793103447</v>
      </c>
      <c r="G35">
        <f t="shared" si="1"/>
        <v>381.64942528735628</v>
      </c>
      <c r="H35">
        <f t="shared" si="2"/>
        <v>38164.942528735628</v>
      </c>
      <c r="I35">
        <f t="shared" si="3"/>
        <v>11.186842694868913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5325-29CC-44E7-9775-63B4B2546FF5}">
  <dimension ref="A1:L53"/>
  <sheetViews>
    <sheetView topLeftCell="A24" workbookViewId="0">
      <selection activeCell="D39" sqref="D39:D53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10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10" x14ac:dyDescent="0.25">
      <c r="A19" t="s">
        <v>33</v>
      </c>
      <c r="B19">
        <v>90</v>
      </c>
    </row>
    <row r="20" spans="1:10" x14ac:dyDescent="0.25">
      <c r="B20" t="s">
        <v>15</v>
      </c>
      <c r="C20" t="s">
        <v>16</v>
      </c>
      <c r="D20" t="s">
        <v>17</v>
      </c>
      <c r="E20" t="s">
        <v>18</v>
      </c>
      <c r="G20" t="s">
        <v>34</v>
      </c>
      <c r="H20" t="s">
        <v>20</v>
      </c>
      <c r="I20" t="s">
        <v>21</v>
      </c>
    </row>
    <row r="21" spans="1:10" x14ac:dyDescent="0.25">
      <c r="A21" t="s">
        <v>0</v>
      </c>
      <c r="B21">
        <v>0.81402745031441515</v>
      </c>
      <c r="C21">
        <v>0.81393681897411729</v>
      </c>
      <c r="D21">
        <v>0.80383045294843647</v>
      </c>
      <c r="E21">
        <f>AVERAGE(B21:D21)</f>
        <v>0.81059824074565634</v>
      </c>
      <c r="G21">
        <f>E21-E3</f>
        <v>-1.1707878433717678E-3</v>
      </c>
      <c r="H21">
        <f>G21*100</f>
        <v>-0.11707878433717678</v>
      </c>
      <c r="I21">
        <f>G21/E3*100</f>
        <v>-0.14422671993371886</v>
      </c>
    </row>
    <row r="22" spans="1:10" x14ac:dyDescent="0.25">
      <c r="A22" t="s">
        <v>1</v>
      </c>
      <c r="B22">
        <v>0.71151477832512322</v>
      </c>
      <c r="C22">
        <v>0.71395730706075533</v>
      </c>
      <c r="D22">
        <v>0.713095238095238</v>
      </c>
      <c r="E22">
        <f t="shared" ref="E22:E35" si="0">AVERAGE(B22:D22)</f>
        <v>0.71285577449370552</v>
      </c>
      <c r="G22">
        <f t="shared" ref="G22:G35" si="1">E22-E4</f>
        <v>3.381226053639852E-2</v>
      </c>
      <c r="H22">
        <f t="shared" ref="H22:H35" si="2">G22*100</f>
        <v>3.381226053639852</v>
      </c>
      <c r="I22">
        <f t="shared" ref="I22:I35" si="3">G22/E4*100</f>
        <v>4.9793952583905208</v>
      </c>
      <c r="J22" t="s">
        <v>22</v>
      </c>
    </row>
    <row r="23" spans="1:10" x14ac:dyDescent="0.25">
      <c r="A23" t="s">
        <v>2</v>
      </c>
      <c r="B23">
        <v>0.63709291184974126</v>
      </c>
      <c r="C23">
        <v>0.65056273943469056</v>
      </c>
      <c r="D23">
        <v>0.6513290229592531</v>
      </c>
      <c r="E23">
        <f t="shared" si="0"/>
        <v>0.64632822474789497</v>
      </c>
      <c r="G23">
        <f t="shared" si="1"/>
        <v>-3.9431673045585702E-3</v>
      </c>
      <c r="H23">
        <f t="shared" si="2"/>
        <v>-0.39431673045585702</v>
      </c>
      <c r="I23">
        <f t="shared" si="3"/>
        <v>-0.6063879409046028</v>
      </c>
      <c r="J23" t="s">
        <v>26</v>
      </c>
    </row>
    <row r="24" spans="1:10" x14ac:dyDescent="0.25">
      <c r="A24" t="s">
        <v>3</v>
      </c>
      <c r="B24">
        <v>0.78377501043747833</v>
      </c>
      <c r="C24">
        <v>0.78450825881818054</v>
      </c>
      <c r="D24">
        <v>0.78434586949531893</v>
      </c>
      <c r="E24">
        <f t="shared" si="0"/>
        <v>0.7842097129169926</v>
      </c>
      <c r="G24">
        <f t="shared" si="1"/>
        <v>2.3943078685051411E-4</v>
      </c>
      <c r="H24">
        <f t="shared" si="2"/>
        <v>2.3943078685051411E-2</v>
      </c>
      <c r="I24">
        <f t="shared" si="3"/>
        <v>3.054079884252139E-2</v>
      </c>
    </row>
    <row r="25" spans="1:10" x14ac:dyDescent="0.25">
      <c r="A25" t="s">
        <v>4</v>
      </c>
      <c r="B25">
        <v>0.27905927516470358</v>
      </c>
      <c r="C25">
        <v>0.28110254175025601</v>
      </c>
      <c r="D25">
        <v>0.27773399006679089</v>
      </c>
      <c r="E25">
        <f t="shared" si="0"/>
        <v>0.27929860232725018</v>
      </c>
      <c r="G25">
        <f t="shared" si="1"/>
        <v>2.4688649356371939E-3</v>
      </c>
      <c r="H25">
        <f t="shared" si="2"/>
        <v>0.24688649356371939</v>
      </c>
      <c r="I25">
        <f t="shared" si="3"/>
        <v>0.89183516153275522</v>
      </c>
    </row>
    <row r="26" spans="1:10" x14ac:dyDescent="0.25">
      <c r="A26" t="s">
        <v>5</v>
      </c>
      <c r="B26">
        <v>0.76963934715769899</v>
      </c>
      <c r="C26">
        <v>0.77090738291964622</v>
      </c>
      <c r="D26">
        <v>0.7714466840336498</v>
      </c>
      <c r="E26">
        <f t="shared" si="0"/>
        <v>0.77066447137033167</v>
      </c>
      <c r="G26">
        <f t="shared" si="1"/>
        <v>9.7443728939831109E-3</v>
      </c>
      <c r="H26">
        <f t="shared" si="2"/>
        <v>0.97443728939831109</v>
      </c>
      <c r="I26">
        <f t="shared" si="3"/>
        <v>1.2806039574319368</v>
      </c>
    </row>
    <row r="27" spans="1:10" x14ac:dyDescent="0.25">
      <c r="A27" t="s">
        <v>6</v>
      </c>
      <c r="B27">
        <v>0.29048815369606018</v>
      </c>
      <c r="C27">
        <v>0.28977480530738831</v>
      </c>
      <c r="D27">
        <v>0.28977480530738831</v>
      </c>
      <c r="E27">
        <f t="shared" si="0"/>
        <v>0.29001258810361225</v>
      </c>
      <c r="G27">
        <f t="shared" si="1"/>
        <v>8.1347127755482806E-3</v>
      </c>
      <c r="H27">
        <f t="shared" si="2"/>
        <v>0.81347127755482806</v>
      </c>
      <c r="I27">
        <f t="shared" si="3"/>
        <v>2.8858997060626641</v>
      </c>
      <c r="J27" t="s">
        <v>22</v>
      </c>
    </row>
    <row r="28" spans="1:10" x14ac:dyDescent="0.25">
      <c r="A28" t="s">
        <v>7</v>
      </c>
      <c r="B28">
        <v>0.2131115198135376</v>
      </c>
      <c r="C28">
        <v>0.21231986582279211</v>
      </c>
      <c r="D28">
        <v>0.21231986582279211</v>
      </c>
      <c r="E28">
        <f t="shared" si="0"/>
        <v>0.21258375048637393</v>
      </c>
      <c r="G28">
        <f t="shared" si="1"/>
        <v>8.6294313271840783E-3</v>
      </c>
      <c r="H28">
        <f t="shared" si="2"/>
        <v>0.86294313271840783</v>
      </c>
      <c r="I28">
        <f t="shared" si="3"/>
        <v>4.2310608388972923</v>
      </c>
      <c r="J28" t="s">
        <v>22</v>
      </c>
    </row>
    <row r="29" spans="1:10" x14ac:dyDescent="0.25">
      <c r="A29" t="s">
        <v>8</v>
      </c>
      <c r="B29">
        <v>0.37042775750160217</v>
      </c>
      <c r="C29">
        <v>0.36979284882545471</v>
      </c>
      <c r="D29">
        <v>0.36979284882545471</v>
      </c>
      <c r="E29">
        <f t="shared" si="0"/>
        <v>0.37000448505083722</v>
      </c>
      <c r="G29">
        <f t="shared" si="1"/>
        <v>7.7395935853322717E-3</v>
      </c>
      <c r="H29">
        <f t="shared" si="2"/>
        <v>0.77395935853322717</v>
      </c>
      <c r="I29">
        <f t="shared" si="3"/>
        <v>2.1364459454026998</v>
      </c>
      <c r="J29" t="s">
        <v>22</v>
      </c>
    </row>
    <row r="30" spans="1:10" x14ac:dyDescent="0.25">
      <c r="A30" t="s">
        <v>9</v>
      </c>
      <c r="B30">
        <v>0.38247126436781609</v>
      </c>
      <c r="C30">
        <v>0.38247126436781609</v>
      </c>
      <c r="D30">
        <v>0.38247126436781609</v>
      </c>
      <c r="E30">
        <f t="shared" si="0"/>
        <v>0.38247126436781609</v>
      </c>
      <c r="G30">
        <f t="shared" si="1"/>
        <v>-2.0593869731800329E-3</v>
      </c>
      <c r="H30">
        <f t="shared" si="2"/>
        <v>-0.20593869731800329</v>
      </c>
      <c r="I30">
        <f t="shared" si="3"/>
        <v>-0.53555860007471778</v>
      </c>
    </row>
    <row r="31" spans="1:10" x14ac:dyDescent="0.25">
      <c r="A31" t="s">
        <v>10</v>
      </c>
      <c r="B31">
        <v>0.55172413793103448</v>
      </c>
      <c r="C31">
        <v>0.55172413793103448</v>
      </c>
      <c r="D31">
        <v>0.55172413793103448</v>
      </c>
      <c r="E31">
        <f t="shared" si="0"/>
        <v>0.55172413793103448</v>
      </c>
      <c r="G31">
        <f t="shared" si="1"/>
        <v>5.7471264367815467E-3</v>
      </c>
      <c r="H31">
        <f t="shared" si="2"/>
        <v>0.57471264367815467</v>
      </c>
      <c r="I31">
        <f t="shared" si="3"/>
        <v>1.052631578947357</v>
      </c>
    </row>
    <row r="32" spans="1:10" x14ac:dyDescent="0.25">
      <c r="A32" t="s">
        <v>11</v>
      </c>
      <c r="B32">
        <v>16.172321564164651</v>
      </c>
      <c r="C32">
        <v>15.1696608518732</v>
      </c>
      <c r="D32">
        <v>14.804834653591289</v>
      </c>
      <c r="E32">
        <f t="shared" si="0"/>
        <v>15.382272356543046</v>
      </c>
      <c r="G32">
        <f t="shared" si="1"/>
        <v>-0.97606914481897711</v>
      </c>
      <c r="H32">
        <f t="shared" si="2"/>
        <v>-97.606914481897718</v>
      </c>
      <c r="I32">
        <f t="shared" si="3"/>
        <v>-5.9667977021858114</v>
      </c>
    </row>
    <row r="33" spans="1:12" x14ac:dyDescent="0.25">
      <c r="A33" t="s">
        <v>12</v>
      </c>
      <c r="B33">
        <v>3291.3620689655172</v>
      </c>
      <c r="C33">
        <v>3292.8620689655172</v>
      </c>
      <c r="D33">
        <v>3292.8620689655172</v>
      </c>
      <c r="E33">
        <f t="shared" si="0"/>
        <v>3292.3620689655168</v>
      </c>
      <c r="G33">
        <f t="shared" si="1"/>
        <v>141.49425287356325</v>
      </c>
      <c r="H33">
        <f t="shared" si="2"/>
        <v>14149.425287356325</v>
      </c>
      <c r="I33">
        <f t="shared" si="3"/>
        <v>4.4906438839144869</v>
      </c>
    </row>
    <row r="34" spans="1:12" x14ac:dyDescent="0.25">
      <c r="A34" t="s">
        <v>13</v>
      </c>
      <c r="B34">
        <v>292.75862068965517</v>
      </c>
      <c r="C34">
        <v>293.86206896551732</v>
      </c>
      <c r="D34">
        <v>293.86206896551732</v>
      </c>
      <c r="E34">
        <f t="shared" si="0"/>
        <v>293.49425287356331</v>
      </c>
      <c r="G34">
        <f t="shared" si="1"/>
        <v>32.770114942528835</v>
      </c>
      <c r="H34">
        <f t="shared" si="2"/>
        <v>3277.0114942528835</v>
      </c>
      <c r="I34">
        <f t="shared" si="3"/>
        <v>12.568884186395135</v>
      </c>
    </row>
    <row r="35" spans="1:12" x14ac:dyDescent="0.25">
      <c r="A35" t="s">
        <v>14</v>
      </c>
      <c r="B35">
        <v>3584.120689655173</v>
      </c>
      <c r="C35">
        <v>3586.724137931034</v>
      </c>
      <c r="D35">
        <v>3586.724137931034</v>
      </c>
      <c r="E35">
        <f t="shared" si="0"/>
        <v>3585.8563218390805</v>
      </c>
      <c r="G35">
        <f t="shared" si="1"/>
        <v>174.26436781609209</v>
      </c>
      <c r="H35">
        <f t="shared" si="2"/>
        <v>17426.436781609209</v>
      </c>
      <c r="I35">
        <f t="shared" si="3"/>
        <v>5.1080073515414863</v>
      </c>
    </row>
    <row r="37" spans="1:12" x14ac:dyDescent="0.25">
      <c r="A37" t="s">
        <v>33</v>
      </c>
      <c r="B37">
        <v>80</v>
      </c>
    </row>
    <row r="38" spans="1:12" x14ac:dyDescent="0.25">
      <c r="B38" t="s">
        <v>15</v>
      </c>
      <c r="C38" t="s">
        <v>16</v>
      </c>
      <c r="D38" t="s">
        <v>17</v>
      </c>
      <c r="E38" t="s">
        <v>18</v>
      </c>
      <c r="G38" t="s">
        <v>34</v>
      </c>
      <c r="H38" t="s">
        <v>20</v>
      </c>
      <c r="I38" t="s">
        <v>21</v>
      </c>
      <c r="K38" t="s">
        <v>35</v>
      </c>
      <c r="L38" t="s">
        <v>20</v>
      </c>
    </row>
    <row r="39" spans="1:12" x14ac:dyDescent="0.25">
      <c r="A39" t="s">
        <v>0</v>
      </c>
      <c r="B39">
        <v>0.78230560730060283</v>
      </c>
      <c r="C39">
        <v>0.77333463461025653</v>
      </c>
      <c r="D39">
        <v>0.76581336053452265</v>
      </c>
      <c r="E39">
        <f>AVERAGE(B39:D39)</f>
        <v>0.77381786748179404</v>
      </c>
      <c r="G39">
        <f>E39-E3</f>
        <v>-3.7951161107234066E-2</v>
      </c>
      <c r="H39">
        <f>G39*100</f>
        <v>-3.7951161107234066</v>
      </c>
      <c r="I39">
        <f>G39/E3*100</f>
        <v>-4.6751181396016879</v>
      </c>
      <c r="K39">
        <f>E39-E21</f>
        <v>-3.6780373263862298E-2</v>
      </c>
      <c r="L39">
        <f>K39*100</f>
        <v>-3.6780373263862298</v>
      </c>
    </row>
    <row r="40" spans="1:12" x14ac:dyDescent="0.25">
      <c r="A40" t="s">
        <v>1</v>
      </c>
      <c r="B40">
        <v>0.70662972085385878</v>
      </c>
      <c r="C40">
        <v>0.70950328407224961</v>
      </c>
      <c r="D40">
        <v>0.71568144499178987</v>
      </c>
      <c r="E40">
        <f t="shared" ref="E40:E53" si="4">AVERAGE(B40:D40)</f>
        <v>0.71060481663929931</v>
      </c>
      <c r="G40">
        <f t="shared" ref="G40:G53" si="5">E40-E22</f>
        <v>-2.2509578544062103E-3</v>
      </c>
      <c r="H40">
        <f t="shared" ref="H40:H53" si="6">G40*100</f>
        <v>-0.22509578544062103</v>
      </c>
      <c r="I40">
        <f t="shared" ref="I40:I53" si="7">G40/E22*100</f>
        <v>-0.31576623700704637</v>
      </c>
      <c r="K40">
        <f t="shared" ref="K40:K53" si="8">E40-E22</f>
        <v>-2.2509578544062103E-3</v>
      </c>
      <c r="L40">
        <f t="shared" ref="L40:L53" si="9">K40*100</f>
        <v>-0.22509578544062103</v>
      </c>
    </row>
    <row r="41" spans="1:12" x14ac:dyDescent="0.25">
      <c r="A41" t="s">
        <v>2</v>
      </c>
      <c r="B41">
        <v>0.64233716472058711</v>
      </c>
      <c r="C41">
        <v>0.63414750954912147</v>
      </c>
      <c r="D41">
        <v>0.63594348655962396</v>
      </c>
      <c r="E41">
        <f t="shared" si="4"/>
        <v>0.63747605360977744</v>
      </c>
      <c r="G41">
        <f t="shared" si="5"/>
        <v>-8.8521711381175372E-3</v>
      </c>
      <c r="H41">
        <f t="shared" si="6"/>
        <v>-0.88521711381175372</v>
      </c>
      <c r="I41">
        <f t="shared" si="7"/>
        <v>-1.369609247928232</v>
      </c>
      <c r="K41">
        <f t="shared" si="8"/>
        <v>-8.8521711381175372E-3</v>
      </c>
      <c r="L41">
        <f t="shared" si="9"/>
        <v>-0.88521711381175372</v>
      </c>
    </row>
    <row r="42" spans="1:12" x14ac:dyDescent="0.25">
      <c r="A42" t="s">
        <v>3</v>
      </c>
      <c r="B42">
        <v>0.77033469535003851</v>
      </c>
      <c r="C42">
        <v>0.77033469535003851</v>
      </c>
      <c r="D42">
        <v>0.77033469535003851</v>
      </c>
      <c r="E42">
        <f t="shared" si="4"/>
        <v>0.77033469535003851</v>
      </c>
      <c r="G42">
        <f t="shared" si="5"/>
        <v>-1.3875017566954084E-2</v>
      </c>
      <c r="H42">
        <f t="shared" si="6"/>
        <v>-1.3875017566954084</v>
      </c>
      <c r="I42">
        <f t="shared" si="7"/>
        <v>-1.7692993772474142</v>
      </c>
      <c r="K42">
        <f t="shared" si="8"/>
        <v>-1.3875017566954084E-2</v>
      </c>
      <c r="L42">
        <f t="shared" si="9"/>
        <v>-1.3875017566954084</v>
      </c>
    </row>
    <row r="43" spans="1:12" x14ac:dyDescent="0.25">
      <c r="A43" t="s">
        <v>4</v>
      </c>
      <c r="B43">
        <v>0.27229885477857502</v>
      </c>
      <c r="C43">
        <v>0.28870595463342408</v>
      </c>
      <c r="D43">
        <v>0.27529461421695628</v>
      </c>
      <c r="E43">
        <f t="shared" si="4"/>
        <v>0.27876647454298514</v>
      </c>
      <c r="G43">
        <f t="shared" si="5"/>
        <v>-5.3212778426503515E-4</v>
      </c>
      <c r="H43">
        <f t="shared" si="6"/>
        <v>-5.3212778426503515E-2</v>
      </c>
      <c r="I43">
        <f t="shared" si="7"/>
        <v>-0.19052289550720652</v>
      </c>
      <c r="K43">
        <f t="shared" si="8"/>
        <v>-5.3212778426503515E-4</v>
      </c>
      <c r="L43">
        <f t="shared" si="9"/>
        <v>-5.3212778426503515E-2</v>
      </c>
    </row>
    <row r="44" spans="1:12" x14ac:dyDescent="0.25">
      <c r="A44" t="s">
        <v>5</v>
      </c>
      <c r="B44">
        <v>0.74357374507422869</v>
      </c>
      <c r="C44">
        <v>0.74676142622550323</v>
      </c>
      <c r="D44">
        <v>0.73737061995840936</v>
      </c>
      <c r="E44">
        <f t="shared" si="4"/>
        <v>0.74256859708604706</v>
      </c>
      <c r="G44">
        <f t="shared" si="5"/>
        <v>-2.8095874284284617E-2</v>
      </c>
      <c r="H44">
        <f t="shared" si="6"/>
        <v>-2.8095874284284617</v>
      </c>
      <c r="I44">
        <f t="shared" si="7"/>
        <v>-3.6456688128267882</v>
      </c>
      <c r="K44">
        <f t="shared" si="8"/>
        <v>-2.8095874284284617E-2</v>
      </c>
      <c r="L44">
        <f t="shared" si="9"/>
        <v>-2.8095874284284617</v>
      </c>
    </row>
    <row r="45" spans="1:12" x14ac:dyDescent="0.25">
      <c r="A45" t="s">
        <v>6</v>
      </c>
      <c r="B45">
        <v>0.2670670747756958</v>
      </c>
      <c r="C45">
        <v>0.2670670747756958</v>
      </c>
      <c r="D45">
        <v>0.2670670747756958</v>
      </c>
      <c r="E45">
        <f t="shared" si="4"/>
        <v>0.2670670747756958</v>
      </c>
      <c r="G45">
        <f t="shared" si="5"/>
        <v>-2.2945513327916445E-2</v>
      </c>
      <c r="H45">
        <f t="shared" si="6"/>
        <v>-2.2945513327916442</v>
      </c>
      <c r="I45">
        <f t="shared" si="7"/>
        <v>-7.9119025411816759</v>
      </c>
      <c r="K45">
        <f t="shared" si="8"/>
        <v>-2.2945513327916445E-2</v>
      </c>
      <c r="L45">
        <f t="shared" si="9"/>
        <v>-2.2945513327916442</v>
      </c>
    </row>
    <row r="46" spans="1:12" x14ac:dyDescent="0.25">
      <c r="A46" t="s">
        <v>7</v>
      </c>
      <c r="B46">
        <v>0.18656368553638461</v>
      </c>
      <c r="C46">
        <v>0.18656368553638461</v>
      </c>
      <c r="D46">
        <v>0.18656368553638461</v>
      </c>
      <c r="E46">
        <f t="shared" si="4"/>
        <v>0.18656368553638461</v>
      </c>
      <c r="G46">
        <f t="shared" si="5"/>
        <v>-2.6020064949989319E-2</v>
      </c>
      <c r="H46">
        <f t="shared" si="6"/>
        <v>-2.6020064949989319</v>
      </c>
      <c r="I46">
        <f t="shared" si="7"/>
        <v>-12.239912453542463</v>
      </c>
      <c r="K46">
        <f t="shared" si="8"/>
        <v>-2.6020064949989319E-2</v>
      </c>
      <c r="L46">
        <f t="shared" si="9"/>
        <v>-2.6020064949989319</v>
      </c>
    </row>
    <row r="47" spans="1:12" x14ac:dyDescent="0.25">
      <c r="A47" t="s">
        <v>8</v>
      </c>
      <c r="B47">
        <v>0.35048586130142212</v>
      </c>
      <c r="C47">
        <v>0.35048586130142212</v>
      </c>
      <c r="D47">
        <v>0.35048586130142212</v>
      </c>
      <c r="E47">
        <f t="shared" si="4"/>
        <v>0.35048586130142212</v>
      </c>
      <c r="G47">
        <f t="shared" si="5"/>
        <v>-1.9518623749415098E-2</v>
      </c>
      <c r="H47">
        <f t="shared" si="6"/>
        <v>-1.9518623749415098</v>
      </c>
      <c r="I47">
        <f t="shared" si="7"/>
        <v>-5.2752397708728616</v>
      </c>
      <c r="K47">
        <f t="shared" si="8"/>
        <v>-1.9518623749415098E-2</v>
      </c>
      <c r="L47">
        <f t="shared" si="9"/>
        <v>-1.9518623749415098</v>
      </c>
    </row>
    <row r="48" spans="1:12" x14ac:dyDescent="0.25">
      <c r="A48" t="s">
        <v>9</v>
      </c>
      <c r="B48">
        <v>0.37083333333333329</v>
      </c>
      <c r="C48">
        <v>0.37083333333333329</v>
      </c>
      <c r="D48">
        <v>0.37083333333333329</v>
      </c>
      <c r="E48">
        <f t="shared" si="4"/>
        <v>0.37083333333333329</v>
      </c>
      <c r="G48">
        <f t="shared" si="5"/>
        <v>-1.1637931034482796E-2</v>
      </c>
      <c r="H48">
        <f t="shared" si="6"/>
        <v>-1.1637931034482796</v>
      </c>
      <c r="I48">
        <f t="shared" si="7"/>
        <v>-3.0428249436513997</v>
      </c>
      <c r="K48">
        <f t="shared" si="8"/>
        <v>-1.1637931034482796E-2</v>
      </c>
      <c r="L48">
        <f t="shared" si="9"/>
        <v>-1.1637931034482796</v>
      </c>
    </row>
    <row r="49" spans="1:12" x14ac:dyDescent="0.25">
      <c r="A49" t="s">
        <v>10</v>
      </c>
      <c r="B49">
        <v>0.53448275862068961</v>
      </c>
      <c r="C49">
        <v>0.53448275862068961</v>
      </c>
      <c r="D49">
        <v>0.53448275862068961</v>
      </c>
      <c r="E49">
        <f t="shared" si="4"/>
        <v>0.53448275862068961</v>
      </c>
      <c r="G49">
        <f t="shared" si="5"/>
        <v>-1.7241379310344862E-2</v>
      </c>
      <c r="H49">
        <f t="shared" si="6"/>
        <v>-1.7241379310344862</v>
      </c>
      <c r="I49">
        <f t="shared" si="7"/>
        <v>-3.1250000000000062</v>
      </c>
      <c r="K49">
        <f t="shared" si="8"/>
        <v>-1.7241379310344862E-2</v>
      </c>
      <c r="L49">
        <f t="shared" si="9"/>
        <v>-1.7241379310344862</v>
      </c>
    </row>
    <row r="50" spans="1:12" x14ac:dyDescent="0.25">
      <c r="A50" t="s">
        <v>11</v>
      </c>
      <c r="B50">
        <v>15.38659848221417</v>
      </c>
      <c r="C50">
        <v>14.819913833305749</v>
      </c>
      <c r="D50">
        <v>16.057225159529981</v>
      </c>
      <c r="E50">
        <f t="shared" si="4"/>
        <v>15.421245825016634</v>
      </c>
      <c r="G50">
        <f t="shared" si="5"/>
        <v>3.8973468473587403E-2</v>
      </c>
      <c r="H50">
        <f t="shared" si="6"/>
        <v>3.8973468473587403</v>
      </c>
      <c r="I50">
        <f t="shared" si="7"/>
        <v>0.25336613193569896</v>
      </c>
      <c r="K50">
        <f t="shared" si="8"/>
        <v>3.8973468473587403E-2</v>
      </c>
      <c r="L50">
        <f t="shared" si="9"/>
        <v>3.8973468473587403</v>
      </c>
    </row>
    <row r="51" spans="1:12" x14ac:dyDescent="0.25">
      <c r="A51" t="s">
        <v>12</v>
      </c>
      <c r="B51">
        <v>3247.1724137931028</v>
      </c>
      <c r="C51">
        <v>3291.6982758620688</v>
      </c>
      <c r="D51">
        <v>3252.655172413793</v>
      </c>
      <c r="E51">
        <f t="shared" si="4"/>
        <v>3263.8419540229884</v>
      </c>
      <c r="G51">
        <f t="shared" si="5"/>
        <v>-28.52011494252838</v>
      </c>
      <c r="H51">
        <f t="shared" si="6"/>
        <v>-2852.011494252838</v>
      </c>
      <c r="I51">
        <f t="shared" si="7"/>
        <v>-0.86625086625085557</v>
      </c>
      <c r="K51">
        <f t="shared" si="8"/>
        <v>-28.52011494252838</v>
      </c>
      <c r="L51">
        <f t="shared" si="9"/>
        <v>-2852.011494252838</v>
      </c>
    </row>
    <row r="52" spans="1:12" x14ac:dyDescent="0.25">
      <c r="A52" t="s">
        <v>13</v>
      </c>
      <c r="B52">
        <v>288.75862068965517</v>
      </c>
      <c r="C52">
        <v>291.84482758620692</v>
      </c>
      <c r="D52">
        <v>288.30172413793099</v>
      </c>
      <c r="E52">
        <f t="shared" si="4"/>
        <v>289.63505747126436</v>
      </c>
      <c r="G52">
        <f t="shared" si="5"/>
        <v>-3.8591954022989512</v>
      </c>
      <c r="H52">
        <f t="shared" si="6"/>
        <v>-385.91954022989512</v>
      </c>
      <c r="I52">
        <f t="shared" si="7"/>
        <v>-1.3149134487350538</v>
      </c>
      <c r="K52">
        <f t="shared" si="8"/>
        <v>-3.8591954022989512</v>
      </c>
      <c r="L52">
        <f t="shared" si="9"/>
        <v>-385.91954022989512</v>
      </c>
    </row>
    <row r="53" spans="1:12" x14ac:dyDescent="0.25">
      <c r="A53" t="s">
        <v>14</v>
      </c>
      <c r="B53">
        <v>3535.9310344827591</v>
      </c>
      <c r="C53">
        <v>3583.5431034482758</v>
      </c>
      <c r="D53">
        <v>3540.9568965517242</v>
      </c>
      <c r="E53">
        <f t="shared" si="4"/>
        <v>3553.477011494253</v>
      </c>
      <c r="G53">
        <f t="shared" si="5"/>
        <v>-32.379310344827445</v>
      </c>
      <c r="H53">
        <f t="shared" si="6"/>
        <v>-3237.9310344827445</v>
      </c>
      <c r="I53">
        <f t="shared" si="7"/>
        <v>-0.90297288677258125</v>
      </c>
      <c r="K53">
        <f t="shared" si="8"/>
        <v>-32.379310344827445</v>
      </c>
      <c r="L53">
        <f t="shared" si="9"/>
        <v>-3237.9310344827445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naive_max size</vt:lpstr>
      <vt:lpstr>naive_overlap</vt:lpstr>
      <vt:lpstr>deduplication</vt:lpstr>
      <vt:lpstr>sparse</vt:lpstr>
      <vt:lpstr>advanced</vt:lpstr>
      <vt:lpstr>reranking</vt:lpstr>
      <vt:lpstr>semantic_percentile</vt:lpstr>
      <vt:lpstr>semantic_min_size</vt:lpstr>
      <vt:lpstr>hybrid</vt:lpstr>
      <vt:lpstr>MMR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2015-06-05T18:19:34Z</dcterms:created>
  <dcterms:modified xsi:type="dcterms:W3CDTF">2026-04-07T08:38:32Z</dcterms:modified>
</cp:coreProperties>
</file>