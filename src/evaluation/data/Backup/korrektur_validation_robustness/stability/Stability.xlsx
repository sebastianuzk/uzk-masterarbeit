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korrektur_validation_robustness\stability\"/>
    </mc:Choice>
  </mc:AlternateContent>
  <xr:revisionPtr revIDLastSave="0" documentId="13_ncr:1_{DD0DB6F9-9FFD-4740-9F4B-8AF60DC361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H3" i="1"/>
  <c r="H4" i="1"/>
  <c r="H5" i="1"/>
  <c r="H6" i="1"/>
  <c r="H2" i="1"/>
  <c r="F3" i="1"/>
  <c r="F4" i="1"/>
  <c r="F5" i="1"/>
  <c r="F6" i="1"/>
  <c r="G3" i="1"/>
  <c r="G4" i="1"/>
  <c r="G5" i="1"/>
  <c r="G6" i="1"/>
  <c r="G2" i="1"/>
  <c r="F2" i="1" l="1"/>
</calcChain>
</file>

<file path=xl/sharedStrings.xml><?xml version="1.0" encoding="utf-8"?>
<sst xmlns="http://schemas.openxmlformats.org/spreadsheetml/2006/main" count="12" uniqueCount="12">
  <si>
    <t>run1</t>
  </si>
  <si>
    <t>run2</t>
  </si>
  <si>
    <t>run3</t>
  </si>
  <si>
    <t>faithfulness</t>
  </si>
  <si>
    <t>context_recall</t>
  </si>
  <si>
    <t>context_precision</t>
  </si>
  <si>
    <t>context_entity_recall</t>
  </si>
  <si>
    <t>answer_relevancy</t>
  </si>
  <si>
    <t>Min</t>
  </si>
  <si>
    <t>Max</t>
  </si>
  <si>
    <t>Standard Deviation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</si>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</sst>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5" max="5" width="0" hidden="1" customWidth="1"/>
    <col min="8" max="8" width="12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11</v>
      </c>
      <c r="F1" t="s">
        <v>8</v>
      </c>
      <c r="G1" t="s">
        <v>9</v>
      </c>
      <c r="H1" t="s">
        <v>10</v>
      </c>
    </row>
    <row r="2" spans="1:8" x14ac:dyDescent="0.25">
      <c r="A2" t="s">
        <v>3</v>
      </c>
      <c r="B2" s="2">
        <v>0.81698046405920655</v>
      </c>
      <c r="C2" s="2">
        <v>0.82064877086449106</v>
      </c>
      <c r="D2" s="2">
        <v>0.81290652651966511</v>
      </c>
      <c r="E2" s="2">
        <f>AVERAGE(B2:D2)</f>
        <v>0.81684525381445428</v>
      </c>
      <c r="F2" s="2">
        <f>MIN(B2:D2)</f>
        <v>0.81290652651966511</v>
      </c>
      <c r="G2" s="2">
        <f>MAX(B2:D2)</f>
        <v>0.82064877086449106</v>
      </c>
      <c r="H2" s="1">
        <f>_xlfn.STDEV.S(B2:D2)</f>
        <v>3.8728927472190412E-3</v>
      </c>
    </row>
    <row r="3" spans="1:8" x14ac:dyDescent="0.25">
      <c r="A3" t="s">
        <v>4</v>
      </c>
      <c r="B3" s="2">
        <v>0.68881362889983577</v>
      </c>
      <c r="C3" s="2">
        <v>0.68335385878489319</v>
      </c>
      <c r="D3" s="2">
        <v>0.68766420361247949</v>
      </c>
      <c r="E3" s="2">
        <f t="shared" ref="E3:E6" si="0">AVERAGE(B3:D3)</f>
        <v>0.68661056376573615</v>
      </c>
      <c r="F3" s="2">
        <f t="shared" ref="F3:F6" si="1">MIN(B3:D3)</f>
        <v>0.68335385878489319</v>
      </c>
      <c r="G3" s="2">
        <f t="shared" ref="G3:G6" si="2">MAX(B3:D3)</f>
        <v>0.68881362889983577</v>
      </c>
      <c r="H3" s="1">
        <f t="shared" ref="H3:H6" si="3">_xlfn.STDEV.S(B3:D3)</f>
        <v>2.8783485059994101E-3</v>
      </c>
    </row>
    <row r="4" spans="1:8" x14ac:dyDescent="0.25">
      <c r="A4" t="s">
        <v>5</v>
      </c>
      <c r="B4" s="2">
        <v>0.65924329498968592</v>
      </c>
      <c r="C4" s="2">
        <v>0.64530651338083833</v>
      </c>
      <c r="D4" s="2">
        <v>0.64999999997169966</v>
      </c>
      <c r="E4" s="2">
        <f t="shared" si="0"/>
        <v>0.65151660278074131</v>
      </c>
      <c r="F4" s="2">
        <f t="shared" si="1"/>
        <v>0.64530651338083833</v>
      </c>
      <c r="G4" s="2">
        <f t="shared" si="2"/>
        <v>0.65924329498968592</v>
      </c>
      <c r="H4" s="1">
        <f t="shared" si="3"/>
        <v>7.0910883130499E-3</v>
      </c>
    </row>
    <row r="5" spans="1:8" x14ac:dyDescent="0.25">
      <c r="A5" t="s">
        <v>6</v>
      </c>
      <c r="B5" s="2">
        <v>0.28939410497705481</v>
      </c>
      <c r="C5" s="2">
        <v>0.28719222019163743</v>
      </c>
      <c r="D5" s="2">
        <v>0.27718542354571851</v>
      </c>
      <c r="E5" s="2">
        <f t="shared" si="0"/>
        <v>0.2845905829048036</v>
      </c>
      <c r="F5" s="2">
        <f t="shared" si="1"/>
        <v>0.27718542354571851</v>
      </c>
      <c r="G5" s="2">
        <f t="shared" si="2"/>
        <v>0.28939410497705481</v>
      </c>
      <c r="H5" s="1">
        <f t="shared" si="3"/>
        <v>6.5068704460859716E-3</v>
      </c>
    </row>
    <row r="6" spans="1:8" x14ac:dyDescent="0.25">
      <c r="A6" t="s">
        <v>7</v>
      </c>
      <c r="B6" s="2">
        <v>0.76500991003408936</v>
      </c>
      <c r="C6" s="2">
        <v>0.75958598929126908</v>
      </c>
      <c r="D6" s="2">
        <v>0.75792501190408046</v>
      </c>
      <c r="E6" s="2">
        <f t="shared" si="0"/>
        <v>0.76084030374314626</v>
      </c>
      <c r="F6" s="2">
        <f t="shared" si="1"/>
        <v>0.75792501190408046</v>
      </c>
      <c r="G6" s="2">
        <f t="shared" si="2"/>
        <v>0.76500991003408936</v>
      </c>
      <c r="H6" s="1">
        <f t="shared" si="3"/>
        <v>3.7052562578439741E-3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Mager</dc:creator>
  <cp:lastModifiedBy>Pascal Mager</cp:lastModifiedBy>
  <dcterms:created xsi:type="dcterms:W3CDTF">2015-06-05T18:19:34Z</dcterms:created>
  <dcterms:modified xsi:type="dcterms:W3CDTF">2026-04-14T14:57:58Z</dcterms:modified>
</cp:coreProperties>
</file>