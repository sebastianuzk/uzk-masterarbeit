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Uni-Köln\Masterarbeit\Software\uzk-masterarbeit\src\evaluation\data\Backup\validation\"/>
    </mc:Choice>
  </mc:AlternateContent>
  <xr:revisionPtr revIDLastSave="0" documentId="13_ncr:1_{BCFB1BF2-6ADA-47C3-BDC4-F3FECA1432DE}" xr6:coauthVersionLast="47" xr6:coauthVersionMax="47" xr10:uidLastSave="{00000000-0000-0000-0000-000000000000}"/>
  <bookViews>
    <workbookView xWindow="-120" yWindow="-120" windowWidth="29040" windowHeight="15840" activeTab="3" xr2:uid="{00000000-000D-0000-FFFF-FFFF00000000}"/>
  </bookViews>
  <sheets>
    <sheet name="Human Details" sheetId="1" r:id="rId1"/>
    <sheet name="Human Erläuterungen" sheetId="4" r:id="rId2"/>
    <sheet name="Ränge" sheetId="3" r:id="rId3"/>
    <sheet name="Korrelation" sheetId="5" r:id="rId4"/>
    <sheet name="Metriken" sheetId="6" r:id="rId5"/>
    <sheet name="Qwen" sheetId="8" r:id="rId6"/>
    <sheet name="GPT-4.1-mini" sheetId="2" r:id="rId7"/>
    <sheet name="GPT-5.2"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5" l="1"/>
  <c r="D27" i="5"/>
  <c r="D26" i="5"/>
  <c r="D25" i="5"/>
  <c r="D24" i="5"/>
  <c r="D23" i="5"/>
  <c r="D21" i="5"/>
  <c r="D22" i="5"/>
  <c r="D20" i="5"/>
  <c r="D18" i="5"/>
  <c r="D19" i="5"/>
  <c r="D17" i="5"/>
  <c r="D16" i="5"/>
  <c r="D15" i="5"/>
  <c r="D14" i="5"/>
  <c r="K12" i="1"/>
  <c r="J12" i="1"/>
  <c r="C27" i="5"/>
  <c r="C28" i="5"/>
  <c r="C26" i="5"/>
  <c r="C24" i="5"/>
  <c r="C25" i="5"/>
  <c r="C23" i="5"/>
  <c r="C21" i="5"/>
  <c r="C22" i="5"/>
  <c r="C20" i="5"/>
  <c r="B49" i="6"/>
  <c r="M60" i="6" l="1"/>
  <c r="M92" i="6"/>
  <c r="M93" i="6"/>
  <c r="M94" i="6"/>
  <c r="M95" i="6"/>
  <c r="M96" i="6"/>
  <c r="M97" i="6"/>
  <c r="M98" i="6"/>
  <c r="M99" i="6"/>
  <c r="M100" i="6"/>
  <c r="M101" i="6"/>
  <c r="M102" i="6"/>
  <c r="M103" i="6"/>
  <c r="M104" i="6"/>
  <c r="M105" i="6"/>
  <c r="M91" i="6"/>
  <c r="M70" i="6"/>
  <c r="M71" i="6"/>
  <c r="M72" i="6"/>
  <c r="M73" i="6"/>
  <c r="M74" i="6"/>
  <c r="M75" i="6"/>
  <c r="M76" i="6"/>
  <c r="M77" i="6"/>
  <c r="M78" i="6"/>
  <c r="M79" i="6"/>
  <c r="M80" i="6"/>
  <c r="M81" i="6"/>
  <c r="M82" i="6"/>
  <c r="M83" i="6"/>
  <c r="M69" i="6"/>
  <c r="M49" i="6"/>
  <c r="M50" i="6"/>
  <c r="M51" i="6"/>
  <c r="M52" i="6"/>
  <c r="M53" i="6"/>
  <c r="M54" i="6"/>
  <c r="M56" i="6"/>
  <c r="M57" i="6"/>
  <c r="M58" i="6"/>
  <c r="M59" i="6"/>
  <c r="M61" i="6"/>
  <c r="M47" i="6"/>
  <c r="M39" i="6"/>
  <c r="M38" i="6"/>
  <c r="M37" i="6"/>
  <c r="M36" i="6"/>
  <c r="M34" i="6"/>
  <c r="M33" i="6"/>
  <c r="M32" i="6"/>
  <c r="M31" i="6"/>
  <c r="M30" i="6"/>
  <c r="M29" i="6"/>
  <c r="M28" i="6"/>
  <c r="M26" i="6"/>
  <c r="M27" i="6"/>
  <c r="M25" i="6"/>
  <c r="E5" i="6"/>
  <c r="E6" i="6"/>
  <c r="E7" i="6"/>
  <c r="E8" i="6"/>
  <c r="E9" i="6"/>
  <c r="E10" i="6"/>
  <c r="E11" i="6"/>
  <c r="E12" i="6"/>
  <c r="E14" i="6"/>
  <c r="E15" i="6"/>
  <c r="E16" i="6"/>
  <c r="E17" i="6"/>
  <c r="E3" i="6"/>
  <c r="M17" i="6"/>
  <c r="M5" i="6"/>
  <c r="M6" i="6"/>
  <c r="M7" i="6"/>
  <c r="M8" i="6"/>
  <c r="M9" i="6"/>
  <c r="M10" i="6"/>
  <c r="M11" i="6"/>
  <c r="M12" i="6"/>
  <c r="M13" i="6"/>
  <c r="M14" i="6"/>
  <c r="M15" i="6"/>
  <c r="M16" i="6"/>
  <c r="M3" i="6"/>
  <c r="K92" i="6"/>
  <c r="K93" i="6"/>
  <c r="K94" i="6"/>
  <c r="K95" i="6"/>
  <c r="K96" i="6"/>
  <c r="L96" i="6" s="1"/>
  <c r="K97" i="6"/>
  <c r="L97" i="6" s="1"/>
  <c r="K98" i="6"/>
  <c r="L98" i="6" s="1"/>
  <c r="K99" i="6"/>
  <c r="K100" i="6"/>
  <c r="K101" i="6"/>
  <c r="K102" i="6"/>
  <c r="K103" i="6"/>
  <c r="L103" i="6" s="1"/>
  <c r="K104" i="6"/>
  <c r="L104" i="6" s="1"/>
  <c r="K105" i="6"/>
  <c r="L105" i="6" s="1"/>
  <c r="K91" i="6"/>
  <c r="L91" i="6" s="1"/>
  <c r="L102" i="6"/>
  <c r="L101" i="6"/>
  <c r="L100" i="6"/>
  <c r="L99" i="6"/>
  <c r="L95" i="6"/>
  <c r="L94" i="6"/>
  <c r="L93" i="6"/>
  <c r="L92" i="6"/>
  <c r="K70" i="6"/>
  <c r="K71" i="6"/>
  <c r="L71" i="6" s="1"/>
  <c r="K72" i="6"/>
  <c r="K73" i="6"/>
  <c r="K74" i="6"/>
  <c r="K75" i="6"/>
  <c r="K76" i="6"/>
  <c r="L76" i="6" s="1"/>
  <c r="K77" i="6"/>
  <c r="L77" i="6" s="1"/>
  <c r="K78" i="6"/>
  <c r="K79" i="6"/>
  <c r="L79" i="6" s="1"/>
  <c r="K80" i="6"/>
  <c r="K81" i="6"/>
  <c r="K82" i="6"/>
  <c r="L82" i="6" s="1"/>
  <c r="K83" i="6"/>
  <c r="K69" i="6"/>
  <c r="L69" i="6" s="1"/>
  <c r="L83" i="6"/>
  <c r="L81" i="6"/>
  <c r="L80" i="6"/>
  <c r="L78" i="6"/>
  <c r="L75" i="6"/>
  <c r="L74" i="6"/>
  <c r="L73" i="6"/>
  <c r="L72" i="6"/>
  <c r="L70" i="6"/>
  <c r="K48" i="6"/>
  <c r="K49" i="6"/>
  <c r="K50" i="6"/>
  <c r="K51" i="6"/>
  <c r="L51" i="6" s="1"/>
  <c r="K52" i="6"/>
  <c r="L52" i="6" s="1"/>
  <c r="K53" i="6"/>
  <c r="L53" i="6" s="1"/>
  <c r="K54" i="6"/>
  <c r="L54" i="6" s="1"/>
  <c r="K55" i="6"/>
  <c r="K56" i="6"/>
  <c r="K57" i="6"/>
  <c r="K58" i="6"/>
  <c r="K59" i="6"/>
  <c r="L59" i="6" s="1"/>
  <c r="K60" i="6"/>
  <c r="L60" i="6" s="1"/>
  <c r="K61" i="6"/>
  <c r="L61" i="6" s="1"/>
  <c r="K47" i="6"/>
  <c r="L58" i="6"/>
  <c r="L57" i="6"/>
  <c r="L56" i="6"/>
  <c r="L55" i="6"/>
  <c r="M55" i="6" s="1"/>
  <c r="L50" i="6"/>
  <c r="L49" i="6"/>
  <c r="L47" i="6"/>
  <c r="K26" i="6"/>
  <c r="K27" i="6"/>
  <c r="K28" i="6"/>
  <c r="K29" i="6"/>
  <c r="L29" i="6" s="1"/>
  <c r="K30" i="6"/>
  <c r="L30" i="6" s="1"/>
  <c r="K31" i="6"/>
  <c r="L31" i="6" s="1"/>
  <c r="K32" i="6"/>
  <c r="L32" i="6" s="1"/>
  <c r="K33" i="6"/>
  <c r="K34" i="6"/>
  <c r="K35" i="6"/>
  <c r="K36" i="6"/>
  <c r="K37" i="6"/>
  <c r="L37" i="6" s="1"/>
  <c r="K38" i="6"/>
  <c r="L38" i="6" s="1"/>
  <c r="K39" i="6"/>
  <c r="L39" i="6" s="1"/>
  <c r="K25" i="6"/>
  <c r="L36" i="6"/>
  <c r="L34" i="6"/>
  <c r="L33" i="6"/>
  <c r="L28" i="6"/>
  <c r="L27" i="6"/>
  <c r="L26" i="6"/>
  <c r="L25" i="6"/>
  <c r="D7" i="5"/>
  <c r="K4" i="6"/>
  <c r="K5" i="6"/>
  <c r="K6" i="6"/>
  <c r="L6" i="6" s="1"/>
  <c r="K7" i="6"/>
  <c r="K8" i="6"/>
  <c r="K9" i="6"/>
  <c r="L9" i="6" s="1"/>
  <c r="K10" i="6"/>
  <c r="L10" i="6" s="1"/>
  <c r="K11" i="6"/>
  <c r="K12" i="6"/>
  <c r="K13" i="6"/>
  <c r="K14" i="6"/>
  <c r="L14" i="6" s="1"/>
  <c r="K15" i="6"/>
  <c r="L15" i="6" s="1"/>
  <c r="K16" i="6"/>
  <c r="K17" i="6"/>
  <c r="K3" i="6"/>
  <c r="L16" i="6"/>
  <c r="L17" i="6"/>
  <c r="L8" i="6"/>
  <c r="L5" i="6"/>
  <c r="L13" i="6"/>
  <c r="L12" i="6"/>
  <c r="L11" i="6"/>
  <c r="L7" i="6"/>
  <c r="L3" i="6"/>
  <c r="F7" i="5"/>
  <c r="E7" i="5"/>
  <c r="C7" i="5"/>
  <c r="C17" i="5" s="1"/>
  <c r="B7" i="5"/>
  <c r="C14" i="5" s="1"/>
  <c r="F2" i="5"/>
  <c r="E2" i="5"/>
  <c r="B55" i="3"/>
  <c r="C55" i="3"/>
  <c r="D55" i="3"/>
  <c r="E55" i="3"/>
  <c r="F55" i="3"/>
  <c r="B56" i="3"/>
  <c r="C56" i="3"/>
  <c r="D56" i="3"/>
  <c r="E56" i="3"/>
  <c r="F56" i="3"/>
  <c r="B57" i="3"/>
  <c r="C57" i="3"/>
  <c r="D57" i="3"/>
  <c r="E57" i="3"/>
  <c r="F57" i="3"/>
  <c r="B58" i="3"/>
  <c r="C58" i="3"/>
  <c r="D58" i="3"/>
  <c r="E58" i="3"/>
  <c r="F58" i="3"/>
  <c r="B59" i="3"/>
  <c r="C59" i="3"/>
  <c r="D59" i="3"/>
  <c r="E59" i="3"/>
  <c r="F59" i="3"/>
  <c r="B60" i="3"/>
  <c r="C60" i="3"/>
  <c r="D60" i="3"/>
  <c r="E60" i="3"/>
  <c r="F60" i="3"/>
  <c r="B61" i="3"/>
  <c r="C61" i="3"/>
  <c r="D61" i="3"/>
  <c r="E61" i="3"/>
  <c r="F61" i="3"/>
  <c r="B62" i="3"/>
  <c r="C62" i="3"/>
  <c r="D62" i="3"/>
  <c r="E62" i="3"/>
  <c r="F62" i="3"/>
  <c r="B63" i="3"/>
  <c r="C63" i="3"/>
  <c r="D63" i="3"/>
  <c r="E63" i="3"/>
  <c r="F63" i="3"/>
  <c r="B64" i="3"/>
  <c r="C64" i="3"/>
  <c r="D64" i="3"/>
  <c r="E64" i="3"/>
  <c r="F64" i="3"/>
  <c r="B65" i="3"/>
  <c r="C65" i="3"/>
  <c r="D65" i="3"/>
  <c r="E65" i="3"/>
  <c r="F65" i="3"/>
  <c r="B66" i="3"/>
  <c r="C66" i="3"/>
  <c r="D66" i="3"/>
  <c r="E66" i="3"/>
  <c r="F66" i="3"/>
  <c r="B67" i="3"/>
  <c r="C67" i="3"/>
  <c r="D67" i="3"/>
  <c r="E67" i="3"/>
  <c r="F67" i="3"/>
  <c r="B68" i="3"/>
  <c r="C68" i="3"/>
  <c r="D68" i="3"/>
  <c r="E68" i="3"/>
  <c r="F68" i="3"/>
  <c r="F54" i="3"/>
  <c r="E54" i="3"/>
  <c r="D54" i="3"/>
  <c r="C54" i="3"/>
  <c r="B54" i="3"/>
  <c r="F9" i="5"/>
  <c r="E9" i="5"/>
  <c r="D9" i="5"/>
  <c r="C9" i="5"/>
  <c r="C19" i="5" s="1"/>
  <c r="B9" i="5"/>
  <c r="C16" i="5" s="1"/>
  <c r="G108" i="6"/>
  <c r="G92" i="6"/>
  <c r="H92" i="6" s="1"/>
  <c r="I92" i="6" s="1"/>
  <c r="G93" i="6"/>
  <c r="H93" i="6"/>
  <c r="I93" i="6"/>
  <c r="G94" i="6"/>
  <c r="H94" i="6" s="1"/>
  <c r="I94" i="6" s="1"/>
  <c r="G95" i="6"/>
  <c r="H95" i="6"/>
  <c r="I95" i="6"/>
  <c r="G96" i="6"/>
  <c r="H96" i="6"/>
  <c r="I96" i="6"/>
  <c r="G97" i="6"/>
  <c r="H97" i="6"/>
  <c r="I97" i="6" s="1"/>
  <c r="G98" i="6"/>
  <c r="H98" i="6"/>
  <c r="I98" i="6"/>
  <c r="G99" i="6"/>
  <c r="H99" i="6"/>
  <c r="I99" i="6" s="1"/>
  <c r="G100" i="6"/>
  <c r="H100" i="6" s="1"/>
  <c r="I100" i="6" s="1"/>
  <c r="G101" i="6"/>
  <c r="H101" i="6"/>
  <c r="I101" i="6" s="1"/>
  <c r="G102" i="6"/>
  <c r="H102" i="6" s="1"/>
  <c r="I102" i="6" s="1"/>
  <c r="G103" i="6"/>
  <c r="H103" i="6"/>
  <c r="I103" i="6"/>
  <c r="G104" i="6"/>
  <c r="H104" i="6"/>
  <c r="I104" i="6"/>
  <c r="G105" i="6"/>
  <c r="H105" i="6"/>
  <c r="I105" i="6" s="1"/>
  <c r="G86" i="6"/>
  <c r="G70" i="6"/>
  <c r="H70" i="6"/>
  <c r="I70" i="6"/>
  <c r="G71" i="6"/>
  <c r="H71" i="6" s="1"/>
  <c r="I71" i="6" s="1"/>
  <c r="G85" i="6" s="1"/>
  <c r="G72" i="6"/>
  <c r="H72" i="6" s="1"/>
  <c r="I72" i="6" s="1"/>
  <c r="G73" i="6"/>
  <c r="H73" i="6"/>
  <c r="I73" i="6"/>
  <c r="G74" i="6"/>
  <c r="H74" i="6"/>
  <c r="I74" i="6"/>
  <c r="G75" i="6"/>
  <c r="H75" i="6"/>
  <c r="I75" i="6"/>
  <c r="G76" i="6"/>
  <c r="H76" i="6"/>
  <c r="I76" i="6" s="1"/>
  <c r="G77" i="6"/>
  <c r="H77" i="6"/>
  <c r="I77" i="6" s="1"/>
  <c r="G78" i="6"/>
  <c r="H78" i="6"/>
  <c r="I78" i="6"/>
  <c r="G79" i="6"/>
  <c r="H79" i="6" s="1"/>
  <c r="I79" i="6" s="1"/>
  <c r="G80" i="6"/>
  <c r="H80" i="6" s="1"/>
  <c r="I80" i="6" s="1"/>
  <c r="G81" i="6"/>
  <c r="H81" i="6"/>
  <c r="I81" i="6"/>
  <c r="G82" i="6"/>
  <c r="H82" i="6"/>
  <c r="I82" i="6"/>
  <c r="G83" i="6"/>
  <c r="H83" i="6"/>
  <c r="I83" i="6"/>
  <c r="G48" i="6"/>
  <c r="G49" i="6"/>
  <c r="H49" i="6" s="1"/>
  <c r="I49" i="6" s="1"/>
  <c r="G50" i="6"/>
  <c r="H50" i="6" s="1"/>
  <c r="I50" i="6" s="1"/>
  <c r="G51" i="6"/>
  <c r="H51" i="6"/>
  <c r="I51" i="6"/>
  <c r="G52" i="6"/>
  <c r="H52" i="6" s="1"/>
  <c r="I52" i="6" s="1"/>
  <c r="G53" i="6"/>
  <c r="H53" i="6"/>
  <c r="I53" i="6" s="1"/>
  <c r="G54" i="6"/>
  <c r="H54" i="6"/>
  <c r="I54" i="6" s="1"/>
  <c r="G55" i="6"/>
  <c r="H55" i="6"/>
  <c r="I55" i="6" s="1"/>
  <c r="G56" i="6"/>
  <c r="H56" i="6" s="1"/>
  <c r="I56" i="6" s="1"/>
  <c r="G57" i="6"/>
  <c r="H57" i="6" s="1"/>
  <c r="I57" i="6" s="1"/>
  <c r="G58" i="6"/>
  <c r="H58" i="6" s="1"/>
  <c r="I58" i="6" s="1"/>
  <c r="G59" i="6"/>
  <c r="H59" i="6"/>
  <c r="I59" i="6"/>
  <c r="G60" i="6"/>
  <c r="H60" i="6" s="1"/>
  <c r="I60" i="6" s="1"/>
  <c r="G61" i="6"/>
  <c r="H61" i="6"/>
  <c r="I61" i="6" s="1"/>
  <c r="I91" i="6"/>
  <c r="H91" i="6"/>
  <c r="H69" i="6"/>
  <c r="I69" i="6" s="1"/>
  <c r="H47" i="6"/>
  <c r="I47" i="6" s="1"/>
  <c r="G26" i="6"/>
  <c r="H26" i="6"/>
  <c r="I26" i="6" s="1"/>
  <c r="G27" i="6"/>
  <c r="H27" i="6" s="1"/>
  <c r="I27" i="6" s="1"/>
  <c r="G28" i="6"/>
  <c r="H28" i="6" s="1"/>
  <c r="I28" i="6" s="1"/>
  <c r="G29" i="6"/>
  <c r="H29" i="6" s="1"/>
  <c r="I29" i="6" s="1"/>
  <c r="G30" i="6"/>
  <c r="H30" i="6" s="1"/>
  <c r="I30" i="6" s="1"/>
  <c r="G31" i="6"/>
  <c r="H31" i="6"/>
  <c r="I31" i="6" s="1"/>
  <c r="G32" i="6"/>
  <c r="H32" i="6"/>
  <c r="I32" i="6" s="1"/>
  <c r="G33" i="6"/>
  <c r="H33" i="6"/>
  <c r="I33" i="6" s="1"/>
  <c r="G34" i="6"/>
  <c r="H34" i="6"/>
  <c r="I34" i="6" s="1"/>
  <c r="G35" i="6"/>
  <c r="G36" i="6"/>
  <c r="H36" i="6" s="1"/>
  <c r="I36" i="6" s="1"/>
  <c r="G37" i="6"/>
  <c r="H37" i="6" s="1"/>
  <c r="I37" i="6" s="1"/>
  <c r="G38" i="6"/>
  <c r="H38" i="6" s="1"/>
  <c r="I38" i="6" s="1"/>
  <c r="G39" i="6"/>
  <c r="H39" i="6"/>
  <c r="I39" i="6"/>
  <c r="H25" i="6"/>
  <c r="I25" i="6" s="1"/>
  <c r="G4" i="6"/>
  <c r="G5" i="6"/>
  <c r="H5" i="6"/>
  <c r="I5" i="6" s="1"/>
  <c r="G6" i="6"/>
  <c r="H6" i="6"/>
  <c r="I6" i="6" s="1"/>
  <c r="G7" i="6"/>
  <c r="H7" i="6" s="1"/>
  <c r="I7" i="6" s="1"/>
  <c r="G8" i="6"/>
  <c r="H8" i="6"/>
  <c r="G9" i="6"/>
  <c r="H9" i="6"/>
  <c r="I9" i="6" s="1"/>
  <c r="G10" i="6"/>
  <c r="H10" i="6"/>
  <c r="G11" i="6"/>
  <c r="H11" i="6" s="1"/>
  <c r="I11" i="6" s="1"/>
  <c r="G12" i="6"/>
  <c r="H12" i="6"/>
  <c r="I12" i="6" s="1"/>
  <c r="G13" i="6"/>
  <c r="G14" i="6"/>
  <c r="H14" i="6"/>
  <c r="I14" i="6" s="1"/>
  <c r="G15" i="6"/>
  <c r="H15" i="6" s="1"/>
  <c r="I15" i="6" s="1"/>
  <c r="G16" i="6"/>
  <c r="H16" i="6"/>
  <c r="G17" i="6"/>
  <c r="H17" i="6"/>
  <c r="I17" i="6" s="1"/>
  <c r="H3" i="6"/>
  <c r="I8" i="6"/>
  <c r="I10" i="6"/>
  <c r="I16" i="6"/>
  <c r="I3" i="6"/>
  <c r="G91" i="6"/>
  <c r="G69" i="6"/>
  <c r="G47" i="6"/>
  <c r="G25" i="6"/>
  <c r="G3" i="6"/>
  <c r="F3" i="5"/>
  <c r="E3" i="5"/>
  <c r="F4" i="5"/>
  <c r="E4" i="5"/>
  <c r="B38" i="3"/>
  <c r="C38" i="3"/>
  <c r="D38" i="3"/>
  <c r="E38" i="3"/>
  <c r="F38" i="3"/>
  <c r="B39" i="3"/>
  <c r="C39" i="3"/>
  <c r="D39" i="3"/>
  <c r="E39" i="3"/>
  <c r="F39" i="3"/>
  <c r="B40" i="3"/>
  <c r="C40" i="3"/>
  <c r="D40" i="3"/>
  <c r="E40" i="3"/>
  <c r="F40" i="3"/>
  <c r="B41" i="3"/>
  <c r="C41" i="3"/>
  <c r="D41" i="3"/>
  <c r="E41" i="3"/>
  <c r="F41" i="3"/>
  <c r="B42" i="3"/>
  <c r="C42" i="3"/>
  <c r="D42" i="3"/>
  <c r="E42" i="3"/>
  <c r="F42" i="3"/>
  <c r="B43" i="3"/>
  <c r="C43" i="3"/>
  <c r="D43" i="3"/>
  <c r="E43" i="3"/>
  <c r="F43" i="3"/>
  <c r="B44" i="3"/>
  <c r="C44" i="3"/>
  <c r="D44" i="3"/>
  <c r="E44" i="3"/>
  <c r="F44" i="3"/>
  <c r="B45" i="3"/>
  <c r="C45" i="3"/>
  <c r="D45" i="3"/>
  <c r="E45" i="3"/>
  <c r="F45" i="3"/>
  <c r="B46" i="3"/>
  <c r="C46" i="3"/>
  <c r="D46" i="3"/>
  <c r="E46" i="3"/>
  <c r="F46" i="3"/>
  <c r="B47" i="3"/>
  <c r="C47" i="3"/>
  <c r="D47" i="3"/>
  <c r="E47" i="3"/>
  <c r="F47" i="3"/>
  <c r="B48" i="3"/>
  <c r="C48" i="3"/>
  <c r="D48" i="3"/>
  <c r="E48" i="3"/>
  <c r="F48" i="3"/>
  <c r="B49" i="3"/>
  <c r="C49" i="3"/>
  <c r="D49" i="3"/>
  <c r="E49" i="3"/>
  <c r="F49" i="3"/>
  <c r="B50" i="3"/>
  <c r="C50" i="3"/>
  <c r="D50" i="3"/>
  <c r="E50" i="3"/>
  <c r="F50" i="3"/>
  <c r="B51" i="3"/>
  <c r="C51" i="3"/>
  <c r="D51" i="3"/>
  <c r="E51" i="3"/>
  <c r="F51" i="3"/>
  <c r="F37" i="3"/>
  <c r="E37" i="3"/>
  <c r="D37" i="3"/>
  <c r="C37" i="3"/>
  <c r="B37" i="3"/>
  <c r="B92" i="6"/>
  <c r="C92" i="6"/>
  <c r="B93" i="6"/>
  <c r="C93" i="6"/>
  <c r="B94" i="6"/>
  <c r="C94" i="6"/>
  <c r="B95" i="6"/>
  <c r="C95" i="6"/>
  <c r="B96" i="6"/>
  <c r="C96" i="6"/>
  <c r="B97" i="6"/>
  <c r="C97" i="6"/>
  <c r="B98" i="6"/>
  <c r="C98" i="6"/>
  <c r="B99" i="6"/>
  <c r="C99" i="6"/>
  <c r="B100" i="6"/>
  <c r="C100" i="6"/>
  <c r="B101" i="6"/>
  <c r="C101" i="6"/>
  <c r="B102" i="6"/>
  <c r="C102" i="6"/>
  <c r="B103" i="6"/>
  <c r="C103" i="6"/>
  <c r="B104" i="6"/>
  <c r="C104" i="6"/>
  <c r="B105" i="6"/>
  <c r="C105" i="6"/>
  <c r="B70" i="6"/>
  <c r="C70" i="6"/>
  <c r="B71" i="6"/>
  <c r="C71" i="6"/>
  <c r="B72" i="6"/>
  <c r="C72" i="6"/>
  <c r="B73" i="6"/>
  <c r="C73" i="6"/>
  <c r="B74" i="6"/>
  <c r="C74" i="6"/>
  <c r="B75" i="6"/>
  <c r="C75" i="6"/>
  <c r="B76" i="6"/>
  <c r="C76" i="6"/>
  <c r="B77" i="6"/>
  <c r="C77" i="6"/>
  <c r="B78" i="6"/>
  <c r="C78" i="6"/>
  <c r="B79" i="6"/>
  <c r="C79" i="6"/>
  <c r="B80" i="6"/>
  <c r="C80" i="6"/>
  <c r="D80" i="6" s="1"/>
  <c r="E80" i="6" s="1"/>
  <c r="B81" i="6"/>
  <c r="C81" i="6"/>
  <c r="B82" i="6"/>
  <c r="C82" i="6"/>
  <c r="B83" i="6"/>
  <c r="C83" i="6"/>
  <c r="B48" i="6"/>
  <c r="L48" i="6" s="1"/>
  <c r="M48" i="6" s="1"/>
  <c r="C48" i="6"/>
  <c r="C49" i="6"/>
  <c r="B50" i="6"/>
  <c r="C50" i="6"/>
  <c r="B51" i="6"/>
  <c r="C51" i="6"/>
  <c r="B52" i="6"/>
  <c r="C52" i="6"/>
  <c r="B53" i="6"/>
  <c r="C53" i="6"/>
  <c r="B54" i="6"/>
  <c r="C54" i="6"/>
  <c r="B55" i="6"/>
  <c r="C55" i="6"/>
  <c r="B56" i="6"/>
  <c r="C56" i="6"/>
  <c r="D56" i="6" s="1"/>
  <c r="E56" i="6" s="1"/>
  <c r="B57" i="6"/>
  <c r="C57" i="6"/>
  <c r="B58" i="6"/>
  <c r="C58" i="6"/>
  <c r="B59" i="6"/>
  <c r="C59" i="6"/>
  <c r="B60" i="6"/>
  <c r="C60" i="6"/>
  <c r="B61" i="6"/>
  <c r="C61" i="6"/>
  <c r="C91" i="6"/>
  <c r="C69" i="6"/>
  <c r="C47" i="6"/>
  <c r="B47" i="6"/>
  <c r="B69" i="6"/>
  <c r="B91" i="6"/>
  <c r="B8" i="5"/>
  <c r="C15" i="5" s="1"/>
  <c r="C4" i="6"/>
  <c r="C5" i="6"/>
  <c r="C6" i="6"/>
  <c r="C7" i="6"/>
  <c r="C8" i="6"/>
  <c r="C9" i="6"/>
  <c r="C10" i="6"/>
  <c r="C11" i="6"/>
  <c r="C12" i="6"/>
  <c r="C13" i="6"/>
  <c r="C14" i="6"/>
  <c r="C15" i="6"/>
  <c r="C16" i="6"/>
  <c r="C17" i="6"/>
  <c r="C3" i="6"/>
  <c r="B26" i="6"/>
  <c r="C26" i="6"/>
  <c r="B27" i="6"/>
  <c r="C27" i="6"/>
  <c r="B28" i="6"/>
  <c r="C28" i="6"/>
  <c r="B29" i="6"/>
  <c r="C29" i="6"/>
  <c r="B30" i="6"/>
  <c r="C30" i="6"/>
  <c r="D30" i="6" s="1"/>
  <c r="E30" i="6" s="1"/>
  <c r="B31" i="6"/>
  <c r="C31" i="6"/>
  <c r="B32" i="6"/>
  <c r="C32" i="6"/>
  <c r="B33" i="6"/>
  <c r="C33" i="6"/>
  <c r="B34" i="6"/>
  <c r="C34" i="6"/>
  <c r="D34" i="6" s="1"/>
  <c r="E34" i="6" s="1"/>
  <c r="B35" i="6"/>
  <c r="L35" i="6" s="1"/>
  <c r="M35" i="6" s="1"/>
  <c r="K41" i="6" s="1"/>
  <c r="C35" i="6"/>
  <c r="B36" i="6"/>
  <c r="C36" i="6"/>
  <c r="B37" i="6"/>
  <c r="C37" i="6"/>
  <c r="B38" i="6"/>
  <c r="C38" i="6"/>
  <c r="D38" i="6" s="1"/>
  <c r="E38" i="6" s="1"/>
  <c r="B39" i="6"/>
  <c r="C39" i="6"/>
  <c r="C25" i="6"/>
  <c r="B25" i="6"/>
  <c r="B4" i="6"/>
  <c r="L4" i="6" s="1"/>
  <c r="M4" i="6" s="1"/>
  <c r="B5" i="6"/>
  <c r="B6" i="6"/>
  <c r="B7" i="6"/>
  <c r="B8" i="6"/>
  <c r="B9" i="6"/>
  <c r="B10" i="6"/>
  <c r="B11" i="6"/>
  <c r="B12" i="6"/>
  <c r="B13" i="6"/>
  <c r="H13" i="6" s="1"/>
  <c r="I13" i="6" s="1"/>
  <c r="B14" i="6"/>
  <c r="B15" i="6"/>
  <c r="B16" i="6"/>
  <c r="B17" i="6"/>
  <c r="B3" i="6"/>
  <c r="F8" i="5"/>
  <c r="E8" i="5"/>
  <c r="D8" i="5"/>
  <c r="C8" i="5"/>
  <c r="C18" i="5" s="1"/>
  <c r="B21" i="3"/>
  <c r="C21" i="3"/>
  <c r="D21" i="3"/>
  <c r="E21" i="3"/>
  <c r="F21" i="3"/>
  <c r="B22" i="3"/>
  <c r="C22" i="3"/>
  <c r="D22" i="3"/>
  <c r="E22" i="3"/>
  <c r="F22" i="3"/>
  <c r="B23" i="3"/>
  <c r="C23" i="3"/>
  <c r="D23" i="3"/>
  <c r="E23" i="3"/>
  <c r="F23" i="3"/>
  <c r="B24" i="3"/>
  <c r="C24" i="3"/>
  <c r="D24" i="3"/>
  <c r="E24" i="3"/>
  <c r="F24" i="3"/>
  <c r="B25" i="3"/>
  <c r="C25" i="3"/>
  <c r="D25" i="3"/>
  <c r="E25" i="3"/>
  <c r="F25" i="3"/>
  <c r="B26" i="3"/>
  <c r="C26" i="3"/>
  <c r="D26" i="3"/>
  <c r="E26" i="3"/>
  <c r="F26" i="3"/>
  <c r="B27" i="3"/>
  <c r="C27" i="3"/>
  <c r="D27" i="3"/>
  <c r="E27" i="3"/>
  <c r="F27" i="3"/>
  <c r="B28" i="3"/>
  <c r="C28" i="3"/>
  <c r="D28" i="3"/>
  <c r="E28" i="3"/>
  <c r="F28" i="3"/>
  <c r="B29" i="3"/>
  <c r="C29" i="3"/>
  <c r="D29" i="3"/>
  <c r="E29" i="3"/>
  <c r="F29" i="3"/>
  <c r="B30" i="3"/>
  <c r="C30" i="3"/>
  <c r="D30" i="3"/>
  <c r="E30" i="3"/>
  <c r="F30" i="3"/>
  <c r="B31" i="3"/>
  <c r="C31" i="3"/>
  <c r="D31" i="3"/>
  <c r="E31" i="3"/>
  <c r="F31" i="3"/>
  <c r="B32" i="3"/>
  <c r="C32" i="3"/>
  <c r="D32" i="3"/>
  <c r="E32" i="3"/>
  <c r="F32" i="3"/>
  <c r="B33" i="3"/>
  <c r="C33" i="3"/>
  <c r="D33" i="3"/>
  <c r="E33" i="3"/>
  <c r="F33" i="3"/>
  <c r="B34" i="3"/>
  <c r="C34" i="3"/>
  <c r="D34" i="3"/>
  <c r="E34" i="3"/>
  <c r="F34" i="3"/>
  <c r="F20" i="3"/>
  <c r="E20" i="3"/>
  <c r="D20" i="3"/>
  <c r="C20" i="3"/>
  <c r="B20" i="3"/>
  <c r="C4" i="3"/>
  <c r="D4" i="3"/>
  <c r="E4" i="3"/>
  <c r="F4" i="3"/>
  <c r="B5" i="3"/>
  <c r="C5" i="3"/>
  <c r="D5" i="3"/>
  <c r="E5" i="3"/>
  <c r="F5" i="3"/>
  <c r="C6" i="3"/>
  <c r="D6" i="3"/>
  <c r="E6" i="3"/>
  <c r="F6" i="3"/>
  <c r="B7" i="3"/>
  <c r="C7" i="3"/>
  <c r="D7" i="3"/>
  <c r="E7" i="3"/>
  <c r="F7" i="3"/>
  <c r="B8" i="3"/>
  <c r="C8" i="3"/>
  <c r="D8" i="3"/>
  <c r="E8" i="3"/>
  <c r="F8" i="3"/>
  <c r="B9" i="3"/>
  <c r="C9" i="3"/>
  <c r="D9" i="3"/>
  <c r="E9" i="3"/>
  <c r="F9" i="3"/>
  <c r="B10" i="3"/>
  <c r="C10" i="3"/>
  <c r="D10" i="3"/>
  <c r="E10" i="3"/>
  <c r="F10" i="3"/>
  <c r="B11" i="3"/>
  <c r="C11" i="3"/>
  <c r="D11" i="3"/>
  <c r="E11" i="3"/>
  <c r="F11" i="3"/>
  <c r="C12" i="3"/>
  <c r="D12" i="3"/>
  <c r="E12" i="3"/>
  <c r="F12" i="3"/>
  <c r="B13" i="3"/>
  <c r="C13" i="3"/>
  <c r="D13" i="3"/>
  <c r="E13" i="3"/>
  <c r="F13" i="3"/>
  <c r="C14" i="3"/>
  <c r="D14" i="3"/>
  <c r="E14" i="3"/>
  <c r="F14" i="3"/>
  <c r="B15" i="3"/>
  <c r="C15" i="3"/>
  <c r="D15" i="3"/>
  <c r="E15" i="3"/>
  <c r="F15" i="3"/>
  <c r="B16" i="3"/>
  <c r="C16" i="3"/>
  <c r="D16" i="3"/>
  <c r="E16" i="3"/>
  <c r="F16" i="3"/>
  <c r="B17" i="3"/>
  <c r="C17" i="3"/>
  <c r="D17" i="3"/>
  <c r="E17" i="3"/>
  <c r="F17" i="3"/>
  <c r="F3" i="3"/>
  <c r="E3" i="3"/>
  <c r="D3" i="3"/>
  <c r="C3" i="3"/>
  <c r="J16" i="1"/>
  <c r="N15" i="1"/>
  <c r="K15" i="1"/>
  <c r="L15" i="1"/>
  <c r="N14" i="1"/>
  <c r="K14" i="1"/>
  <c r="L14" i="1"/>
  <c r="J14" i="1"/>
  <c r="J13" i="1"/>
  <c r="N13" i="1"/>
  <c r="L12" i="1"/>
  <c r="N12" i="1"/>
  <c r="L11" i="1"/>
  <c r="K6" i="1"/>
  <c r="N6" i="1"/>
  <c r="C2" i="5" l="1"/>
  <c r="H35" i="6"/>
  <c r="I35" i="6" s="1"/>
  <c r="H4" i="6"/>
  <c r="I4" i="6" s="1"/>
  <c r="G20" i="6" s="1"/>
  <c r="D4" i="5"/>
  <c r="K64" i="6"/>
  <c r="H48" i="6"/>
  <c r="I48" i="6" s="1"/>
  <c r="G64" i="6" s="1"/>
  <c r="D3" i="5"/>
  <c r="C3" i="5"/>
  <c r="C4" i="5"/>
  <c r="D2" i="5"/>
  <c r="K63" i="6"/>
  <c r="K42" i="6"/>
  <c r="K43" i="6" s="1"/>
  <c r="K108" i="6"/>
  <c r="K107" i="6"/>
  <c r="K85" i="6"/>
  <c r="K86" i="6"/>
  <c r="K87" i="6" s="1"/>
  <c r="K20" i="6"/>
  <c r="K19" i="6"/>
  <c r="G107" i="6"/>
  <c r="G109" i="6"/>
  <c r="G87" i="6"/>
  <c r="D69" i="6"/>
  <c r="E69" i="6" s="1"/>
  <c r="D58" i="6"/>
  <c r="E58" i="6" s="1"/>
  <c r="D54" i="6"/>
  <c r="E54" i="6" s="1"/>
  <c r="D50" i="6"/>
  <c r="E50" i="6" s="1"/>
  <c r="D82" i="6"/>
  <c r="E82" i="6" s="1"/>
  <c r="D78" i="6"/>
  <c r="E78" i="6" s="1"/>
  <c r="D74" i="6"/>
  <c r="E74" i="6" s="1"/>
  <c r="D70" i="6"/>
  <c r="E70" i="6" s="1"/>
  <c r="D102" i="6"/>
  <c r="E102" i="6" s="1"/>
  <c r="D98" i="6"/>
  <c r="E98" i="6" s="1"/>
  <c r="D94" i="6"/>
  <c r="E94" i="6" s="1"/>
  <c r="D26" i="6"/>
  <c r="E26" i="6" s="1"/>
  <c r="D35" i="6"/>
  <c r="E35" i="6" s="1"/>
  <c r="D16" i="6"/>
  <c r="D8" i="6"/>
  <c r="D75" i="6"/>
  <c r="E75" i="6" s="1"/>
  <c r="D103" i="6"/>
  <c r="E103" i="6" s="1"/>
  <c r="D25" i="6"/>
  <c r="E25" i="6" s="1"/>
  <c r="D37" i="6"/>
  <c r="E37" i="6" s="1"/>
  <c r="D33" i="6"/>
  <c r="E33" i="6" s="1"/>
  <c r="D29" i="6"/>
  <c r="E29" i="6" s="1"/>
  <c r="D61" i="6"/>
  <c r="E61" i="6" s="1"/>
  <c r="D57" i="6"/>
  <c r="E57" i="6" s="1"/>
  <c r="D53" i="6"/>
  <c r="E53" i="6" s="1"/>
  <c r="D49" i="6"/>
  <c r="E49" i="6" s="1"/>
  <c r="D81" i="6"/>
  <c r="E81" i="6" s="1"/>
  <c r="D77" i="6"/>
  <c r="E77" i="6" s="1"/>
  <c r="D73" i="6"/>
  <c r="E73" i="6" s="1"/>
  <c r="D105" i="6"/>
  <c r="E105" i="6" s="1"/>
  <c r="D101" i="6"/>
  <c r="E101" i="6" s="1"/>
  <c r="D97" i="6"/>
  <c r="E97" i="6" s="1"/>
  <c r="D93" i="6"/>
  <c r="E93" i="6" s="1"/>
  <c r="D11" i="6"/>
  <c r="D3" i="6"/>
  <c r="D10" i="6"/>
  <c r="D76" i="6"/>
  <c r="E76" i="6" s="1"/>
  <c r="D104" i="6"/>
  <c r="E104" i="6" s="1"/>
  <c r="D92" i="6"/>
  <c r="E92" i="6" s="1"/>
  <c r="D27" i="6"/>
  <c r="E27" i="6" s="1"/>
  <c r="D15" i="6"/>
  <c r="D7" i="6"/>
  <c r="D47" i="6"/>
  <c r="E47" i="6" s="1"/>
  <c r="D59" i="6"/>
  <c r="E59" i="6" s="1"/>
  <c r="D55" i="6"/>
  <c r="E55" i="6" s="1"/>
  <c r="D51" i="6"/>
  <c r="E51" i="6" s="1"/>
  <c r="D83" i="6"/>
  <c r="E83" i="6" s="1"/>
  <c r="D71" i="6"/>
  <c r="E71" i="6" s="1"/>
  <c r="D99" i="6"/>
  <c r="E99" i="6" s="1"/>
  <c r="D95" i="6"/>
  <c r="E95" i="6" s="1"/>
  <c r="D39" i="6"/>
  <c r="E39" i="6" s="1"/>
  <c r="D31" i="6"/>
  <c r="E31" i="6" s="1"/>
  <c r="D12" i="6"/>
  <c r="D79" i="6"/>
  <c r="E79" i="6" s="1"/>
  <c r="D91" i="6"/>
  <c r="E91" i="6" s="1"/>
  <c r="D36" i="6"/>
  <c r="E36" i="6" s="1"/>
  <c r="D32" i="6"/>
  <c r="E32" i="6" s="1"/>
  <c r="D28" i="6"/>
  <c r="E28" i="6" s="1"/>
  <c r="D60" i="6"/>
  <c r="E60" i="6" s="1"/>
  <c r="D52" i="6"/>
  <c r="E52" i="6" s="1"/>
  <c r="D48" i="6"/>
  <c r="E48" i="6" s="1"/>
  <c r="D72" i="6"/>
  <c r="E72" i="6" s="1"/>
  <c r="D100" i="6"/>
  <c r="E100" i="6" s="1"/>
  <c r="D96" i="6"/>
  <c r="E96" i="6" s="1"/>
  <c r="D13" i="6"/>
  <c r="E13" i="6" s="1"/>
  <c r="D5" i="6"/>
  <c r="D17" i="6"/>
  <c r="D9" i="6"/>
  <c r="D4" i="6"/>
  <c r="E4" i="6" s="1"/>
  <c r="D14" i="6"/>
  <c r="D6" i="6"/>
  <c r="B3" i="3"/>
  <c r="B14" i="3"/>
  <c r="B6" i="3"/>
  <c r="B12" i="3"/>
  <c r="B4" i="3"/>
  <c r="G41" i="6" l="1"/>
  <c r="G42" i="6"/>
  <c r="G43" i="6" s="1"/>
  <c r="K21" i="6"/>
  <c r="G19" i="6"/>
  <c r="G21" i="6" s="1"/>
  <c r="G63" i="6"/>
  <c r="G65" i="6" s="1"/>
  <c r="K65" i="6"/>
  <c r="B2" i="5"/>
  <c r="B4" i="5"/>
  <c r="B3" i="5"/>
  <c r="K109" i="6"/>
  <c r="C108" i="6"/>
  <c r="C107" i="6"/>
  <c r="C42" i="6"/>
  <c r="C19" i="6"/>
  <c r="C41" i="6"/>
  <c r="C43" i="6" s="1"/>
  <c r="C86" i="6"/>
  <c r="C85" i="6"/>
  <c r="C64" i="6"/>
  <c r="C63" i="6"/>
  <c r="C20" i="6"/>
  <c r="C21" i="6" l="1"/>
  <c r="C109" i="6"/>
  <c r="C87" i="6"/>
  <c r="C65" i="6"/>
</calcChain>
</file>

<file path=xl/sharedStrings.xml><?xml version="1.0" encoding="utf-8"?>
<sst xmlns="http://schemas.openxmlformats.org/spreadsheetml/2006/main" count="781" uniqueCount="158">
  <si>
    <t>Allgemein</t>
  </si>
  <si>
    <t>medium</t>
  </si>
  <si>
    <t>Inwiefern würde ich als Student von einem Studium an der WiSo-Fakultät profitieren?</t>
  </si>
  <si>
    <t>Ein Studium an der WiSo-Fakultät der Universität zu Köln bietet viele Vorteile:  1.  **Umfassende Fächervielfalt**: Die WiSo-Fakultät bietet ein breites Spektrum von Fächern,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absolviertes Bachelorstudium bietet eine gute Grundlage für Ihre berufliche Karriere oder den Zugang zum konsekutiven Master. 4.  **Hervorragende Services und Betreuung**: Das WiSo-Studienberatungszentrum unterstützt Sie bei der Planung Ihres Studienverlaufs, während das WiSo-Career-Service Ihnen bei der Vorbereitung auf Ihren Berufseinstieg hilft. 5.  **Engagiertes Studentenleben**: Die Universität bietet eine dynamische Atmosphäre und viele Möglichkeiten für studentisches Engagement.  Die WiSo-Fakultät ist eine der renommiertesten Einrichtungen für Wirtschafts- und Sozialwissenschaften in Europa, mit einer Vielzahl von Abteilungen und akademischen Mitarbeitern. Sie bietet ein breites Spektrum an Fächern und Möglichkeiten für Auslandsaufenthalte im Rahmen verschiedener Studien- und Austauschprogramme.  Die Fakultät unterhält exzellente Partnerschaften mit führenden Hochschulen auf der ganzen Welt, was es Ihnen ermöglicht, Ihre Studien- und Karriereziele zu erreichen.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</si>
  <si>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</si>
  <si>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</si>
  <si>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</si>
  <si>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</si>
  <si>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hard</t>
  </si>
  <si>
    <t>Welchen Vorteil bietet das Projekt E-PLUS?</t>
  </si>
  <si>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</si>
  <si>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</si>
  <si>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</si>
  <si>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</si>
  <si>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['html', 'pdf', 'pdf', 'pdf', 'pdf']</t>
  </si>
  <si>
    <t>Modulhandbuch/PO</t>
  </si>
  <si>
    <t>Welche Bachelorstudiengänge der WiSo-Fakultät haben ein eigenes Modulhandbuch unter PO 2021?</t>
  </si>
  <si>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</si>
  <si>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</si>
  <si>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</si>
  <si>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</si>
  <si>
    <t>['html', 'html', 'pdf', 'html', 'html']</t>
  </si>
  <si>
    <t>Bachelor-Studium</t>
  </si>
  <si>
    <t>easy</t>
  </si>
  <si>
    <t>Welche Bachelorstudiengänge bietet WiSo-Fakultät allgemein an?</t>
  </si>
  <si>
    <t>Die WiSo-Fakultät der Universität zu Köln bietet folgende Bachelorstudiengänge an:  1.  Betriebswirtschaftslehre 2.  Volkswirtschaftslehre 3.  Management, Economics and Social Sciences 4.  Sozialwissenschaften 5.  Gesundheitsökonomie 6.  Wirtschaftsinformatik 7.  Lehramt Berufskolleg</t>
  </si>
  <si>
    <t>Die WiSo-Fakultät bietet folgende Bachelorprogramme an: Betriebswirtschaftslehre, Volkswirtschaftslehre, Sozialwissenschaften, Management, Economics &amp; Social Sciences, Wirtschaftsinformatik, Gesundheitsökonomie sowie der Lehramts-Bachelor.</t>
  </si>
  <si>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</si>
  <si>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</si>
  <si>
    <t>['html', 'html', 'html', 'html', 'html']</t>
  </si>
  <si>
    <t>Welche Bachelor-Verbundstudiengänge mit WiSo-Beteiligung werden angeboten?</t>
  </si>
  <si>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</si>
  <si>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</si>
  <si>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</si>
  <si>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</si>
  <si>
    <t>Wo finden internationale Studieninteressierte Informationen zum Bewerbungsverfahren für einen WiSo-Bachelor?</t>
  </si>
  <si>
    <t>Die Bewerbung für einen WiSo-Bachelor als internationaler Studieninteressierter kann wie folgt erfolgen:  1.  Besuchen Sie die Website der Universität zu Köln und navigieren Sie zur Fakultät für Wirtschafts- und Sozialwissenschaften (WiSo). 2.  Klicken Sie auf "Bewerbung" oder "Studieninteressierte" und wählen Sie den Bachelor-Studiengang aus, für den Sie sich interessieren. 3.  Lesen Sie die Informationen zum Bewerbungsverfahren und den Anforderungen sorgfältig durch. 4.  Füllen Sie das Online-Bewerbungsformular aus und laden Sie alle erforderlichen Dokumente hoch.  Es ist ratsam, vor der Bewerbung die Website der Universität zu Köln und der WiSo-Fakultät regelmäßig zu besuchen, um sicherzustellen, dass Sie die aktuellsten Informationen haben.</t>
  </si>
  <si>
    <t>Internationale Studieninteressierte sollen sich vor der Bewerbung beim International Office der Universität zu Köln über das Bewerbungsverfahren informieren. Der Link zum International Office ist auf der WiSo-Bachelor-Bewerbungsseite hinterlegt.</t>
  </si>
  <si>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</si>
  <si>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</si>
  <si>
    <t>Studiengang spezifisch</t>
  </si>
  <si>
    <t>Welche Bewerbungsfrist gilt für den Master Studiengang Information Systems?</t>
  </si>
  <si>
    <t>Die Bewerbungsfrist für den Master Studiengang Information Systems ist der 15. Juni.</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</si>
  <si>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</si>
  <si>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</si>
  <si>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</si>
  <si>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</si>
  <si>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die zentralen Kompetenzen und Themen für den Master Information Systems an der WiSo-Köln wie folgt sind:  1. **Globale Strategie**: Die Studierenden sollen in der Lage sein, die internationale Geschäftswelt zu verstehen und erfolgreich zu handhaben. 2. **Globale Führungskraft**: Die Studierenden sollen mit dem Wissen und den Fähigkeiten ausgestattet werden, Menschen über Grenzen hinweg und in multinationalen Teams zu führen. 3. **Unternehmensprojekte**: Die Studierenden sollen die Möglichkeit haben, Theorie und Praxis in kulturell diversen Teams zu integrieren und Unternehmensproblematiken in allen Bereichen zu behandeln.  Darüber hinaus bietet der Master in Information Systems an der WiSo-Köln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</si>
  <si>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</si>
  <si>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</si>
  <si>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</si>
  <si>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FAQ</t>
  </si>
  <si>
    <t>Mein Abiturschnitt erfüllt nicht den NC vom letzten Bewerbungsverfahren für einen WiSo-Bachelorstudiengang. Macht eine Bewerbung trotzdem Sinn?</t>
  </si>
  <si>
    <t>Es tut mir leid, aber ich kann keine Antwort finden, die direkt auf deine Frage "Macht eine Bewerbung trotzdem Sinn, wenn mein Abiturschnitt nicht den NC vom letzten Bewerbungsverfahren für einen WiSo-Bachelorstudiengang erfüllt?" passt.  Ich empfehle dir jedoch, dich an die Studienberatung der Universität zu wenden. Sie können dir genauere Informationen geben und dir helfen, deine Chancen auf Zulassung besser einzuschätzen.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</si>
  <si>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</si>
  <si>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</si>
  <si>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</si>
  <si>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['html', 'html', 'pdf', 'pdf', 'pdf']</t>
  </si>
  <si>
    <t>Ich studiere im Bachelor woanders und möchte an die WiSo Köln wechseln. Was muss ich tun?</t>
  </si>
  <si>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</si>
  <si>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</si>
  <si>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</si>
  <si>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</si>
  <si>
    <t>Welche Vorteile habe ich durch den Master Business Administration Corporate Development an der WiSo-Fakultät ?</t>
  </si>
  <si>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Vielzahl von Kursen an, die Sie in Ihrem Ergänzungsbereich wählen können. Dies ermöglicht Ihnen, Ihre Interessen und Ziele besser zu verfolgen. 4.  **Karrierechancen**: Durch den Masterabschluss sind Sie qualifiziert, Ihre Karriere als Expertin in Unternehmensentwicklung fortzusetzen. Darüber hinaus bietet das Programm die Möglichkeit, sich für ein postgraduales Studium (Ph.D.) zu qualifizieren. 5.  **Netzwerk**: Durch die enge Zusammenarbeit mit Unternehmen und der Teilnahme an Praxisseminaren haben Sie die Gelegenheit, Ihr Netzwerk in der Unternehmensentwicklung auszubauen.  Diese Vorteile ermöglichen es Ihnen, Ihre Kenntnisse und Fähigkeiten zu erweitern und Ihre Karriere in Unternehmensentwicklung erfolgreich fortzusetzen.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</si>
  <si>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</si>
  <si>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</si>
  <si>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</si>
  <si>
    <t>PDF-Spezifisch</t>
  </si>
  <si>
    <t>Wie viele Studenten starten jährlich im Bachelor Studiengang Wirtschaftsinformatik und seit wann gibt es ihn?</t>
  </si>
  <si>
    <t>Die Anzahl der Studierenden im Bachelor-Studiengang Wirtschaftsinformatik variiert von Jahr zu Jahr und ist nicht öffentlich bekannt. Die Universität zu Köln veröffentlicht keine genauen Zahlen über die Anzahl der Studierenden in jedem Studiengang.  Der Bachelor-Studiengang Wirtschaftsinformatik wurde jedoch 2007 eingeführt, als Teil der Fachprüfungsordnung (PO) 2007. Die PO 2021 ist seit dem Wintersemester 2021/22 gültig und bietet eine überarbeitete Struktur des Studiengangs.  Es ist jedoch zu beachten, dass die Anzahl der Studierenden im Bachelor-Studiengang Wirtschaftsinformatik von Jahr zu Jahr variieren kann, je nachdem wie viele Studenten sich für diesen Studiengang entscheiden.</t>
  </si>
  <si>
    <t>Im Bachelor Wirtschaftsinformatik starten jährlich rund 100 Studierende. Der Studiengang besteht bereits seit 2008 und ist sehr erfolgreich, mit mehr als 1.100 Bewerbungen pro Jahr.</t>
  </si>
  <si>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'tschaftsinformatik (für Studierende, die ihr Studium ab dem 01. Oktober 2024 aufgenommen haben) Anhang 6.3: Schwerpunktbereich Wirtschaftsinformatik (für Studierende, die ihr Studium ab dem 01. Oktober 2024 aufgenommen haben) Anhan g 6.4: Bachelorarbeit im Studiengang Wirtschaftsinformatik (für Studierende, die ihr Studium ab dem 01. Oktober 2024 aufgenommen haben) Anhang 6.5: Studium Integrale (für Studierende, die ihr Studium ab dem 01. Oktober 2024 aufgenommen haben) Anhang 7: Übersicht über alle Module der Fachprüfungsordnung --- Page 16 --- Studiengang: Bachelor of Science Betriebswirtschaftslehre Anhang 1.1: Basis - und Aufbaubereich Betriebswirtschaftslehre Im Basis - und Aufbaubereich gemäß § 28 Absatz 1 Nr. 1 müssen die zu Prüfenden 108 LP erwerben. Modul LP P/WP Soll LP BM Accounting I 6 P 90 108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BM Corporate Development II 6 WP 18 BM Finance II 6 WP --- Page 17 --- BM Marketing II 6 WP BM Supply Chain Management II 6 WP --- Page 18 --- Anhang 1.2: Ergänzungsbereich Betriebswirtschaftslehre Im Ergänzungsbereich gemäß § 28 Absatz 1 Nr. 2 müssen die zu Prüfenden 18 LP erwerben. Modul LP P/WP Soll L']</t>
  </si>
  <si>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'file://D:/Uni-Köln/Masterarbeit/Software/uzk-masterarbeit/data/pdf_cache/__wiso.uni-koeln.de_sites_fakultaet_dokumente_PA_po_BPO_WiSo_2021_2025.pdf']</t>
  </si>
  <si>
    <t>Ich plane den M.Sc. International Management (CEMS) in Köln zu studieren. Wie unterscheiden sich das reguläre MIM-Programm und das CEMS-Curriculum konkret im Aufbau und bei den Anforderungen?</t>
  </si>
  <si>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es ermöglicht, eine weltweite Perspektive zu erwerben. 2. **Auslandssemester**: Ein verpflichtendes Auslandssemester an einer der CEMS-Partnerhochschulen ist ein wichtiger Bestandteil des Curriculums. 3. **Praktikum**: Ein internationales Praktikum von mindestens acht Wochen ist Teil des Programms, um die Anpassungsfähigkeit in verschiedenen Ausbildungssituationen zu fördern. 4. **Sprachniveau**: Die Bewerbung für das CEMS-Programm erfordert ein Sprachniveau C1 in Englisch und B1 in einer zweiten CEMS-Sprache, sowie die Vorlage von Kompetenzen in einer dritten Sprache am Ende des Masters. 5. **Netzwerk**: Das CEMS-Netzwerk bietet Zugang zu exklusiven Veranstaltungen, beruflichen Ressourcen und einem globalen Alumni-Netzwerk.  Insgesamt bietet das CEMS-Curriculum eine umfassende internationale Ausbildung im Management mit einer starken Betonung auf Praxis und Networking.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</si>
  <si>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</si>
  <si>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</si>
  <si>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</si>
  <si>
    <t>Was umfasst das Modul „Studies Abroad in Economics III“ im M.Sc. Economics und wie funktioniert die Anerkennung der im Ausland erbrachten Leistungen?</t>
  </si>
  <si>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(https://www.anrechnungwiso.uni-koeln.de/).</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</si>
  <si>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</si>
  <si>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</si>
  <si>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</si>
  <si>
    <t>['pdf', 'pdf', 'pdf', 'pdf', 'pdf']</t>
  </si>
  <si>
    <t>Welche Zugangsvoraussetzungen und fachlichen Anforderungen gelten für den Masterstudiengang Business Administration Marketing an der Universität zu Köln?</t>
  </si>
  <si>
    <t>Basierend auf den Suchergebnissen kann ich dir folgende Informationen geben:  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oder ein gleichwertiges fachlich einschlägiges abgeschlossenes Studium. * Die Gesamtnote des Bachelorstudiums muss mindestens 2,7 betragen.  Fachliche Anforderungen:  * Die Wirtschafts- und Sozialwissenschaftliche Fakultät der Universität zu Köln verleiht aufgrund des erfolgreichen Abschlusses des Masterstudiums den akademischen Grad: Master of Science in Business Administration (M.Sc.). * Das Studium kann nur zu Beginn eines Wintersemesters aufgenommen werden. * Die Zulassungsvoraussetzungen und das Zulassungsverfahren sind in einer eigenen Ordnung der Wirtschafts- und Sozialwissenschaftlichen Fakultät geregelt.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</si>
  <si>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</si>
  <si>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</si>
  <si>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</si>
  <si>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['pdf', 'pdf', 'pdf', 'pdf', 'html']</t>
  </si>
  <si>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</si>
  <si>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</si>
  <si>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</si>
  <si>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</si>
  <si>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</si>
  <si>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</si>
  <si>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</si>
  <si>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</si>
  <si>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</si>
  <si>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</si>
  <si>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</si>
  <si>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</si>
  <si>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</si>
  <si>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</si>
  <si>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</si>
  <si>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bert_f1</t>
  </si>
  <si>
    <t>bert_precision</t>
  </si>
  <si>
    <t>bert_recall</t>
  </si>
  <si>
    <t>RR_at5</t>
  </si>
  <si>
    <t>hit_at5</t>
  </si>
  <si>
    <t>latency</t>
  </si>
  <si>
    <t>prompt_tokens</t>
  </si>
  <si>
    <t>completion_tokens</t>
  </si>
  <si>
    <t>total_tokens</t>
  </si>
  <si>
    <t>reranking_tokens</t>
  </si>
  <si>
    <t>context_count</t>
  </si>
  <si>
    <t>response_time_seconds</t>
  </si>
  <si>
    <t>Semantic Similarity</t>
  </si>
  <si>
    <t>Komplett abweichend</t>
  </si>
  <si>
    <t>Stark abweichend</t>
  </si>
  <si>
    <t>Teilweise ähnlich</t>
  </si>
  <si>
    <t>Annähernd identisch</t>
  </si>
  <si>
    <t>Komplett zutreffend</t>
  </si>
  <si>
    <t>Answer Relevancy</t>
  </si>
  <si>
    <t>Irrelevant</t>
  </si>
  <si>
    <t>Fast Irrelevant</t>
  </si>
  <si>
    <t>Teilweise Relevant</t>
  </si>
  <si>
    <t>Sehr Relevant</t>
  </si>
  <si>
    <t>Absolut Relevant</t>
  </si>
  <si>
    <t>Human</t>
  </si>
  <si>
    <t>ID</t>
  </si>
  <si>
    <t>Rangkorrelation</t>
  </si>
  <si>
    <t>qwen</t>
  </si>
  <si>
    <t>gpt-4.1</t>
  </si>
  <si>
    <t>gpt-5.2</t>
  </si>
  <si>
    <t>gpt-4.1-mini</t>
  </si>
  <si>
    <t>Pearson Korrelation</t>
  </si>
  <si>
    <t>GPT</t>
  </si>
  <si>
    <t>Anzahl Brauchbar</t>
  </si>
  <si>
    <t>Anzahl Unbrauchbar</t>
  </si>
  <si>
    <t>Anzahl 50-50</t>
  </si>
  <si>
    <t>GPT-4.1-mini</t>
  </si>
  <si>
    <t>GPT-5.2</t>
  </si>
  <si>
    <t>Deviation</t>
  </si>
  <si>
    <t>Context entity recall</t>
  </si>
  <si>
    <t>Größer 0,5?</t>
  </si>
  <si>
    <t>Master-Studium</t>
  </si>
  <si>
    <t>Qwen</t>
  </si>
  <si>
    <t>-</t>
  </si>
  <si>
    <t>+</t>
  </si>
  <si>
    <t>context recall</t>
  </si>
  <si>
    <t>context precision</t>
  </si>
  <si>
    <t>context entities recall</t>
  </si>
  <si>
    <t>answer relevancy</t>
  </si>
  <si>
    <t>model</t>
  </si>
  <si>
    <t>preason</t>
  </si>
  <si>
    <t>Share of items
with abs. deviation ≤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</si>
</sst>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4472C4"/>
        <bgColor rgb="FF4472C4"/>
      </patternFill>
    </fill>
    <fill>
      <patternFill patternType="solid">
        <fgColor rgb="FFFFEB9C"/>
        <bgColor rgb="FFFFEB9C"/>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164" fontId="0" fillId="2" borderId="0" xfId="0" applyNumberFormat="1" applyFill="1"/>
    <xf numFmtId="164" fontId="0" fillId="3" borderId="0" xfId="0" applyNumberFormat="1" applyFill="1"/>
    <xf numFmtId="0" fontId="0" fillId="0" borderId="0" xfId="0" applyAlignment="1"/>
    <xf numFmtId="0" fontId="1" fillId="4" borderId="0" xfId="0" applyFont="1" applyFill="1" applyAlignment="1">
      <alignment horizontal="center" vertical="center" wrapText="1"/>
    </xf>
    <xf numFmtId="0" fontId="0" fillId="0" borderId="0" xfId="0" applyAlignment="1">
      <alignment horizontal="center" vertical="center"/>
    </xf>
    <xf numFmtId="0" fontId="0" fillId="0" borderId="0" xfId="0" quotePrefix="1"/>
    <xf numFmtId="164" fontId="0" fillId="5" borderId="0" xfId="0" applyNumberFormat="1" applyFill="1"/>
    <xf numFmtId="164"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
  <sheetViews>
    <sheetView zoomScaleNormal="100" workbookViewId="0">
      <pane xSplit="1" topLeftCell="F1" activePane="topRight" state="frozen"/>
      <selection pane="topRight" activeCell="K12" sqref="K12"/>
    </sheetView>
  </sheetViews>
  <sheetFormatPr baseColWidth="10" defaultColWidth="9.140625" defaultRowHeight="15" x14ac:dyDescent="0.25"/>
  <cols>
    <col min="4" max="4" width="50" customWidth="1"/>
    <col min="5" max="5" width="60" customWidth="1"/>
    <col min="6" max="6" width="50" customWidth="1"/>
    <col min="7" max="7" width="40" customWidth="1"/>
    <col min="11" max="11" width="13" customWidth="1"/>
    <col min="12" max="12" width="15" customWidth="1"/>
    <col min="14" max="14" width="20" customWidth="1"/>
  </cols>
  <sheetData>
    <row r="1" spans="1:27" ht="45" x14ac:dyDescent="0.25">
      <c r="A1" s="5" t="s">
        <v>91</v>
      </c>
      <c r="B1" s="5" t="s">
        <v>92</v>
      </c>
      <c r="C1" s="5" t="s">
        <v>93</v>
      </c>
      <c r="D1" s="5" t="s">
        <v>94</v>
      </c>
      <c r="E1" s="5" t="s">
        <v>95</v>
      </c>
      <c r="F1" s="5" t="s">
        <v>96</v>
      </c>
      <c r="G1" s="5" t="s">
        <v>97</v>
      </c>
      <c r="H1" s="5" t="s">
        <v>98</v>
      </c>
      <c r="I1" s="5" t="s">
        <v>99</v>
      </c>
      <c r="J1" s="5" t="s">
        <v>100</v>
      </c>
      <c r="K1" s="5" t="s">
        <v>101</v>
      </c>
      <c r="L1" s="5" t="s">
        <v>102</v>
      </c>
      <c r="M1" s="5" t="s">
        <v>103</v>
      </c>
      <c r="N1" s="5" t="s">
        <v>104</v>
      </c>
      <c r="O1" s="5" t="s">
        <v>105</v>
      </c>
      <c r="P1" s="5" t="s">
        <v>106</v>
      </c>
      <c r="Q1" s="5" t="s">
        <v>107</v>
      </c>
      <c r="R1" s="5" t="s">
        <v>108</v>
      </c>
      <c r="S1" s="5" t="s">
        <v>109</v>
      </c>
      <c r="T1" s="5" t="s">
        <v>110</v>
      </c>
      <c r="U1" s="5" t="s">
        <v>111</v>
      </c>
      <c r="V1" s="5" t="s">
        <v>112</v>
      </c>
      <c r="W1" s="5" t="s">
        <v>113</v>
      </c>
      <c r="X1" s="5" t="s">
        <v>114</v>
      </c>
      <c r="Y1" s="5" t="s">
        <v>115</v>
      </c>
      <c r="Z1" s="5" t="s">
        <v>116</v>
      </c>
      <c r="AA1" s="5" t="s">
        <v>117</v>
      </c>
    </row>
    <row r="2" spans="1:27" ht="409.5" x14ac:dyDescent="0.25">
      <c r="A2">
        <v>1</v>
      </c>
      <c r="B2" t="s">
        <v>0</v>
      </c>
      <c r="C2" t="s">
        <v>1</v>
      </c>
      <c r="D2" s="1" t="s">
        <v>2</v>
      </c>
      <c r="E2" s="1" t="s">
        <v>3</v>
      </c>
      <c r="F2" s="1" t="s">
        <v>4</v>
      </c>
      <c r="G2" s="1" t="s">
        <v>5</v>
      </c>
      <c r="H2" t="s">
        <v>6</v>
      </c>
      <c r="I2" t="s">
        <v>7</v>
      </c>
      <c r="J2" s="2">
        <v>1</v>
      </c>
      <c r="K2">
        <v>1</v>
      </c>
      <c r="L2">
        <v>0.68</v>
      </c>
      <c r="M2">
        <v>0.67894446195179081</v>
      </c>
      <c r="N2">
        <v>0.45454545454545453</v>
      </c>
      <c r="O2">
        <v>1</v>
      </c>
      <c r="P2">
        <v>0.1023745834827423</v>
      </c>
      <c r="Q2">
        <v>-4.0825743228197098E-2</v>
      </c>
      <c r="R2">
        <v>0.2494480311870575</v>
      </c>
      <c r="S2">
        <v>0</v>
      </c>
      <c r="T2">
        <v>0</v>
      </c>
      <c r="U2">
        <v>50.469219207763672</v>
      </c>
      <c r="V2">
        <v>3217</v>
      </c>
      <c r="W2">
        <v>441</v>
      </c>
      <c r="X2">
        <v>3658</v>
      </c>
      <c r="Y2">
        <v>0</v>
      </c>
      <c r="Z2">
        <v>5</v>
      </c>
      <c r="AA2">
        <v>50.469219207763672</v>
      </c>
    </row>
    <row r="3" spans="1:27" ht="409.5" x14ac:dyDescent="0.25">
      <c r="A3">
        <v>8</v>
      </c>
      <c r="B3" t="s">
        <v>0</v>
      </c>
      <c r="C3" t="s">
        <v>8</v>
      </c>
      <c r="D3" s="1" t="s">
        <v>9</v>
      </c>
      <c r="E3" s="1" t="s">
        <v>10</v>
      </c>
      <c r="F3" s="1" t="s">
        <v>11</v>
      </c>
      <c r="G3" s="1" t="s">
        <v>12</v>
      </c>
      <c r="H3" t="s">
        <v>13</v>
      </c>
      <c r="I3" t="s">
        <v>14</v>
      </c>
      <c r="J3" s="2">
        <v>0</v>
      </c>
      <c r="K3">
        <v>0</v>
      </c>
      <c r="L3">
        <v>0</v>
      </c>
      <c r="M3">
        <v>0.75543240922569643</v>
      </c>
      <c r="N3">
        <v>0</v>
      </c>
      <c r="O3">
        <v>0.25</v>
      </c>
      <c r="P3">
        <v>0.14917925000190729</v>
      </c>
      <c r="Q3">
        <v>0.196212112903595</v>
      </c>
      <c r="R3">
        <v>9.9259786307811737E-2</v>
      </c>
      <c r="S3">
        <v>0</v>
      </c>
      <c r="T3">
        <v>0</v>
      </c>
      <c r="U3">
        <v>13.999557018280029</v>
      </c>
      <c r="V3">
        <v>2978</v>
      </c>
      <c r="W3">
        <v>169</v>
      </c>
      <c r="X3">
        <v>3147</v>
      </c>
      <c r="Y3">
        <v>0</v>
      </c>
      <c r="Z3">
        <v>5</v>
      </c>
      <c r="AA3">
        <v>13.999557018280029</v>
      </c>
    </row>
    <row r="4" spans="1:27" ht="409.5" x14ac:dyDescent="0.25">
      <c r="A4">
        <v>11</v>
      </c>
      <c r="B4" t="s">
        <v>15</v>
      </c>
      <c r="C4" t="s">
        <v>1</v>
      </c>
      <c r="D4" s="1" t="s">
        <v>16</v>
      </c>
      <c r="E4" s="1" t="s">
        <v>17</v>
      </c>
      <c r="F4" s="1" t="s">
        <v>18</v>
      </c>
      <c r="G4" s="1" t="s">
        <v>19</v>
      </c>
      <c r="H4" t="s">
        <v>20</v>
      </c>
      <c r="I4" t="s">
        <v>21</v>
      </c>
      <c r="J4" s="2">
        <v>1</v>
      </c>
      <c r="K4">
        <v>0.33333333333333331</v>
      </c>
      <c r="L4">
        <v>0.32500000000000001</v>
      </c>
      <c r="M4">
        <v>0.78070321845922064</v>
      </c>
      <c r="N4">
        <v>1</v>
      </c>
      <c r="O4">
        <v>1</v>
      </c>
      <c r="P4">
        <v>0.43012413382530212</v>
      </c>
      <c r="Q4">
        <v>0.29123803973197943</v>
      </c>
      <c r="R4">
        <v>0.57347947359085083</v>
      </c>
      <c r="S4">
        <v>0.5</v>
      </c>
      <c r="T4">
        <v>1</v>
      </c>
      <c r="U4">
        <v>14.7056348323822</v>
      </c>
      <c r="V4">
        <v>2914</v>
      </c>
      <c r="W4">
        <v>206</v>
      </c>
      <c r="X4">
        <v>3120</v>
      </c>
      <c r="Y4">
        <v>0</v>
      </c>
      <c r="Z4">
        <v>5</v>
      </c>
      <c r="AA4">
        <v>14.7056348323822</v>
      </c>
    </row>
    <row r="5" spans="1:27" ht="409.5" x14ac:dyDescent="0.25">
      <c r="A5">
        <v>17</v>
      </c>
      <c r="B5" t="s">
        <v>22</v>
      </c>
      <c r="C5" t="s">
        <v>23</v>
      </c>
      <c r="D5" s="1" t="s">
        <v>24</v>
      </c>
      <c r="E5" s="1" t="s">
        <v>25</v>
      </c>
      <c r="F5" s="1" t="s">
        <v>26</v>
      </c>
      <c r="G5" s="1" t="s">
        <v>27</v>
      </c>
      <c r="H5" t="s">
        <v>28</v>
      </c>
      <c r="I5" t="s">
        <v>29</v>
      </c>
      <c r="J5" s="2">
        <v>1</v>
      </c>
      <c r="K5">
        <v>1</v>
      </c>
      <c r="L5">
        <v>0.32500000000000001</v>
      </c>
      <c r="M5">
        <v>0.85747824411634088</v>
      </c>
      <c r="N5">
        <v>1</v>
      </c>
      <c r="O5">
        <v>1</v>
      </c>
      <c r="P5">
        <v>0.59260499477386475</v>
      </c>
      <c r="Q5">
        <v>0.53976047039031982</v>
      </c>
      <c r="R5">
        <v>0.644569993019104</v>
      </c>
      <c r="S5">
        <v>1</v>
      </c>
      <c r="T5">
        <v>1</v>
      </c>
      <c r="U5">
        <v>13.27462935447693</v>
      </c>
      <c r="V5">
        <v>3046</v>
      </c>
      <c r="W5">
        <v>132</v>
      </c>
      <c r="X5">
        <v>3178</v>
      </c>
      <c r="Y5">
        <v>0</v>
      </c>
      <c r="Z5">
        <v>5</v>
      </c>
      <c r="AA5">
        <v>13.27462935447693</v>
      </c>
    </row>
    <row r="6" spans="1:27" ht="409.5" x14ac:dyDescent="0.25">
      <c r="A6">
        <v>20</v>
      </c>
      <c r="B6" t="s">
        <v>22</v>
      </c>
      <c r="C6" t="s">
        <v>8</v>
      </c>
      <c r="D6" s="1" t="s">
        <v>30</v>
      </c>
      <c r="E6" s="1" t="s">
        <v>31</v>
      </c>
      <c r="F6" s="1" t="s">
        <v>32</v>
      </c>
      <c r="G6" s="1" t="s">
        <v>33</v>
      </c>
      <c r="H6" t="s">
        <v>34</v>
      </c>
      <c r="I6" t="s">
        <v>29</v>
      </c>
      <c r="J6" s="2">
        <v>1</v>
      </c>
      <c r="K6">
        <f>6/7</f>
        <v>0.8571428571428571</v>
      </c>
      <c r="L6">
        <v>0.7</v>
      </c>
      <c r="M6">
        <v>0.66610816310372556</v>
      </c>
      <c r="N6">
        <f>6/7</f>
        <v>0.8571428571428571</v>
      </c>
      <c r="O6">
        <v>1</v>
      </c>
      <c r="P6">
        <v>0.14522820711135859</v>
      </c>
      <c r="Q6">
        <v>-6.5234184265136719E-2</v>
      </c>
      <c r="R6">
        <v>0.36939746141433721</v>
      </c>
      <c r="S6">
        <v>1</v>
      </c>
      <c r="T6">
        <v>1</v>
      </c>
      <c r="U6">
        <v>20.277224063873291</v>
      </c>
      <c r="V6">
        <v>3098</v>
      </c>
      <c r="W6">
        <v>330</v>
      </c>
      <c r="X6">
        <v>3428</v>
      </c>
      <c r="Y6">
        <v>0</v>
      </c>
      <c r="Z6">
        <v>5</v>
      </c>
      <c r="AA6">
        <v>20.277224063873291</v>
      </c>
    </row>
    <row r="7" spans="1:27" ht="409.5" x14ac:dyDescent="0.25">
      <c r="A7">
        <v>30</v>
      </c>
      <c r="B7" t="s">
        <v>22</v>
      </c>
      <c r="C7" t="s">
        <v>23</v>
      </c>
      <c r="D7" s="1" t="s">
        <v>35</v>
      </c>
      <c r="E7" s="1" t="s">
        <v>36</v>
      </c>
      <c r="F7" s="1" t="s">
        <v>37</v>
      </c>
      <c r="G7" s="1" t="s">
        <v>38</v>
      </c>
      <c r="H7" t="s">
        <v>39</v>
      </c>
      <c r="I7" t="s">
        <v>29</v>
      </c>
      <c r="J7" s="3">
        <v>0</v>
      </c>
      <c r="K7">
        <v>0</v>
      </c>
      <c r="L7">
        <v>0</v>
      </c>
      <c r="M7">
        <v>0.81118953353510159</v>
      </c>
      <c r="N7">
        <v>0</v>
      </c>
      <c r="O7">
        <v>0.25</v>
      </c>
      <c r="P7">
        <v>0.2437620013952255</v>
      </c>
      <c r="Q7">
        <v>6.1681412160396583E-2</v>
      </c>
      <c r="R7">
        <v>0.43517282605171198</v>
      </c>
      <c r="S7">
        <v>0</v>
      </c>
      <c r="T7">
        <v>0</v>
      </c>
      <c r="U7">
        <v>16.671660423278809</v>
      </c>
      <c r="V7">
        <v>2555</v>
      </c>
      <c r="W7">
        <v>244</v>
      </c>
      <c r="X7">
        <v>2799</v>
      </c>
      <c r="Y7">
        <v>0</v>
      </c>
      <c r="Z7">
        <v>5</v>
      </c>
      <c r="AA7">
        <v>16.671660423278809</v>
      </c>
    </row>
    <row r="8" spans="1:27" ht="409.5" x14ac:dyDescent="0.25">
      <c r="A8">
        <v>33</v>
      </c>
      <c r="B8" t="s">
        <v>40</v>
      </c>
      <c r="C8" t="s">
        <v>23</v>
      </c>
      <c r="D8" s="1" t="s">
        <v>41</v>
      </c>
      <c r="E8" s="1" t="s">
        <v>42</v>
      </c>
      <c r="F8" s="1" t="s">
        <v>43</v>
      </c>
      <c r="G8" s="1" t="s">
        <v>44</v>
      </c>
      <c r="H8" t="s">
        <v>45</v>
      </c>
      <c r="I8" t="s">
        <v>29</v>
      </c>
      <c r="J8" s="2">
        <v>1</v>
      </c>
      <c r="K8">
        <v>1</v>
      </c>
      <c r="L8">
        <v>0.87</v>
      </c>
      <c r="M8">
        <v>0.97693004364314406</v>
      </c>
      <c r="N8">
        <v>1</v>
      </c>
      <c r="O8">
        <v>1</v>
      </c>
      <c r="P8">
        <v>0.72119510173797607</v>
      </c>
      <c r="Q8">
        <v>0.72738325595855713</v>
      </c>
      <c r="R8">
        <v>0.71378558874130249</v>
      </c>
      <c r="S8">
        <v>0.2</v>
      </c>
      <c r="T8">
        <v>1</v>
      </c>
      <c r="U8">
        <v>7.8358101844787598</v>
      </c>
      <c r="V8">
        <v>3332</v>
      </c>
      <c r="W8">
        <v>50</v>
      </c>
      <c r="X8">
        <v>3382</v>
      </c>
      <c r="Y8">
        <v>0</v>
      </c>
      <c r="Z8">
        <v>5</v>
      </c>
      <c r="AA8">
        <v>7.8358101844787598</v>
      </c>
    </row>
    <row r="9" spans="1:27" ht="409.5" x14ac:dyDescent="0.25">
      <c r="A9">
        <v>34</v>
      </c>
      <c r="B9" t="s">
        <v>40</v>
      </c>
      <c r="C9" t="s">
        <v>1</v>
      </c>
      <c r="D9" s="1" t="s">
        <v>46</v>
      </c>
      <c r="E9" s="1" t="s">
        <v>47</v>
      </c>
      <c r="F9" s="1" t="s">
        <v>48</v>
      </c>
      <c r="G9" s="1" t="s">
        <v>49</v>
      </c>
      <c r="H9" t="s">
        <v>50</v>
      </c>
      <c r="I9" t="s">
        <v>7</v>
      </c>
      <c r="J9" s="2">
        <v>0.1</v>
      </c>
      <c r="K9">
        <v>0</v>
      </c>
      <c r="L9">
        <v>0</v>
      </c>
      <c r="M9">
        <v>0.69279487089104497</v>
      </c>
      <c r="N9">
        <v>0</v>
      </c>
      <c r="O9">
        <v>0.25</v>
      </c>
      <c r="P9">
        <v>0.12965008616447449</v>
      </c>
      <c r="Q9">
        <v>1.2952046468853951E-2</v>
      </c>
      <c r="R9">
        <v>0.247585728764534</v>
      </c>
      <c r="S9">
        <v>0.33333333333333331</v>
      </c>
      <c r="T9">
        <v>1</v>
      </c>
      <c r="U9">
        <v>21.815482139587399</v>
      </c>
      <c r="V9">
        <v>2946</v>
      </c>
      <c r="W9">
        <v>324</v>
      </c>
      <c r="X9">
        <v>3270</v>
      </c>
      <c r="Y9">
        <v>0</v>
      </c>
      <c r="Z9">
        <v>5</v>
      </c>
      <c r="AA9">
        <v>21.815482139587399</v>
      </c>
    </row>
    <row r="10" spans="1:27" ht="409.5" x14ac:dyDescent="0.25">
      <c r="A10">
        <v>64</v>
      </c>
      <c r="B10" t="s">
        <v>51</v>
      </c>
      <c r="C10" t="s">
        <v>1</v>
      </c>
      <c r="D10" s="1" t="s">
        <v>52</v>
      </c>
      <c r="E10" s="1" t="s">
        <v>53</v>
      </c>
      <c r="F10" s="1" t="s">
        <v>54</v>
      </c>
      <c r="G10" s="1" t="s">
        <v>55</v>
      </c>
      <c r="H10" t="s">
        <v>56</v>
      </c>
      <c r="I10" t="s">
        <v>57</v>
      </c>
      <c r="J10" s="3">
        <v>0</v>
      </c>
      <c r="K10">
        <v>0</v>
      </c>
      <c r="L10">
        <v>0</v>
      </c>
      <c r="M10">
        <v>0.74945960717485527</v>
      </c>
      <c r="N10">
        <v>0</v>
      </c>
      <c r="O10">
        <v>0</v>
      </c>
      <c r="P10">
        <v>0.1269007325172424</v>
      </c>
      <c r="Q10">
        <v>0.21425299346446991</v>
      </c>
      <c r="R10">
        <v>3.8587123155593872E-2</v>
      </c>
      <c r="S10">
        <v>0</v>
      </c>
      <c r="T10">
        <v>0</v>
      </c>
      <c r="U10">
        <v>13.684484720230101</v>
      </c>
      <c r="V10">
        <v>3525</v>
      </c>
      <c r="W10">
        <v>146</v>
      </c>
      <c r="X10">
        <v>3671</v>
      </c>
      <c r="Y10">
        <v>0</v>
      </c>
      <c r="Z10">
        <v>5</v>
      </c>
      <c r="AA10">
        <v>13.684484720230101</v>
      </c>
    </row>
    <row r="11" spans="1:27" ht="409.5" x14ac:dyDescent="0.25">
      <c r="A11">
        <v>65</v>
      </c>
      <c r="B11" t="s">
        <v>51</v>
      </c>
      <c r="C11" t="s">
        <v>8</v>
      </c>
      <c r="D11" s="1" t="s">
        <v>58</v>
      </c>
      <c r="E11" s="1" t="s">
        <v>59</v>
      </c>
      <c r="F11" s="1" t="s">
        <v>60</v>
      </c>
      <c r="G11" s="1" t="s">
        <v>61</v>
      </c>
      <c r="H11" t="s">
        <v>62</v>
      </c>
      <c r="I11" t="s">
        <v>29</v>
      </c>
      <c r="J11" s="2">
        <v>1</v>
      </c>
      <c r="K11">
        <v>1</v>
      </c>
      <c r="L11">
        <f>5/12</f>
        <v>0.41666666666666669</v>
      </c>
      <c r="M11">
        <v>0.87847315384683133</v>
      </c>
      <c r="N11">
        <v>1</v>
      </c>
      <c r="O11">
        <v>1</v>
      </c>
      <c r="P11">
        <v>0.34514245390892029</v>
      </c>
      <c r="Q11">
        <v>0.49244332313537598</v>
      </c>
      <c r="R11">
        <v>0.20252743363380429</v>
      </c>
      <c r="S11">
        <v>0.33333333333333331</v>
      </c>
      <c r="T11">
        <v>1</v>
      </c>
      <c r="U11">
        <v>18.666863441467289</v>
      </c>
      <c r="V11">
        <v>3190</v>
      </c>
      <c r="W11">
        <v>294</v>
      </c>
      <c r="X11">
        <v>3484</v>
      </c>
      <c r="Y11">
        <v>0</v>
      </c>
      <c r="Z11">
        <v>5</v>
      </c>
      <c r="AA11">
        <v>18.666863441467289</v>
      </c>
    </row>
    <row r="12" spans="1:27" ht="409.5" x14ac:dyDescent="0.25">
      <c r="A12">
        <v>84</v>
      </c>
      <c r="B12" t="s">
        <v>40</v>
      </c>
      <c r="C12" t="s">
        <v>1</v>
      </c>
      <c r="D12" s="1" t="s">
        <v>63</v>
      </c>
      <c r="E12" s="1" t="s">
        <v>64</v>
      </c>
      <c r="F12" s="1" t="s">
        <v>65</v>
      </c>
      <c r="G12" s="1" t="s">
        <v>66</v>
      </c>
      <c r="H12" t="s">
        <v>67</v>
      </c>
      <c r="I12" t="s">
        <v>29</v>
      </c>
      <c r="J12" s="2">
        <f>4/6</f>
        <v>0.66666666666666663</v>
      </c>
      <c r="K12">
        <f>1/6</f>
        <v>0.16666666666666666</v>
      </c>
      <c r="L12">
        <f>3.8/4</f>
        <v>0.95</v>
      </c>
      <c r="M12">
        <v>0.72677234807661806</v>
      </c>
      <c r="N12">
        <f>1/9</f>
        <v>0.1111111111111111</v>
      </c>
      <c r="O12">
        <v>1</v>
      </c>
      <c r="P12">
        <v>8.3757422864437103E-2</v>
      </c>
      <c r="Q12">
        <v>2.40657739341259E-2</v>
      </c>
      <c r="R12">
        <v>0.14063943922519681</v>
      </c>
      <c r="S12">
        <v>0</v>
      </c>
      <c r="T12">
        <v>0</v>
      </c>
      <c r="U12">
        <v>34.379329442977912</v>
      </c>
      <c r="V12">
        <v>2757</v>
      </c>
      <c r="W12">
        <v>396</v>
      </c>
      <c r="X12">
        <v>3153</v>
      </c>
      <c r="Y12">
        <v>0</v>
      </c>
      <c r="Z12">
        <v>5</v>
      </c>
      <c r="AA12">
        <v>34.379329442977912</v>
      </c>
    </row>
    <row r="13" spans="1:27" ht="409.5" x14ac:dyDescent="0.25">
      <c r="A13">
        <v>89</v>
      </c>
      <c r="B13" t="s">
        <v>68</v>
      </c>
      <c r="C13" t="s">
        <v>23</v>
      </c>
      <c r="D13" s="1" t="s">
        <v>69</v>
      </c>
      <c r="E13" s="1" t="s">
        <v>70</v>
      </c>
      <c r="F13" s="1" t="s">
        <v>71</v>
      </c>
      <c r="G13" s="1" t="s">
        <v>72</v>
      </c>
      <c r="H13" t="s">
        <v>73</v>
      </c>
      <c r="I13" t="s">
        <v>57</v>
      </c>
      <c r="J13" s="3">
        <f>1/5</f>
        <v>0.2</v>
      </c>
      <c r="K13">
        <v>0</v>
      </c>
      <c r="L13">
        <v>0</v>
      </c>
      <c r="M13">
        <v>0.67919298340505307</v>
      </c>
      <c r="N13">
        <f>1/4</f>
        <v>0.25</v>
      </c>
      <c r="O13">
        <v>0.25</v>
      </c>
      <c r="P13">
        <v>0.25057855248451227</v>
      </c>
      <c r="Q13">
        <v>0.13420397043228149</v>
      </c>
      <c r="R13">
        <v>0.36860442161560059</v>
      </c>
      <c r="S13">
        <v>0</v>
      </c>
      <c r="T13">
        <v>0</v>
      </c>
      <c r="U13">
        <v>15.13997530937195</v>
      </c>
      <c r="V13">
        <v>3371</v>
      </c>
      <c r="W13">
        <v>212</v>
      </c>
      <c r="X13">
        <v>3583</v>
      </c>
      <c r="Y13">
        <v>0</v>
      </c>
      <c r="Z13">
        <v>5</v>
      </c>
      <c r="AA13">
        <v>15.13997530937195</v>
      </c>
    </row>
    <row r="14" spans="1:27" ht="409.5" x14ac:dyDescent="0.25">
      <c r="A14">
        <v>91</v>
      </c>
      <c r="B14" t="s">
        <v>68</v>
      </c>
      <c r="C14" t="s">
        <v>8</v>
      </c>
      <c r="D14" s="1" t="s">
        <v>74</v>
      </c>
      <c r="E14" s="1" t="s">
        <v>75</v>
      </c>
      <c r="F14" s="1" t="s">
        <v>76</v>
      </c>
      <c r="G14" s="1" t="s">
        <v>77</v>
      </c>
      <c r="H14" t="s">
        <v>78</v>
      </c>
      <c r="I14" t="s">
        <v>29</v>
      </c>
      <c r="J14" s="2">
        <f>5/6</f>
        <v>0.83333333333333337</v>
      </c>
      <c r="K14">
        <f>1/5</f>
        <v>0.2</v>
      </c>
      <c r="L14">
        <f>1/4</f>
        <v>0.25</v>
      </c>
      <c r="M14">
        <v>0.77755782471851909</v>
      </c>
      <c r="N14">
        <f>3/16</f>
        <v>0.1875</v>
      </c>
      <c r="O14">
        <v>0.25</v>
      </c>
      <c r="P14">
        <v>0.13806608319282529</v>
      </c>
      <c r="Q14">
        <v>0.1143933683633804</v>
      </c>
      <c r="R14">
        <v>0.1580808907747269</v>
      </c>
      <c r="S14">
        <v>0</v>
      </c>
      <c r="T14">
        <v>0</v>
      </c>
      <c r="U14">
        <v>24.012253999710079</v>
      </c>
      <c r="V14">
        <v>3542</v>
      </c>
      <c r="W14">
        <v>371</v>
      </c>
      <c r="X14">
        <v>3913</v>
      </c>
      <c r="Y14">
        <v>0</v>
      </c>
      <c r="Z14">
        <v>5</v>
      </c>
      <c r="AA14">
        <v>24.012253999710079</v>
      </c>
    </row>
    <row r="15" spans="1:27" ht="409.5" x14ac:dyDescent="0.25">
      <c r="A15">
        <v>97</v>
      </c>
      <c r="B15" t="s">
        <v>68</v>
      </c>
      <c r="C15" t="s">
        <v>8</v>
      </c>
      <c r="D15" s="1" t="s">
        <v>79</v>
      </c>
      <c r="E15" s="1" t="s">
        <v>80</v>
      </c>
      <c r="F15" s="1" t="s">
        <v>81</v>
      </c>
      <c r="G15" s="1" t="s">
        <v>82</v>
      </c>
      <c r="H15" t="s">
        <v>83</v>
      </c>
      <c r="I15" t="s">
        <v>84</v>
      </c>
      <c r="J15" s="2">
        <v>1</v>
      </c>
      <c r="K15">
        <f>2/3</f>
        <v>0.66666666666666663</v>
      </c>
      <c r="L15">
        <f>0.5</f>
        <v>0.5</v>
      </c>
      <c r="M15">
        <v>0.85774195143187781</v>
      </c>
      <c r="N15">
        <f>6/11</f>
        <v>0.54545454545454541</v>
      </c>
      <c r="O15">
        <v>1</v>
      </c>
      <c r="P15">
        <v>0.36052891612052917</v>
      </c>
      <c r="Q15">
        <v>0.3206789493560791</v>
      </c>
      <c r="R15">
        <v>0.39806205034255981</v>
      </c>
      <c r="S15">
        <v>0</v>
      </c>
      <c r="T15">
        <v>0</v>
      </c>
      <c r="U15">
        <v>17.3415093421936</v>
      </c>
      <c r="V15">
        <v>3595</v>
      </c>
      <c r="W15">
        <v>212</v>
      </c>
      <c r="X15">
        <v>3807</v>
      </c>
      <c r="Y15">
        <v>0</v>
      </c>
      <c r="Z15">
        <v>5</v>
      </c>
      <c r="AA15">
        <v>17.3415093421936</v>
      </c>
    </row>
    <row r="16" spans="1:27" ht="409.5" x14ac:dyDescent="0.25">
      <c r="A16">
        <v>110</v>
      </c>
      <c r="B16" t="s">
        <v>68</v>
      </c>
      <c r="C16" t="s">
        <v>8</v>
      </c>
      <c r="D16" s="1" t="s">
        <v>85</v>
      </c>
      <c r="E16" s="1" t="s">
        <v>86</v>
      </c>
      <c r="F16" s="1" t="s">
        <v>87</v>
      </c>
      <c r="G16" s="1" t="s">
        <v>88</v>
      </c>
      <c r="H16" t="s">
        <v>89</v>
      </c>
      <c r="I16" t="s">
        <v>90</v>
      </c>
      <c r="J16" s="2">
        <f>5/6</f>
        <v>0.83333333333333337</v>
      </c>
      <c r="K16">
        <v>0.25</v>
      </c>
      <c r="L16">
        <v>0.3</v>
      </c>
      <c r="M16">
        <v>0.76590273052317648</v>
      </c>
      <c r="N16">
        <v>0.26315789473684209</v>
      </c>
      <c r="O16">
        <v>1</v>
      </c>
      <c r="P16">
        <v>0.1127152293920517</v>
      </c>
      <c r="Q16">
        <v>6.1601307243108749E-2</v>
      </c>
      <c r="R16">
        <v>0.16079370677471161</v>
      </c>
      <c r="S16">
        <v>0</v>
      </c>
      <c r="T16">
        <v>0</v>
      </c>
      <c r="U16">
        <v>21.333811283111569</v>
      </c>
      <c r="V16">
        <v>3471</v>
      </c>
      <c r="W16">
        <v>347</v>
      </c>
      <c r="X16">
        <v>3818</v>
      </c>
      <c r="Y16">
        <v>0</v>
      </c>
      <c r="Z16">
        <v>5</v>
      </c>
      <c r="AA16">
        <v>21.333811283111569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D45C-B1BC-4401-8AF2-37AF4589760B}">
  <dimension ref="A1:E8"/>
  <sheetViews>
    <sheetView workbookViewId="0">
      <selection sqref="A1:XFD1048576"/>
    </sheetView>
  </sheetViews>
  <sheetFormatPr baseColWidth="10" defaultRowHeight="15" x14ac:dyDescent="0.25"/>
  <cols>
    <col min="1" max="1" width="20.7109375" bestFit="1" customWidth="1"/>
    <col min="2" max="2" width="18" bestFit="1" customWidth="1"/>
    <col min="3" max="3" width="16.5703125" bestFit="1" customWidth="1"/>
    <col min="4" max="4" width="19.5703125" bestFit="1" customWidth="1"/>
    <col min="5" max="5" width="19.28515625" bestFit="1" customWidth="1"/>
  </cols>
  <sheetData>
    <row r="1" spans="1:5" x14ac:dyDescent="0.25">
      <c r="A1" s="6" t="s">
        <v>118</v>
      </c>
      <c r="B1" s="6"/>
      <c r="C1" s="6"/>
      <c r="D1" s="6"/>
      <c r="E1" s="6"/>
    </row>
    <row r="2" spans="1:5" x14ac:dyDescent="0.25">
      <c r="A2" s="6" t="s">
        <v>119</v>
      </c>
      <c r="B2" s="6" t="s">
        <v>120</v>
      </c>
      <c r="C2" s="6" t="s">
        <v>121</v>
      </c>
      <c r="D2" s="6" t="s">
        <v>122</v>
      </c>
      <c r="E2" s="6" t="s">
        <v>123</v>
      </c>
    </row>
    <row r="3" spans="1:5" x14ac:dyDescent="0.25">
      <c r="A3" s="6">
        <v>0</v>
      </c>
      <c r="B3" s="6">
        <v>0.25</v>
      </c>
      <c r="C3" s="6">
        <v>0.5</v>
      </c>
      <c r="D3" s="6">
        <v>0.75</v>
      </c>
      <c r="E3" s="6">
        <v>1</v>
      </c>
    </row>
    <row r="4" spans="1:5" x14ac:dyDescent="0.25">
      <c r="A4" s="6"/>
      <c r="B4" s="6"/>
      <c r="C4" s="6"/>
      <c r="D4" s="6"/>
      <c r="E4" s="6"/>
    </row>
    <row r="5" spans="1:5" x14ac:dyDescent="0.25">
      <c r="A5" s="6"/>
      <c r="B5" s="6"/>
      <c r="C5" s="6"/>
      <c r="D5" s="6"/>
      <c r="E5" s="6"/>
    </row>
    <row r="6" spans="1:5" x14ac:dyDescent="0.25">
      <c r="A6" s="6" t="s">
        <v>124</v>
      </c>
      <c r="B6" s="6"/>
      <c r="C6" s="6"/>
      <c r="D6" s="6"/>
      <c r="E6" s="6"/>
    </row>
    <row r="7" spans="1:5" x14ac:dyDescent="0.25">
      <c r="A7" s="6" t="s">
        <v>125</v>
      </c>
      <c r="B7" s="6" t="s">
        <v>126</v>
      </c>
      <c r="C7" s="6" t="s">
        <v>127</v>
      </c>
      <c r="D7" s="6" t="s">
        <v>128</v>
      </c>
      <c r="E7" s="6" t="s">
        <v>129</v>
      </c>
    </row>
    <row r="8" spans="1:5" x14ac:dyDescent="0.25">
      <c r="A8" s="6">
        <v>0</v>
      </c>
      <c r="B8" s="6">
        <v>0.25</v>
      </c>
      <c r="C8" s="6">
        <v>0.5</v>
      </c>
      <c r="D8" s="6">
        <v>0.75</v>
      </c>
      <c r="E8" s="6">
        <v>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905F6-965A-4A36-B184-1AADCDDDE5F1}">
  <dimension ref="A1:G68"/>
  <sheetViews>
    <sheetView topLeftCell="A35" workbookViewId="0">
      <selection activeCell="B54" sqref="B54:F68"/>
    </sheetView>
  </sheetViews>
  <sheetFormatPr baseColWidth="10" defaultRowHeight="15" x14ac:dyDescent="0.25"/>
  <sheetData>
    <row r="1" spans="1:6" x14ac:dyDescent="0.25">
      <c r="A1" t="s">
        <v>130</v>
      </c>
    </row>
    <row r="2" spans="1:6" x14ac:dyDescent="0.25">
      <c r="A2" t="s">
        <v>131</v>
      </c>
      <c r="B2" t="s">
        <v>100</v>
      </c>
      <c r="C2" t="s">
        <v>101</v>
      </c>
      <c r="D2" t="s">
        <v>102</v>
      </c>
      <c r="E2" t="s">
        <v>104</v>
      </c>
      <c r="F2" t="s">
        <v>105</v>
      </c>
    </row>
    <row r="3" spans="1:6" x14ac:dyDescent="0.25">
      <c r="A3">
        <v>1</v>
      </c>
      <c r="B3">
        <f>_xlfn.RANK.EQ('Human Details'!J2,'Human Details'!$J$2:$J$16)</f>
        <v>1</v>
      </c>
      <c r="C3">
        <f>_xlfn.RANK.EQ('Human Details'!K2,'Human Details'!$K$2:$K$16)</f>
        <v>1</v>
      </c>
      <c r="D3">
        <f>_xlfn.RANK.EQ('Human Details'!L2,'Human Details'!$L$2:$L$16)</f>
        <v>4</v>
      </c>
      <c r="E3">
        <f>_xlfn.RANK.EQ('Human Details'!N2,'Human Details'!$N$2:$N$16)</f>
        <v>7</v>
      </c>
      <c r="F3">
        <f>_xlfn.RANK.EQ('Human Details'!O2,'Human Details'!$O$2:$O$16)</f>
        <v>1</v>
      </c>
    </row>
    <row r="4" spans="1:6" x14ac:dyDescent="0.25">
      <c r="A4">
        <v>8</v>
      </c>
      <c r="B4">
        <f>_xlfn.RANK.EQ('Human Details'!J3,'Human Details'!$J$2:$J$16)</f>
        <v>13</v>
      </c>
      <c r="C4">
        <f>_xlfn.RANK.EQ('Human Details'!K3,'Human Details'!$K$2:$K$16)</f>
        <v>11</v>
      </c>
      <c r="D4">
        <f>_xlfn.RANK.EQ('Human Details'!L3,'Human Details'!$L$2:$L$16)</f>
        <v>11</v>
      </c>
      <c r="E4">
        <f>_xlfn.RANK.EQ('Human Details'!N3,'Human Details'!$N$2:$N$16)</f>
        <v>12</v>
      </c>
      <c r="F4">
        <f>_xlfn.RANK.EQ('Human Details'!O3,'Human Details'!$O$2:$O$16)</f>
        <v>10</v>
      </c>
    </row>
    <row r="5" spans="1:6" x14ac:dyDescent="0.25">
      <c r="A5">
        <v>11</v>
      </c>
      <c r="B5">
        <f>_xlfn.RANK.EQ('Human Details'!J4,'Human Details'!$J$2:$J$16)</f>
        <v>1</v>
      </c>
      <c r="C5">
        <f>_xlfn.RANK.EQ('Human Details'!K4,'Human Details'!$K$2:$K$16)</f>
        <v>7</v>
      </c>
      <c r="D5">
        <f>_xlfn.RANK.EQ('Human Details'!L4,'Human Details'!$L$2:$L$16)</f>
        <v>7</v>
      </c>
      <c r="E5">
        <f>_xlfn.RANK.EQ('Human Details'!N4,'Human Details'!$N$2:$N$16)</f>
        <v>1</v>
      </c>
      <c r="F5">
        <f>_xlfn.RANK.EQ('Human Details'!O4,'Human Details'!$O$2:$O$16)</f>
        <v>1</v>
      </c>
    </row>
    <row r="6" spans="1:6" x14ac:dyDescent="0.25">
      <c r="A6">
        <v>17</v>
      </c>
      <c r="B6">
        <f>_xlfn.RANK.EQ('Human Details'!J5,'Human Details'!$J$2:$J$16)</f>
        <v>1</v>
      </c>
      <c r="C6">
        <f>_xlfn.RANK.EQ('Human Details'!K5,'Human Details'!$K$2:$K$16)</f>
        <v>1</v>
      </c>
      <c r="D6">
        <f>_xlfn.RANK.EQ('Human Details'!L5,'Human Details'!$L$2:$L$16)</f>
        <v>7</v>
      </c>
      <c r="E6">
        <f>_xlfn.RANK.EQ('Human Details'!N5,'Human Details'!$N$2:$N$16)</f>
        <v>1</v>
      </c>
      <c r="F6">
        <f>_xlfn.RANK.EQ('Human Details'!O5,'Human Details'!$O$2:$O$16)</f>
        <v>1</v>
      </c>
    </row>
    <row r="7" spans="1:6" x14ac:dyDescent="0.25">
      <c r="A7">
        <v>20</v>
      </c>
      <c r="B7">
        <f>_xlfn.RANK.EQ('Human Details'!J6,'Human Details'!$J$2:$J$16)</f>
        <v>1</v>
      </c>
      <c r="C7">
        <f>_xlfn.RANK.EQ('Human Details'!K6,'Human Details'!$K$2:$K$16)</f>
        <v>5</v>
      </c>
      <c r="D7">
        <f>_xlfn.RANK.EQ('Human Details'!L6,'Human Details'!$L$2:$L$16)</f>
        <v>3</v>
      </c>
      <c r="E7">
        <f>_xlfn.RANK.EQ('Human Details'!N6,'Human Details'!$N$2:$N$16)</f>
        <v>5</v>
      </c>
      <c r="F7">
        <f>_xlfn.RANK.EQ('Human Details'!O6,'Human Details'!$O$2:$O$16)</f>
        <v>1</v>
      </c>
    </row>
    <row r="8" spans="1:6" x14ac:dyDescent="0.25">
      <c r="A8">
        <v>30</v>
      </c>
      <c r="B8">
        <f>_xlfn.RANK.EQ('Human Details'!J7,'Human Details'!$J$2:$J$16)</f>
        <v>13</v>
      </c>
      <c r="C8">
        <f>_xlfn.RANK.EQ('Human Details'!K7,'Human Details'!$K$2:$K$16)</f>
        <v>11</v>
      </c>
      <c r="D8">
        <f>_xlfn.RANK.EQ('Human Details'!L7,'Human Details'!$L$2:$L$16)</f>
        <v>11</v>
      </c>
      <c r="E8">
        <f>_xlfn.RANK.EQ('Human Details'!N7,'Human Details'!$N$2:$N$16)</f>
        <v>12</v>
      </c>
      <c r="F8">
        <f>_xlfn.RANK.EQ('Human Details'!O7,'Human Details'!$O$2:$O$16)</f>
        <v>10</v>
      </c>
    </row>
    <row r="9" spans="1:6" x14ac:dyDescent="0.25">
      <c r="A9">
        <v>33</v>
      </c>
      <c r="B9">
        <f>_xlfn.RANK.EQ('Human Details'!J8,'Human Details'!$J$2:$J$16)</f>
        <v>1</v>
      </c>
      <c r="C9">
        <f>_xlfn.RANK.EQ('Human Details'!K8,'Human Details'!$K$2:$K$16)</f>
        <v>1</v>
      </c>
      <c r="D9">
        <f>_xlfn.RANK.EQ('Human Details'!L8,'Human Details'!$L$2:$L$16)</f>
        <v>2</v>
      </c>
      <c r="E9">
        <f>_xlfn.RANK.EQ('Human Details'!N8,'Human Details'!$N$2:$N$16)</f>
        <v>1</v>
      </c>
      <c r="F9">
        <f>_xlfn.RANK.EQ('Human Details'!O8,'Human Details'!$O$2:$O$16)</f>
        <v>1</v>
      </c>
    </row>
    <row r="10" spans="1:6" x14ac:dyDescent="0.25">
      <c r="A10">
        <v>34</v>
      </c>
      <c r="B10">
        <f>_xlfn.RANK.EQ('Human Details'!J9,'Human Details'!$J$2:$J$16)</f>
        <v>12</v>
      </c>
      <c r="C10">
        <f>_xlfn.RANK.EQ('Human Details'!K9,'Human Details'!$K$2:$K$16)</f>
        <v>11</v>
      </c>
      <c r="D10">
        <f>_xlfn.RANK.EQ('Human Details'!L9,'Human Details'!$L$2:$L$16)</f>
        <v>11</v>
      </c>
      <c r="E10">
        <f>_xlfn.RANK.EQ('Human Details'!N9,'Human Details'!$N$2:$N$16)</f>
        <v>12</v>
      </c>
      <c r="F10">
        <f>_xlfn.RANK.EQ('Human Details'!O9,'Human Details'!$O$2:$O$16)</f>
        <v>10</v>
      </c>
    </row>
    <row r="11" spans="1:6" x14ac:dyDescent="0.25">
      <c r="A11">
        <v>64</v>
      </c>
      <c r="B11">
        <f>_xlfn.RANK.EQ('Human Details'!J10,'Human Details'!$J$2:$J$16)</f>
        <v>13</v>
      </c>
      <c r="C11">
        <f>_xlfn.RANK.EQ('Human Details'!K10,'Human Details'!$K$2:$K$16)</f>
        <v>11</v>
      </c>
      <c r="D11">
        <f>_xlfn.RANK.EQ('Human Details'!L10,'Human Details'!$L$2:$L$16)</f>
        <v>11</v>
      </c>
      <c r="E11">
        <f>_xlfn.RANK.EQ('Human Details'!N10,'Human Details'!$N$2:$N$16)</f>
        <v>12</v>
      </c>
      <c r="F11">
        <f>_xlfn.RANK.EQ('Human Details'!O10,'Human Details'!$O$2:$O$16)</f>
        <v>15</v>
      </c>
    </row>
    <row r="12" spans="1:6" x14ac:dyDescent="0.25">
      <c r="A12">
        <v>65</v>
      </c>
      <c r="B12">
        <f>_xlfn.RANK.EQ('Human Details'!J11,'Human Details'!$J$2:$J$16)</f>
        <v>1</v>
      </c>
      <c r="C12">
        <f>_xlfn.RANK.EQ('Human Details'!K11,'Human Details'!$K$2:$K$16)</f>
        <v>1</v>
      </c>
      <c r="D12">
        <f>_xlfn.RANK.EQ('Human Details'!L11,'Human Details'!$L$2:$L$16)</f>
        <v>6</v>
      </c>
      <c r="E12">
        <f>_xlfn.RANK.EQ('Human Details'!N11,'Human Details'!$N$2:$N$16)</f>
        <v>1</v>
      </c>
      <c r="F12">
        <f>_xlfn.RANK.EQ('Human Details'!O11,'Human Details'!$O$2:$O$16)</f>
        <v>1</v>
      </c>
    </row>
    <row r="13" spans="1:6" x14ac:dyDescent="0.25">
      <c r="A13">
        <v>84</v>
      </c>
      <c r="B13">
        <f>_xlfn.RANK.EQ('Human Details'!J12,'Human Details'!$J$2:$J$16)</f>
        <v>10</v>
      </c>
      <c r="C13">
        <f>_xlfn.RANK.EQ('Human Details'!K12,'Human Details'!$K$2:$K$16)</f>
        <v>10</v>
      </c>
      <c r="D13">
        <f>_xlfn.RANK.EQ('Human Details'!L12,'Human Details'!$L$2:$L$16)</f>
        <v>1</v>
      </c>
      <c r="E13">
        <f>_xlfn.RANK.EQ('Human Details'!N12,'Human Details'!$N$2:$N$16)</f>
        <v>11</v>
      </c>
      <c r="F13">
        <f>_xlfn.RANK.EQ('Human Details'!O12,'Human Details'!$O$2:$O$16)</f>
        <v>1</v>
      </c>
    </row>
    <row r="14" spans="1:6" x14ac:dyDescent="0.25">
      <c r="A14">
        <v>89</v>
      </c>
      <c r="B14">
        <f>_xlfn.RANK.EQ('Human Details'!J13,'Human Details'!$J$2:$J$16)</f>
        <v>11</v>
      </c>
      <c r="C14">
        <f>_xlfn.RANK.EQ('Human Details'!K13,'Human Details'!$K$2:$K$16)</f>
        <v>11</v>
      </c>
      <c r="D14">
        <f>_xlfn.RANK.EQ('Human Details'!L13,'Human Details'!$L$2:$L$16)</f>
        <v>11</v>
      </c>
      <c r="E14">
        <f>_xlfn.RANK.EQ('Human Details'!N13,'Human Details'!$N$2:$N$16)</f>
        <v>9</v>
      </c>
      <c r="F14">
        <f>_xlfn.RANK.EQ('Human Details'!O13,'Human Details'!$O$2:$O$16)</f>
        <v>10</v>
      </c>
    </row>
    <row r="15" spans="1:6" x14ac:dyDescent="0.25">
      <c r="A15">
        <v>91</v>
      </c>
      <c r="B15">
        <f>_xlfn.RANK.EQ('Human Details'!J14,'Human Details'!$J$2:$J$16)</f>
        <v>8</v>
      </c>
      <c r="C15">
        <f>_xlfn.RANK.EQ('Human Details'!K14,'Human Details'!$K$2:$K$16)</f>
        <v>9</v>
      </c>
      <c r="D15">
        <f>_xlfn.RANK.EQ('Human Details'!L14,'Human Details'!$L$2:$L$16)</f>
        <v>10</v>
      </c>
      <c r="E15">
        <f>_xlfn.RANK.EQ('Human Details'!N14,'Human Details'!$N$2:$N$16)</f>
        <v>10</v>
      </c>
      <c r="F15">
        <f>_xlfn.RANK.EQ('Human Details'!O14,'Human Details'!$O$2:$O$16)</f>
        <v>10</v>
      </c>
    </row>
    <row r="16" spans="1:6" x14ac:dyDescent="0.25">
      <c r="A16">
        <v>97</v>
      </c>
      <c r="B16">
        <f>_xlfn.RANK.EQ('Human Details'!J15,'Human Details'!$J$2:$J$16)</f>
        <v>1</v>
      </c>
      <c r="C16">
        <f>_xlfn.RANK.EQ('Human Details'!K15,'Human Details'!$K$2:$K$16)</f>
        <v>6</v>
      </c>
      <c r="D16">
        <f>_xlfn.RANK.EQ('Human Details'!L15,'Human Details'!$L$2:$L$16)</f>
        <v>5</v>
      </c>
      <c r="E16">
        <f>_xlfn.RANK.EQ('Human Details'!N15,'Human Details'!$N$2:$N$16)</f>
        <v>6</v>
      </c>
      <c r="F16">
        <f>_xlfn.RANK.EQ('Human Details'!O15,'Human Details'!$O$2:$O$16)</f>
        <v>1</v>
      </c>
    </row>
    <row r="17" spans="1:7" x14ac:dyDescent="0.25">
      <c r="A17">
        <v>110</v>
      </c>
      <c r="B17">
        <f>_xlfn.RANK.EQ('Human Details'!J16,'Human Details'!$J$2:$J$16)</f>
        <v>8</v>
      </c>
      <c r="C17">
        <f>_xlfn.RANK.EQ('Human Details'!K16,'Human Details'!$K$2:$K$16)</f>
        <v>8</v>
      </c>
      <c r="D17">
        <f>_xlfn.RANK.EQ('Human Details'!L16,'Human Details'!$L$2:$L$16)</f>
        <v>9</v>
      </c>
      <c r="E17">
        <f>_xlfn.RANK.EQ('Human Details'!N16,'Human Details'!$N$2:$N$16)</f>
        <v>8</v>
      </c>
      <c r="F17">
        <f>_xlfn.RANK.EQ('Human Details'!O16,'Human Details'!$O$2:$O$16)</f>
        <v>1</v>
      </c>
    </row>
    <row r="19" spans="1:7" x14ac:dyDescent="0.25">
      <c r="A19" t="s">
        <v>131</v>
      </c>
      <c r="B19" t="s">
        <v>100</v>
      </c>
      <c r="C19" t="s">
        <v>101</v>
      </c>
      <c r="D19" t="s">
        <v>102</v>
      </c>
      <c r="E19" t="s">
        <v>104</v>
      </c>
      <c r="F19" t="s">
        <v>105</v>
      </c>
      <c r="G19" t="s">
        <v>136</v>
      </c>
    </row>
    <row r="20" spans="1:7" x14ac:dyDescent="0.25">
      <c r="A20">
        <v>1</v>
      </c>
      <c r="B20">
        <f>_xlfn.RANK.EQ('GPT-4.1-mini'!J2,'GPT-4.1-mini'!$J$2:$J$16)</f>
        <v>9</v>
      </c>
      <c r="C20">
        <f>_xlfn.RANK.EQ('GPT-4.1-mini'!K2,'GPT-4.1-mini'!$K$2:$K$16)</f>
        <v>1</v>
      </c>
      <c r="D20">
        <f>_xlfn.RANK.EQ('GPT-4.1-mini'!L2,'GPT-4.1-mini'!$L$2:$L$16)</f>
        <v>7</v>
      </c>
      <c r="E20">
        <f>_xlfn.RANK.EQ('GPT-4.1-mini'!N2,'GPT-4.1-mini'!$N$2:$N$16)</f>
        <v>8</v>
      </c>
      <c r="F20">
        <f>_xlfn.RANK.EQ('GPT-4.1-mini'!O2,'GPT-4.1-mini'!$O$2:$O$16)</f>
        <v>10</v>
      </c>
    </row>
    <row r="21" spans="1:7" x14ac:dyDescent="0.25">
      <c r="A21">
        <v>8</v>
      </c>
      <c r="B21">
        <f>_xlfn.RANK.EQ('GPT-4.1-mini'!J3,'GPT-4.1-mini'!$J$2:$J$16)</f>
        <v>11</v>
      </c>
      <c r="C21">
        <f>_xlfn.RANK.EQ('GPT-4.1-mini'!K3,'GPT-4.1-mini'!$K$2:$K$16)</f>
        <v>11</v>
      </c>
      <c r="D21">
        <f>_xlfn.RANK.EQ('GPT-4.1-mini'!L3,'GPT-4.1-mini'!$L$2:$L$16)</f>
        <v>11</v>
      </c>
      <c r="E21">
        <f>_xlfn.RANK.EQ('GPT-4.1-mini'!N3,'GPT-4.1-mini'!$N$2:$N$16)</f>
        <v>12</v>
      </c>
      <c r="F21">
        <f>_xlfn.RANK.EQ('GPT-4.1-mini'!O3,'GPT-4.1-mini'!$O$2:$O$16)</f>
        <v>3</v>
      </c>
    </row>
    <row r="22" spans="1:7" x14ac:dyDescent="0.25">
      <c r="A22">
        <v>11</v>
      </c>
      <c r="B22">
        <f>_xlfn.RANK.EQ('GPT-4.1-mini'!J4,'GPT-4.1-mini'!$J$2:$J$16)</f>
        <v>1</v>
      </c>
      <c r="C22">
        <f>_xlfn.RANK.EQ('GPT-4.1-mini'!K4,'GPT-4.1-mini'!$K$2:$K$16)</f>
        <v>1</v>
      </c>
      <c r="D22">
        <f>_xlfn.RANK.EQ('GPT-4.1-mini'!L4,'GPT-4.1-mini'!$L$2:$L$16)</f>
        <v>2</v>
      </c>
      <c r="E22">
        <f>_xlfn.RANK.EQ('GPT-4.1-mini'!N4,'GPT-4.1-mini'!$N$2:$N$16)</f>
        <v>6</v>
      </c>
      <c r="F22">
        <f>_xlfn.RANK.EQ('GPT-4.1-mini'!O4,'GPT-4.1-mini'!$O$2:$O$16)</f>
        <v>1</v>
      </c>
    </row>
    <row r="23" spans="1:7" x14ac:dyDescent="0.25">
      <c r="A23">
        <v>17</v>
      </c>
      <c r="B23">
        <f>_xlfn.RANK.EQ('GPT-4.1-mini'!J5,'GPT-4.1-mini'!$J$2:$J$16)</f>
        <v>1</v>
      </c>
      <c r="C23">
        <f>_xlfn.RANK.EQ('GPT-4.1-mini'!K5,'GPT-4.1-mini'!$K$2:$K$16)</f>
        <v>1</v>
      </c>
      <c r="D23">
        <f>_xlfn.RANK.EQ('GPT-4.1-mini'!L5,'GPT-4.1-mini'!$L$2:$L$16)</f>
        <v>9</v>
      </c>
      <c r="E23">
        <f>_xlfn.RANK.EQ('GPT-4.1-mini'!N5,'GPT-4.1-mini'!$N$2:$N$16)</f>
        <v>3</v>
      </c>
      <c r="F23">
        <f>_xlfn.RANK.EQ('GPT-4.1-mini'!O5,'GPT-4.1-mini'!$O$2:$O$16)</f>
        <v>9</v>
      </c>
    </row>
    <row r="24" spans="1:7" x14ac:dyDescent="0.25">
      <c r="A24">
        <v>20</v>
      </c>
      <c r="B24">
        <f>_xlfn.RANK.EQ('GPT-4.1-mini'!J6,'GPT-4.1-mini'!$J$2:$J$16)</f>
        <v>1</v>
      </c>
      <c r="C24">
        <f>_xlfn.RANK.EQ('GPT-4.1-mini'!K6,'GPT-4.1-mini'!$K$2:$K$16)</f>
        <v>7</v>
      </c>
      <c r="D24">
        <f>_xlfn.RANK.EQ('GPT-4.1-mini'!L6,'GPT-4.1-mini'!$L$2:$L$16)</f>
        <v>5</v>
      </c>
      <c r="E24">
        <f>_xlfn.RANK.EQ('GPT-4.1-mini'!N6,'GPT-4.1-mini'!$N$2:$N$16)</f>
        <v>2</v>
      </c>
      <c r="F24">
        <f>_xlfn.RANK.EQ('GPT-4.1-mini'!O6,'GPT-4.1-mini'!$O$2:$O$16)</f>
        <v>11</v>
      </c>
    </row>
    <row r="25" spans="1:7" x14ac:dyDescent="0.25">
      <c r="A25">
        <v>30</v>
      </c>
      <c r="B25">
        <f>_xlfn.RANK.EQ('GPT-4.1-mini'!J7,'GPT-4.1-mini'!$J$2:$J$16)</f>
        <v>14</v>
      </c>
      <c r="C25">
        <f>_xlfn.RANK.EQ('GPT-4.1-mini'!K7,'GPT-4.1-mini'!$K$2:$K$16)</f>
        <v>11</v>
      </c>
      <c r="D25">
        <f>_xlfn.RANK.EQ('GPT-4.1-mini'!L7,'GPT-4.1-mini'!$L$2:$L$16)</f>
        <v>11</v>
      </c>
      <c r="E25">
        <f>_xlfn.RANK.EQ('GPT-4.1-mini'!N7,'GPT-4.1-mini'!$N$2:$N$16)</f>
        <v>12</v>
      </c>
      <c r="F25">
        <f>_xlfn.RANK.EQ('GPT-4.1-mini'!O7,'GPT-4.1-mini'!$O$2:$O$16)</f>
        <v>12</v>
      </c>
    </row>
    <row r="26" spans="1:7" x14ac:dyDescent="0.25">
      <c r="A26">
        <v>33</v>
      </c>
      <c r="B26">
        <f>_xlfn.RANK.EQ('GPT-4.1-mini'!J8,'GPT-4.1-mini'!$J$2:$J$16)</f>
        <v>1</v>
      </c>
      <c r="C26">
        <f>_xlfn.RANK.EQ('GPT-4.1-mini'!K8,'GPT-4.1-mini'!$K$2:$K$16)</f>
        <v>1</v>
      </c>
      <c r="D26">
        <f>_xlfn.RANK.EQ('GPT-4.1-mini'!L8,'GPT-4.1-mini'!$L$2:$L$16)</f>
        <v>3</v>
      </c>
      <c r="E26">
        <f>_xlfn.RANK.EQ('GPT-4.1-mini'!N8,'GPT-4.1-mini'!$N$2:$N$16)</f>
        <v>1</v>
      </c>
      <c r="F26">
        <f>_xlfn.RANK.EQ('GPT-4.1-mini'!O8,'GPT-4.1-mini'!$O$2:$O$16)</f>
        <v>4</v>
      </c>
    </row>
    <row r="27" spans="1:7" x14ac:dyDescent="0.25">
      <c r="A27">
        <v>34</v>
      </c>
      <c r="B27">
        <f>_xlfn.RANK.EQ('GPT-4.1-mini'!J9,'GPT-4.1-mini'!$J$2:$J$16)</f>
        <v>12</v>
      </c>
      <c r="C27">
        <f>_xlfn.RANK.EQ('GPT-4.1-mini'!K9,'GPT-4.1-mini'!$K$2:$K$16)</f>
        <v>11</v>
      </c>
      <c r="D27">
        <f>_xlfn.RANK.EQ('GPT-4.1-mini'!L9,'GPT-4.1-mini'!$L$2:$L$16)</f>
        <v>11</v>
      </c>
      <c r="E27">
        <f>_xlfn.RANK.EQ('GPT-4.1-mini'!N9,'GPT-4.1-mini'!$N$2:$N$16)</f>
        <v>12</v>
      </c>
      <c r="F27">
        <f>_xlfn.RANK.EQ('GPT-4.1-mini'!O9,'GPT-4.1-mini'!$O$2:$O$16)</f>
        <v>7</v>
      </c>
    </row>
    <row r="28" spans="1:7" x14ac:dyDescent="0.25">
      <c r="A28">
        <v>64</v>
      </c>
      <c r="B28">
        <f>_xlfn.RANK.EQ('GPT-4.1-mini'!J10,'GPT-4.1-mini'!$J$2:$J$16)</f>
        <v>15</v>
      </c>
      <c r="C28">
        <f>_xlfn.RANK.EQ('GPT-4.1-mini'!K10,'GPT-4.1-mini'!$K$2:$K$16)</f>
        <v>9</v>
      </c>
      <c r="D28">
        <f>_xlfn.RANK.EQ('GPT-4.1-mini'!L10,'GPT-4.1-mini'!$L$2:$L$16)</f>
        <v>11</v>
      </c>
      <c r="E28">
        <f>_xlfn.RANK.EQ('GPT-4.1-mini'!N10,'GPT-4.1-mini'!$N$2:$N$16)</f>
        <v>12</v>
      </c>
      <c r="F28">
        <f>_xlfn.RANK.EQ('GPT-4.1-mini'!O10,'GPT-4.1-mini'!$O$2:$O$16)</f>
        <v>14</v>
      </c>
    </row>
    <row r="29" spans="1:7" x14ac:dyDescent="0.25">
      <c r="A29">
        <v>65</v>
      </c>
      <c r="B29">
        <f>_xlfn.RANK.EQ('GPT-4.1-mini'!J11,'GPT-4.1-mini'!$J$2:$J$16)</f>
        <v>1</v>
      </c>
      <c r="C29">
        <f>_xlfn.RANK.EQ('GPT-4.1-mini'!K11,'GPT-4.1-mini'!$K$2:$K$16)</f>
        <v>1</v>
      </c>
      <c r="D29">
        <f>_xlfn.RANK.EQ('GPT-4.1-mini'!L11,'GPT-4.1-mini'!$L$2:$L$16)</f>
        <v>7</v>
      </c>
      <c r="E29">
        <f>_xlfn.RANK.EQ('GPT-4.1-mini'!N11,'GPT-4.1-mini'!$N$2:$N$16)</f>
        <v>5</v>
      </c>
      <c r="F29">
        <f>_xlfn.RANK.EQ('GPT-4.1-mini'!O11,'GPT-4.1-mini'!$O$2:$O$16)</f>
        <v>13</v>
      </c>
    </row>
    <row r="30" spans="1:7" x14ac:dyDescent="0.25">
      <c r="A30">
        <v>84</v>
      </c>
      <c r="B30">
        <f>_xlfn.RANK.EQ('GPT-4.1-mini'!J12,'GPT-4.1-mini'!$J$2:$J$16)</f>
        <v>10</v>
      </c>
      <c r="C30">
        <f>_xlfn.RANK.EQ('GPT-4.1-mini'!K12,'GPT-4.1-mini'!$K$2:$K$16)</f>
        <v>8</v>
      </c>
      <c r="D30">
        <f>_xlfn.RANK.EQ('GPT-4.1-mini'!L12,'GPT-4.1-mini'!$L$2:$L$16)</f>
        <v>3</v>
      </c>
      <c r="E30">
        <f>_xlfn.RANK.EQ('GPT-4.1-mini'!N12,'GPT-4.1-mini'!$N$2:$N$16)</f>
        <v>10</v>
      </c>
      <c r="F30">
        <f>_xlfn.RANK.EQ('GPT-4.1-mini'!O12,'GPT-4.1-mini'!$O$2:$O$16)</f>
        <v>5</v>
      </c>
    </row>
    <row r="31" spans="1:7" x14ac:dyDescent="0.25">
      <c r="A31">
        <v>89</v>
      </c>
      <c r="B31">
        <f>_xlfn.RANK.EQ('GPT-4.1-mini'!J13,'GPT-4.1-mini'!$J$2:$J$16)</f>
        <v>13</v>
      </c>
      <c r="C31">
        <f>_xlfn.RANK.EQ('GPT-4.1-mini'!K13,'GPT-4.1-mini'!$K$2:$K$16)</f>
        <v>11</v>
      </c>
      <c r="D31">
        <f>_xlfn.RANK.EQ('GPT-4.1-mini'!L13,'GPT-4.1-mini'!$L$2:$L$16)</f>
        <v>11</v>
      </c>
      <c r="E31">
        <f>_xlfn.RANK.EQ('GPT-4.1-mini'!N13,'GPT-4.1-mini'!$N$2:$N$16)</f>
        <v>4</v>
      </c>
      <c r="F31">
        <f>_xlfn.RANK.EQ('GPT-4.1-mini'!O13,'GPT-4.1-mini'!$O$2:$O$16)</f>
        <v>14</v>
      </c>
    </row>
    <row r="32" spans="1:7" x14ac:dyDescent="0.25">
      <c r="A32">
        <v>91</v>
      </c>
      <c r="B32">
        <f>_xlfn.RANK.EQ('GPT-4.1-mini'!J14,'GPT-4.1-mini'!$J$2:$J$16)</f>
        <v>1</v>
      </c>
      <c r="C32">
        <f>_xlfn.RANK.EQ('GPT-4.1-mini'!K14,'GPT-4.1-mini'!$K$2:$K$16)</f>
        <v>10</v>
      </c>
      <c r="D32">
        <f>_xlfn.RANK.EQ('GPT-4.1-mini'!L14,'GPT-4.1-mini'!$L$2:$L$16)</f>
        <v>9</v>
      </c>
      <c r="E32">
        <f>_xlfn.RANK.EQ('GPT-4.1-mini'!N14,'GPT-4.1-mini'!$N$2:$N$16)</f>
        <v>9</v>
      </c>
      <c r="F32">
        <f>_xlfn.RANK.EQ('GPT-4.1-mini'!O14,'GPT-4.1-mini'!$O$2:$O$16)</f>
        <v>8</v>
      </c>
    </row>
    <row r="33" spans="1:7" x14ac:dyDescent="0.25">
      <c r="A33">
        <v>97</v>
      </c>
      <c r="B33">
        <f>_xlfn.RANK.EQ('GPT-4.1-mini'!J15,'GPT-4.1-mini'!$J$2:$J$16)</f>
        <v>1</v>
      </c>
      <c r="C33">
        <f>_xlfn.RANK.EQ('GPT-4.1-mini'!K15,'GPT-4.1-mini'!$K$2:$K$16)</f>
        <v>6</v>
      </c>
      <c r="D33">
        <f>_xlfn.RANK.EQ('GPT-4.1-mini'!L15,'GPT-4.1-mini'!$L$2:$L$16)</f>
        <v>1</v>
      </c>
      <c r="E33">
        <f>_xlfn.RANK.EQ('GPT-4.1-mini'!N15,'GPT-4.1-mini'!$N$2:$N$16)</f>
        <v>7</v>
      </c>
      <c r="F33">
        <f>_xlfn.RANK.EQ('GPT-4.1-mini'!O15,'GPT-4.1-mini'!$O$2:$O$16)</f>
        <v>2</v>
      </c>
    </row>
    <row r="34" spans="1:7" x14ac:dyDescent="0.25">
      <c r="A34">
        <v>110</v>
      </c>
      <c r="B34">
        <f>_xlfn.RANK.EQ('GPT-4.1-mini'!J16,'GPT-4.1-mini'!$J$2:$J$16)</f>
        <v>1</v>
      </c>
      <c r="C34">
        <f>_xlfn.RANK.EQ('GPT-4.1-mini'!K16,'GPT-4.1-mini'!$K$2:$K$16)</f>
        <v>11</v>
      </c>
      <c r="D34">
        <f>_xlfn.RANK.EQ('GPT-4.1-mini'!L16,'GPT-4.1-mini'!$L$2:$L$16)</f>
        <v>6</v>
      </c>
      <c r="E34">
        <f>_xlfn.RANK.EQ('GPT-4.1-mini'!N16,'GPT-4.1-mini'!$N$2:$N$16)</f>
        <v>11</v>
      </c>
      <c r="F34">
        <f>_xlfn.RANK.EQ('GPT-4.1-mini'!O16,'GPT-4.1-mini'!$O$2:$O$16)</f>
        <v>6</v>
      </c>
    </row>
    <row r="36" spans="1:7" x14ac:dyDescent="0.25">
      <c r="A36" t="s">
        <v>131</v>
      </c>
      <c r="B36" t="s">
        <v>100</v>
      </c>
      <c r="C36" t="s">
        <v>101</v>
      </c>
      <c r="D36" t="s">
        <v>102</v>
      </c>
      <c r="E36" t="s">
        <v>104</v>
      </c>
      <c r="F36" t="s">
        <v>105</v>
      </c>
      <c r="G36" t="s">
        <v>135</v>
      </c>
    </row>
    <row r="37" spans="1:7" x14ac:dyDescent="0.25">
      <c r="A37">
        <v>1</v>
      </c>
      <c r="B37">
        <f>_xlfn.RANK.EQ('GPT-5.2'!J2,'GPT-5.2'!$J$2:$J$16)</f>
        <v>5</v>
      </c>
      <c r="C37">
        <f>_xlfn.RANK.EQ('GPT-5.2'!K2,'GPT-5.2'!$K$2:$K$16)</f>
        <v>8</v>
      </c>
      <c r="D37">
        <f>_xlfn.RANK.EQ('GPT-5.2'!L2,'GPT-5.2'!$L$2:$L$16)</f>
        <v>6</v>
      </c>
      <c r="E37">
        <f>_xlfn.RANK.EQ('GPT-5.2'!N2,'GPT-5.2'!$N$2:$N$16)</f>
        <v>1</v>
      </c>
      <c r="F37">
        <f>_xlfn.RANK.EQ('GPT-5.2'!O2,'GPT-5.2'!$O$2:$O$16)</f>
        <v>10</v>
      </c>
    </row>
    <row r="38" spans="1:7" x14ac:dyDescent="0.25">
      <c r="A38">
        <v>8</v>
      </c>
      <c r="B38">
        <f>_xlfn.RANK.EQ('GPT-5.2'!J3,'GPT-5.2'!$J$2:$J$16)</f>
        <v>12</v>
      </c>
      <c r="C38">
        <f>_xlfn.RANK.EQ('GPT-5.2'!K3,'GPT-5.2'!$K$2:$K$16)</f>
        <v>8</v>
      </c>
      <c r="D38">
        <f>_xlfn.RANK.EQ('GPT-5.2'!L3,'GPT-5.2'!$L$2:$L$16)</f>
        <v>11</v>
      </c>
      <c r="E38">
        <f>_xlfn.RANK.EQ('GPT-5.2'!N3,'GPT-5.2'!$N$2:$N$16)</f>
        <v>11</v>
      </c>
      <c r="F38">
        <f>_xlfn.RANK.EQ('GPT-5.2'!O3,'GPT-5.2'!$O$2:$O$16)</f>
        <v>6</v>
      </c>
    </row>
    <row r="39" spans="1:7" x14ac:dyDescent="0.25">
      <c r="A39">
        <v>11</v>
      </c>
      <c r="B39">
        <f>_xlfn.RANK.EQ('GPT-5.2'!J4,'GPT-5.2'!$J$2:$J$16)</f>
        <v>6</v>
      </c>
      <c r="C39">
        <f>_xlfn.RANK.EQ('GPT-5.2'!K4,'GPT-5.2'!$K$2:$K$16)</f>
        <v>1</v>
      </c>
      <c r="D39">
        <f>_xlfn.RANK.EQ('GPT-5.2'!L4,'GPT-5.2'!$L$2:$L$16)</f>
        <v>1</v>
      </c>
      <c r="E39">
        <f>_xlfn.RANK.EQ('GPT-5.2'!N4,'GPT-5.2'!$N$2:$N$16)</f>
        <v>2</v>
      </c>
      <c r="F39">
        <f>_xlfn.RANK.EQ('GPT-5.2'!O4,'GPT-5.2'!$O$2:$O$16)</f>
        <v>1</v>
      </c>
    </row>
    <row r="40" spans="1:7" x14ac:dyDescent="0.25">
      <c r="A40">
        <v>17</v>
      </c>
      <c r="B40">
        <f>_xlfn.RANK.EQ('GPT-5.2'!J5,'GPT-5.2'!$J$2:$J$16)</f>
        <v>1</v>
      </c>
      <c r="C40">
        <f>_xlfn.RANK.EQ('GPT-5.2'!K5,'GPT-5.2'!$K$2:$K$16)</f>
        <v>1</v>
      </c>
      <c r="D40">
        <f>_xlfn.RANK.EQ('GPT-5.2'!L5,'GPT-5.2'!$L$2:$L$16)</f>
        <v>9</v>
      </c>
      <c r="E40">
        <f>_xlfn.RANK.EQ('GPT-5.2'!N5,'GPT-5.2'!$N$2:$N$16)</f>
        <v>3</v>
      </c>
      <c r="F40">
        <f>_xlfn.RANK.EQ('GPT-5.2'!O5,'GPT-5.2'!$O$2:$O$16)</f>
        <v>9</v>
      </c>
    </row>
    <row r="41" spans="1:7" x14ac:dyDescent="0.25">
      <c r="A41">
        <v>20</v>
      </c>
      <c r="B41">
        <f>_xlfn.RANK.EQ('GPT-5.2'!J6,'GPT-5.2'!$J$2:$J$16)</f>
        <v>1</v>
      </c>
      <c r="C41">
        <f>_xlfn.RANK.EQ('GPT-5.2'!K6,'GPT-5.2'!$K$2:$K$16)</f>
        <v>8</v>
      </c>
      <c r="D41">
        <f>_xlfn.RANK.EQ('GPT-5.2'!L6,'GPT-5.2'!$L$2:$L$16)</f>
        <v>4</v>
      </c>
      <c r="E41">
        <f>_xlfn.RANK.EQ('GPT-5.2'!N6,'GPT-5.2'!$N$2:$N$16)</f>
        <v>10</v>
      </c>
      <c r="F41">
        <f>_xlfn.RANK.EQ('GPT-5.2'!O6,'GPT-5.2'!$O$2:$O$16)</f>
        <v>12</v>
      </c>
    </row>
    <row r="42" spans="1:7" x14ac:dyDescent="0.25">
      <c r="A42">
        <v>30</v>
      </c>
      <c r="B42">
        <f>_xlfn.RANK.EQ('GPT-5.2'!J7,'GPT-5.2'!$J$2:$J$16)</f>
        <v>15</v>
      </c>
      <c r="C42">
        <f>_xlfn.RANK.EQ('GPT-5.2'!K7,'GPT-5.2'!$K$2:$K$16)</f>
        <v>8</v>
      </c>
      <c r="D42">
        <f>_xlfn.RANK.EQ('GPT-5.2'!L7,'GPT-5.2'!$L$2:$L$16)</f>
        <v>11</v>
      </c>
      <c r="E42">
        <f>_xlfn.RANK.EQ('GPT-5.2'!N7,'GPT-5.2'!$N$2:$N$16)</f>
        <v>11</v>
      </c>
      <c r="F42">
        <f>_xlfn.RANK.EQ('GPT-5.2'!O7,'GPT-5.2'!$O$2:$O$16)</f>
        <v>13</v>
      </c>
    </row>
    <row r="43" spans="1:7" x14ac:dyDescent="0.25">
      <c r="A43">
        <v>33</v>
      </c>
      <c r="B43">
        <f>_xlfn.RANK.EQ('GPT-5.2'!J8,'GPT-5.2'!$J$2:$J$16)</f>
        <v>1</v>
      </c>
      <c r="C43">
        <f>_xlfn.RANK.EQ('GPT-5.2'!K8,'GPT-5.2'!$K$2:$K$16)</f>
        <v>1</v>
      </c>
      <c r="D43">
        <f>_xlfn.RANK.EQ('GPT-5.2'!L8,'GPT-5.2'!$L$2:$L$16)</f>
        <v>3</v>
      </c>
      <c r="E43">
        <f>_xlfn.RANK.EQ('GPT-5.2'!N8,'GPT-5.2'!$N$2:$N$16)</f>
        <v>4</v>
      </c>
      <c r="F43">
        <f>_xlfn.RANK.EQ('GPT-5.2'!O8,'GPT-5.2'!$O$2:$O$16)</f>
        <v>3</v>
      </c>
    </row>
    <row r="44" spans="1:7" x14ac:dyDescent="0.25">
      <c r="A44">
        <v>34</v>
      </c>
      <c r="B44">
        <f>_xlfn.RANK.EQ('GPT-5.2'!J9,'GPT-5.2'!$J$2:$J$16)</f>
        <v>7</v>
      </c>
      <c r="C44">
        <f>_xlfn.RANK.EQ('GPT-5.2'!K9,'GPT-5.2'!$K$2:$K$16)</f>
        <v>8</v>
      </c>
      <c r="D44">
        <f>_xlfn.RANK.EQ('GPT-5.2'!L9,'GPT-5.2'!$L$2:$L$16)</f>
        <v>11</v>
      </c>
      <c r="E44">
        <f>_xlfn.RANK.EQ('GPT-5.2'!N9,'GPT-5.2'!$N$2:$N$16)</f>
        <v>11</v>
      </c>
      <c r="F44">
        <f>_xlfn.RANK.EQ('GPT-5.2'!O9,'GPT-5.2'!$O$2:$O$16)</f>
        <v>5</v>
      </c>
    </row>
    <row r="45" spans="1:7" x14ac:dyDescent="0.25">
      <c r="A45">
        <v>64</v>
      </c>
      <c r="B45">
        <f>_xlfn.RANK.EQ('GPT-5.2'!J10,'GPT-5.2'!$J$2:$J$16)</f>
        <v>13</v>
      </c>
      <c r="C45">
        <f>_xlfn.RANK.EQ('GPT-5.2'!K10,'GPT-5.2'!$K$2:$K$16)</f>
        <v>8</v>
      </c>
      <c r="D45">
        <f>_xlfn.RANK.EQ('GPT-5.2'!L10,'GPT-5.2'!$L$2:$L$16)</f>
        <v>11</v>
      </c>
      <c r="E45">
        <f>_xlfn.RANK.EQ('GPT-5.2'!N10,'GPT-5.2'!$N$2:$N$16)</f>
        <v>11</v>
      </c>
      <c r="F45">
        <f>_xlfn.RANK.EQ('GPT-5.2'!O10,'GPT-5.2'!$O$2:$O$16)</f>
        <v>14</v>
      </c>
    </row>
    <row r="46" spans="1:7" x14ac:dyDescent="0.25">
      <c r="A46">
        <v>65</v>
      </c>
      <c r="B46">
        <f>_xlfn.RANK.EQ('GPT-5.2'!J11,'GPT-5.2'!$J$2:$J$16)</f>
        <v>1</v>
      </c>
      <c r="C46">
        <f>_xlfn.RANK.EQ('GPT-5.2'!K11,'GPT-5.2'!$K$2:$K$16)</f>
        <v>4</v>
      </c>
      <c r="D46">
        <f>_xlfn.RANK.EQ('GPT-5.2'!L11,'GPT-5.2'!$L$2:$L$16)</f>
        <v>8</v>
      </c>
      <c r="E46">
        <f>_xlfn.RANK.EQ('GPT-5.2'!N11,'GPT-5.2'!$N$2:$N$16)</f>
        <v>7</v>
      </c>
      <c r="F46">
        <f>_xlfn.RANK.EQ('GPT-5.2'!O11,'GPT-5.2'!$O$2:$O$16)</f>
        <v>11</v>
      </c>
    </row>
    <row r="47" spans="1:7" x14ac:dyDescent="0.25">
      <c r="A47">
        <v>84</v>
      </c>
      <c r="B47">
        <f>_xlfn.RANK.EQ('GPT-5.2'!J12,'GPT-5.2'!$J$2:$J$16)</f>
        <v>10</v>
      </c>
      <c r="C47">
        <f>_xlfn.RANK.EQ('GPT-5.2'!K12,'GPT-5.2'!$K$2:$K$16)</f>
        <v>6</v>
      </c>
      <c r="D47">
        <f>_xlfn.RANK.EQ('GPT-5.2'!L12,'GPT-5.2'!$L$2:$L$16)</f>
        <v>2</v>
      </c>
      <c r="E47">
        <f>_xlfn.RANK.EQ('GPT-5.2'!N12,'GPT-5.2'!$N$2:$N$16)</f>
        <v>11</v>
      </c>
      <c r="F47">
        <f>_xlfn.RANK.EQ('GPT-5.2'!O12,'GPT-5.2'!$O$2:$O$16)</f>
        <v>8</v>
      </c>
    </row>
    <row r="48" spans="1:7" x14ac:dyDescent="0.25">
      <c r="A48">
        <v>89</v>
      </c>
      <c r="B48">
        <f>_xlfn.RANK.EQ('GPT-5.2'!J13,'GPT-5.2'!$J$2:$J$16)</f>
        <v>14</v>
      </c>
      <c r="C48">
        <f>_xlfn.RANK.EQ('GPT-5.2'!K13,'GPT-5.2'!$K$2:$K$16)</f>
        <v>8</v>
      </c>
      <c r="D48">
        <f>_xlfn.RANK.EQ('GPT-5.2'!L13,'GPT-5.2'!$L$2:$L$16)</f>
        <v>11</v>
      </c>
      <c r="E48">
        <f>_xlfn.RANK.EQ('GPT-5.2'!N13,'GPT-5.2'!$N$2:$N$16)</f>
        <v>5</v>
      </c>
      <c r="F48">
        <f>_xlfn.RANK.EQ('GPT-5.2'!O13,'GPT-5.2'!$O$2:$O$16)</f>
        <v>14</v>
      </c>
    </row>
    <row r="49" spans="1:7" x14ac:dyDescent="0.25">
      <c r="A49">
        <v>91</v>
      </c>
      <c r="B49">
        <f>_xlfn.RANK.EQ('GPT-5.2'!J14,'GPT-5.2'!$J$2:$J$16)</f>
        <v>11</v>
      </c>
      <c r="C49">
        <f>_xlfn.RANK.EQ('GPT-5.2'!K14,'GPT-5.2'!$K$2:$K$16)</f>
        <v>6</v>
      </c>
      <c r="D49">
        <f>_xlfn.RANK.EQ('GPT-5.2'!L14,'GPT-5.2'!$L$2:$L$16)</f>
        <v>9</v>
      </c>
      <c r="E49">
        <f>_xlfn.RANK.EQ('GPT-5.2'!N14,'GPT-5.2'!$N$2:$N$16)</f>
        <v>6</v>
      </c>
      <c r="F49">
        <f>_xlfn.RANK.EQ('GPT-5.2'!O14,'GPT-5.2'!$O$2:$O$16)</f>
        <v>7</v>
      </c>
    </row>
    <row r="50" spans="1:7" x14ac:dyDescent="0.25">
      <c r="A50">
        <v>97</v>
      </c>
      <c r="B50">
        <f>_xlfn.RANK.EQ('GPT-5.2'!J15,'GPT-5.2'!$J$2:$J$16)</f>
        <v>7</v>
      </c>
      <c r="C50">
        <f>_xlfn.RANK.EQ('GPT-5.2'!K15,'GPT-5.2'!$K$2:$K$16)</f>
        <v>5</v>
      </c>
      <c r="D50">
        <f>_xlfn.RANK.EQ('GPT-5.2'!L15,'GPT-5.2'!$L$2:$L$16)</f>
        <v>5</v>
      </c>
      <c r="E50">
        <f>_xlfn.RANK.EQ('GPT-5.2'!N15,'GPT-5.2'!$N$2:$N$16)</f>
        <v>8</v>
      </c>
      <c r="F50">
        <f>_xlfn.RANK.EQ('GPT-5.2'!O15,'GPT-5.2'!$O$2:$O$16)</f>
        <v>4</v>
      </c>
    </row>
    <row r="51" spans="1:7" x14ac:dyDescent="0.25">
      <c r="A51">
        <v>110</v>
      </c>
      <c r="B51">
        <f>_xlfn.RANK.EQ('GPT-5.2'!J16,'GPT-5.2'!$J$2:$J$16)</f>
        <v>9</v>
      </c>
      <c r="C51">
        <f>_xlfn.RANK.EQ('GPT-5.2'!K16,'GPT-5.2'!$K$2:$K$16)</f>
        <v>8</v>
      </c>
      <c r="D51">
        <f>_xlfn.RANK.EQ('GPT-5.2'!L16,'GPT-5.2'!$L$2:$L$16)</f>
        <v>7</v>
      </c>
      <c r="E51">
        <f>_xlfn.RANK.EQ('GPT-5.2'!N16,'GPT-5.2'!$N$2:$N$16)</f>
        <v>9</v>
      </c>
      <c r="F51">
        <f>_xlfn.RANK.EQ('GPT-5.2'!O16,'GPT-5.2'!$O$2:$O$16)</f>
        <v>2</v>
      </c>
    </row>
    <row r="53" spans="1:7" x14ac:dyDescent="0.25">
      <c r="A53" t="s">
        <v>131</v>
      </c>
      <c r="B53" t="s">
        <v>100</v>
      </c>
      <c r="C53" t="s">
        <v>101</v>
      </c>
      <c r="D53" t="s">
        <v>102</v>
      </c>
      <c r="E53" t="s">
        <v>104</v>
      </c>
      <c r="F53" t="s">
        <v>105</v>
      </c>
      <c r="G53" t="s">
        <v>133</v>
      </c>
    </row>
    <row r="54" spans="1:7" x14ac:dyDescent="0.25">
      <c r="A54">
        <v>1</v>
      </c>
      <c r="B54">
        <f>_xlfn.RANK.EQ(Qwen!J2,Qwen!$J$2:$J$16)</f>
        <v>6</v>
      </c>
      <c r="C54">
        <f>_xlfn.RANK.EQ(Qwen!K2,Qwen!$K$2:$K$16)</f>
        <v>1</v>
      </c>
      <c r="D54">
        <f>_xlfn.RANK.EQ(Qwen!L2,Qwen!$L$2:$L$16)</f>
        <v>12</v>
      </c>
      <c r="E54">
        <f>_xlfn.RANK.EQ(Qwen!N2,Qwen!$N$2:$N$16)</f>
        <v>5</v>
      </c>
      <c r="F54">
        <f>_xlfn.RANK.EQ(Qwen!O2,Qwen!$O$2:$O$16)</f>
        <v>10</v>
      </c>
    </row>
    <row r="55" spans="1:7" x14ac:dyDescent="0.25">
      <c r="A55">
        <v>8</v>
      </c>
      <c r="B55">
        <f>_xlfn.RANK.EQ(Qwen!J3,Qwen!$J$2:$J$16)</f>
        <v>12</v>
      </c>
      <c r="C55">
        <f>_xlfn.RANK.EQ(Qwen!K3,Qwen!$K$2:$K$16)</f>
        <v>12</v>
      </c>
      <c r="D55">
        <f>_xlfn.RANK.EQ(Qwen!L3,Qwen!$L$2:$L$16)</f>
        <v>13</v>
      </c>
      <c r="E55">
        <f>_xlfn.RANK.EQ(Qwen!N3,Qwen!$N$2:$N$16)</f>
        <v>8</v>
      </c>
      <c r="F55">
        <f>_xlfn.RANK.EQ(Qwen!O3,Qwen!$O$2:$O$16)</f>
        <v>4</v>
      </c>
    </row>
    <row r="56" spans="1:7" x14ac:dyDescent="0.25">
      <c r="A56">
        <v>11</v>
      </c>
      <c r="B56">
        <f>_xlfn.RANK.EQ(Qwen!J4,Qwen!$J$2:$J$16)</f>
        <v>9</v>
      </c>
      <c r="C56">
        <f>_xlfn.RANK.EQ(Qwen!K4,Qwen!$K$2:$K$16)</f>
        <v>1</v>
      </c>
      <c r="D56">
        <f>_xlfn.RANK.EQ(Qwen!L4,Qwen!$L$2:$L$16)</f>
        <v>7</v>
      </c>
      <c r="E56">
        <f>_xlfn.RANK.EQ(Qwen!N4,Qwen!$N$2:$N$16)</f>
        <v>2</v>
      </c>
      <c r="F56">
        <f>_xlfn.RANK.EQ(Qwen!O4,Qwen!$O$2:$O$16)</f>
        <v>5</v>
      </c>
    </row>
    <row r="57" spans="1:7" x14ac:dyDescent="0.25">
      <c r="A57">
        <v>17</v>
      </c>
      <c r="B57">
        <f>_xlfn.RANK.EQ(Qwen!J5,Qwen!$J$2:$J$16)</f>
        <v>1</v>
      </c>
      <c r="C57">
        <f>_xlfn.RANK.EQ(Qwen!K5,Qwen!$K$2:$K$16)</f>
        <v>1</v>
      </c>
      <c r="D57">
        <f>_xlfn.RANK.EQ(Qwen!L5,Qwen!$L$2:$L$16)</f>
        <v>6</v>
      </c>
      <c r="E57">
        <f>_xlfn.RANK.EQ(Qwen!N5,Qwen!$N$2:$N$16)</f>
        <v>1</v>
      </c>
      <c r="F57">
        <f>_xlfn.RANK.EQ(Qwen!O5,Qwen!$O$2:$O$16)</f>
        <v>9</v>
      </c>
    </row>
    <row r="58" spans="1:7" x14ac:dyDescent="0.25">
      <c r="A58">
        <v>20</v>
      </c>
      <c r="B58">
        <f>_xlfn.RANK.EQ(Qwen!J6,Qwen!$J$2:$J$16)</f>
        <v>6</v>
      </c>
      <c r="C58">
        <f>_xlfn.RANK.EQ(Qwen!K6,Qwen!$K$2:$K$16)</f>
        <v>12</v>
      </c>
      <c r="D58">
        <f>_xlfn.RANK.EQ(Qwen!L6,Qwen!$L$2:$L$16)</f>
        <v>10</v>
      </c>
      <c r="E58">
        <f>_xlfn.RANK.EQ(Qwen!N6,Qwen!$N$2:$N$16)</f>
        <v>8</v>
      </c>
      <c r="F58">
        <f>_xlfn.RANK.EQ(Qwen!O6,Qwen!$O$2:$O$16)</f>
        <v>12</v>
      </c>
    </row>
    <row r="59" spans="1:7" x14ac:dyDescent="0.25">
      <c r="A59">
        <v>30</v>
      </c>
      <c r="B59">
        <f>_xlfn.RANK.EQ(Qwen!J7,Qwen!$J$2:$J$16)</f>
        <v>14</v>
      </c>
      <c r="C59">
        <f>_xlfn.RANK.EQ(Qwen!K7,Qwen!$K$2:$K$16)</f>
        <v>12</v>
      </c>
      <c r="D59">
        <f>_xlfn.RANK.EQ(Qwen!L7,Qwen!$L$2:$L$16)</f>
        <v>13</v>
      </c>
      <c r="E59">
        <f>_xlfn.RANK.EQ(Qwen!N7,Qwen!$N$2:$N$16)</f>
        <v>8</v>
      </c>
      <c r="F59">
        <f>_xlfn.RANK.EQ(Qwen!O7,Qwen!$O$2:$O$16)</f>
        <v>13</v>
      </c>
    </row>
    <row r="60" spans="1:7" x14ac:dyDescent="0.25">
      <c r="A60">
        <v>33</v>
      </c>
      <c r="B60">
        <f>_xlfn.RANK.EQ(Qwen!J8,Qwen!$J$2:$J$16)</f>
        <v>1</v>
      </c>
      <c r="C60">
        <f>_xlfn.RANK.EQ(Qwen!K8,Qwen!$K$2:$K$16)</f>
        <v>1</v>
      </c>
      <c r="D60">
        <f>_xlfn.RANK.EQ(Qwen!L8,Qwen!$L$2:$L$16)</f>
        <v>8</v>
      </c>
      <c r="E60">
        <f>_xlfn.RANK.EQ(Qwen!N8,Qwen!$N$2:$N$16)</f>
        <v>3</v>
      </c>
      <c r="F60">
        <f>_xlfn.RANK.EQ(Qwen!O8,Qwen!$O$2:$O$16)</f>
        <v>6</v>
      </c>
    </row>
    <row r="61" spans="1:7" x14ac:dyDescent="0.25">
      <c r="A61">
        <v>34</v>
      </c>
      <c r="B61">
        <f>_xlfn.RANK.EQ(Qwen!J9,Qwen!$J$2:$J$16)</f>
        <v>11</v>
      </c>
      <c r="C61">
        <f>_xlfn.RANK.EQ(Qwen!K9,Qwen!$K$2:$K$16)</f>
        <v>12</v>
      </c>
      <c r="D61">
        <f>_xlfn.RANK.EQ(Qwen!L9,Qwen!$L$2:$L$16)</f>
        <v>13</v>
      </c>
      <c r="E61">
        <f>_xlfn.RANK.EQ(Qwen!N9,Qwen!$N$2:$N$16)</f>
        <v>8</v>
      </c>
      <c r="F61">
        <f>_xlfn.RANK.EQ(Qwen!O9,Qwen!$O$2:$O$16)</f>
        <v>2</v>
      </c>
    </row>
    <row r="62" spans="1:7" x14ac:dyDescent="0.25">
      <c r="A62">
        <v>64</v>
      </c>
      <c r="B62">
        <f>_xlfn.RANK.EQ(Qwen!J10,Qwen!$J$2:$J$16)</f>
        <v>14</v>
      </c>
      <c r="C62">
        <f>_xlfn.RANK.EQ(Qwen!K10,Qwen!$K$2:$K$16)</f>
        <v>9</v>
      </c>
      <c r="D62">
        <f>_xlfn.RANK.EQ(Qwen!L10,Qwen!$L$2:$L$16)</f>
        <v>4</v>
      </c>
      <c r="E62">
        <f>_xlfn.RANK.EQ(Qwen!N10,Qwen!$N$2:$N$16)</f>
        <v>8</v>
      </c>
      <c r="F62">
        <f>_xlfn.RANK.EQ(Qwen!O10,Qwen!$O$2:$O$16)</f>
        <v>14</v>
      </c>
    </row>
    <row r="63" spans="1:7" x14ac:dyDescent="0.25">
      <c r="A63">
        <v>65</v>
      </c>
      <c r="B63">
        <f>_xlfn.RANK.EQ(Qwen!J11,Qwen!$J$2:$J$16)</f>
        <v>1</v>
      </c>
      <c r="C63">
        <f>_xlfn.RANK.EQ(Qwen!K11,Qwen!$K$2:$K$16)</f>
        <v>1</v>
      </c>
      <c r="D63">
        <f>_xlfn.RANK.EQ(Qwen!L11,Qwen!$L$2:$L$16)</f>
        <v>1</v>
      </c>
      <c r="E63">
        <f>_xlfn.RANK.EQ(Qwen!N11,Qwen!$N$2:$N$16)</f>
        <v>4</v>
      </c>
      <c r="F63">
        <f>_xlfn.RANK.EQ(Qwen!O11,Qwen!$O$2:$O$16)</f>
        <v>11</v>
      </c>
    </row>
    <row r="64" spans="1:7" x14ac:dyDescent="0.25">
      <c r="A64">
        <v>84</v>
      </c>
      <c r="B64">
        <f>_xlfn.RANK.EQ(Qwen!J12,Qwen!$J$2:$J$16)</f>
        <v>1</v>
      </c>
      <c r="C64">
        <f>_xlfn.RANK.EQ(Qwen!K12,Qwen!$K$2:$K$16)</f>
        <v>1</v>
      </c>
      <c r="D64">
        <f>_xlfn.RANK.EQ(Qwen!L12,Qwen!$L$2:$L$16)</f>
        <v>8</v>
      </c>
      <c r="E64">
        <f>_xlfn.RANK.EQ(Qwen!N12,Qwen!$N$2:$N$16)</f>
        <v>8</v>
      </c>
      <c r="F64">
        <f>_xlfn.RANK.EQ(Qwen!O12,Qwen!$O$2:$O$16)</f>
        <v>3</v>
      </c>
    </row>
    <row r="65" spans="1:6" x14ac:dyDescent="0.25">
      <c r="A65">
        <v>89</v>
      </c>
      <c r="B65">
        <f>_xlfn.RANK.EQ(Qwen!J13,Qwen!$J$2:$J$16)</f>
        <v>12</v>
      </c>
      <c r="C65">
        <f>_xlfn.RANK.EQ(Qwen!K13,Qwen!$K$2:$K$16)</f>
        <v>7</v>
      </c>
      <c r="D65">
        <f>_xlfn.RANK.EQ(Qwen!L13,Qwen!$L$2:$L$16)</f>
        <v>4</v>
      </c>
      <c r="E65">
        <f>_xlfn.RANK.EQ(Qwen!N13,Qwen!$N$2:$N$16)</f>
        <v>8</v>
      </c>
      <c r="F65">
        <f>_xlfn.RANK.EQ(Qwen!O13,Qwen!$O$2:$O$16)</f>
        <v>14</v>
      </c>
    </row>
    <row r="66" spans="1:6" x14ac:dyDescent="0.25">
      <c r="A66">
        <v>91</v>
      </c>
      <c r="B66">
        <f>_xlfn.RANK.EQ(Qwen!J14,Qwen!$J$2:$J$16)</f>
        <v>8</v>
      </c>
      <c r="C66">
        <f>_xlfn.RANK.EQ(Qwen!K14,Qwen!$K$2:$K$16)</f>
        <v>8</v>
      </c>
      <c r="D66">
        <f>_xlfn.RANK.EQ(Qwen!L14,Qwen!$L$2:$L$16)</f>
        <v>3</v>
      </c>
      <c r="E66">
        <f>_xlfn.RANK.EQ(Qwen!N14,Qwen!$N$2:$N$16)</f>
        <v>6</v>
      </c>
      <c r="F66">
        <f>_xlfn.RANK.EQ(Qwen!O14,Qwen!$O$2:$O$16)</f>
        <v>7</v>
      </c>
    </row>
    <row r="67" spans="1:6" x14ac:dyDescent="0.25">
      <c r="A67">
        <v>97</v>
      </c>
      <c r="B67">
        <f>_xlfn.RANK.EQ(Qwen!J15,Qwen!$J$2:$J$16)</f>
        <v>1</v>
      </c>
      <c r="C67">
        <f>_xlfn.RANK.EQ(Qwen!K15,Qwen!$K$2:$K$16)</f>
        <v>10</v>
      </c>
      <c r="D67">
        <f>_xlfn.RANK.EQ(Qwen!L15,Qwen!$L$2:$L$16)</f>
        <v>1</v>
      </c>
      <c r="E67">
        <f>_xlfn.RANK.EQ(Qwen!N15,Qwen!$N$2:$N$16)</f>
        <v>8</v>
      </c>
      <c r="F67">
        <f>_xlfn.RANK.EQ(Qwen!O15,Qwen!$O$2:$O$16)</f>
        <v>8</v>
      </c>
    </row>
    <row r="68" spans="1:6" x14ac:dyDescent="0.25">
      <c r="A68">
        <v>110</v>
      </c>
      <c r="B68">
        <f>_xlfn.RANK.EQ(Qwen!J16,Qwen!$J$2:$J$16)</f>
        <v>10</v>
      </c>
      <c r="C68">
        <f>_xlfn.RANK.EQ(Qwen!K16,Qwen!$K$2:$K$16)</f>
        <v>10</v>
      </c>
      <c r="D68">
        <f>_xlfn.RANK.EQ(Qwen!L16,Qwen!$L$2:$L$16)</f>
        <v>11</v>
      </c>
      <c r="E68">
        <f>_xlfn.RANK.EQ(Qwen!N16,Qwen!$N$2:$N$16)</f>
        <v>6</v>
      </c>
      <c r="F68">
        <f>_xlfn.RANK.EQ(Qwen!O16,Qwen!$O$2:$O$16)</f>
        <v>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D59E8-BFC7-4CEF-975E-EFACB91CECD7}">
  <dimension ref="A1:F28"/>
  <sheetViews>
    <sheetView tabSelected="1" topLeftCell="A4" workbookViewId="0">
      <selection activeCell="G37" sqref="G37"/>
    </sheetView>
  </sheetViews>
  <sheetFormatPr baseColWidth="10" defaultRowHeight="15" x14ac:dyDescent="0.25"/>
  <sheetData>
    <row r="1" spans="1:6" x14ac:dyDescent="0.25">
      <c r="A1" t="s">
        <v>132</v>
      </c>
      <c r="B1" t="s">
        <v>100</v>
      </c>
      <c r="C1" t="s">
        <v>101</v>
      </c>
      <c r="D1" t="s">
        <v>102</v>
      </c>
      <c r="E1" t="s">
        <v>104</v>
      </c>
      <c r="F1" t="s">
        <v>105</v>
      </c>
    </row>
    <row r="2" spans="1:6" x14ac:dyDescent="0.25">
      <c r="A2" t="s">
        <v>133</v>
      </c>
      <c r="B2">
        <f>CORREL(Ränge!$B$3:$B$17, Ränge!B54:B68)</f>
        <v>0.74723294066404533</v>
      </c>
      <c r="C2">
        <f>CORREL(Ränge!$C$3:$C$17, Ränge!C54:C68)</f>
        <v>0.64965257093470008</v>
      </c>
      <c r="D2">
        <f>CORREL(Ränge!$D$3:$D$17, Ränge!D54:D68)</f>
        <v>9.8738939259476591E-2</v>
      </c>
      <c r="E2">
        <f>CORREL(Ränge!$E$3:$E$17, Ränge!E54:E68)</f>
        <v>0.83434738826906074</v>
      </c>
      <c r="F2">
        <f>CORREL(Ränge!$F$3:$F$17, Ränge!F54:F68)</f>
        <v>0.28020648597810277</v>
      </c>
    </row>
    <row r="3" spans="1:6" x14ac:dyDescent="0.25">
      <c r="A3" t="s">
        <v>135</v>
      </c>
      <c r="B3">
        <f>CORREL(Ränge!$B$3:$B$17, Ränge!B37:B51)</f>
        <v>0.86389759227436158</v>
      </c>
      <c r="C3">
        <f>CORREL(Ränge!$C$3:$C$17, Ränge!C37:C51)</f>
        <v>0.60008802417203821</v>
      </c>
      <c r="D3">
        <f>CORREL(Ränge!$D$3:$D$17, Ränge!D37:D51)</f>
        <v>0.84529851165446368</v>
      </c>
      <c r="E3">
        <f>CORREL(Ränge!$E$3:$E$17, Ränge!E37:E51)</f>
        <v>0.68608253705287015</v>
      </c>
      <c r="F3">
        <f>CORREL(Ränge!$F$3:$F$17, Ränge!F37:F51)</f>
        <v>0.4236025269449103</v>
      </c>
    </row>
    <row r="4" spans="1:6" x14ac:dyDescent="0.25">
      <c r="A4" t="s">
        <v>136</v>
      </c>
      <c r="B4">
        <f>CORREL(Ränge!$B$3:$B$17, Ränge!B20:B34)</f>
        <v>0.80580478515232057</v>
      </c>
      <c r="C4">
        <f>CORREL(Ränge!$C$3:$C$17, Ränge!C20:C34)</f>
        <v>0.89126758913960513</v>
      </c>
      <c r="D4">
        <f>CORREL(Ränge!$D$3:$D$17, Ränge!D20:D34)</f>
        <v>0.80002307422369356</v>
      </c>
      <c r="E4">
        <f>CORREL(Ränge!$E$3:$E$17, Ränge!E20:E34)</f>
        <v>0.8253195971646462</v>
      </c>
      <c r="F4">
        <f>CORREL(Ränge!$F$3:$F$17, Ränge!F20:F34)</f>
        <v>0.3949233187515489</v>
      </c>
    </row>
    <row r="6" spans="1:6" x14ac:dyDescent="0.25">
      <c r="A6" t="s">
        <v>137</v>
      </c>
      <c r="B6" t="s">
        <v>100</v>
      </c>
      <c r="C6" t="s">
        <v>101</v>
      </c>
      <c r="D6" t="s">
        <v>102</v>
      </c>
      <c r="E6" t="s">
        <v>104</v>
      </c>
      <c r="F6" t="s">
        <v>105</v>
      </c>
    </row>
    <row r="7" spans="1:6" x14ac:dyDescent="0.25">
      <c r="A7" t="s">
        <v>133</v>
      </c>
      <c r="B7" s="9">
        <f>PEARSON('Human Details'!$J$2:$J$16, Qwen!$J$2:$J$16)</f>
        <v>0.91372987642793146</v>
      </c>
      <c r="C7" s="9">
        <f>PEARSON('Human Details'!$K$2:$K$16, Qwen!$K$2:$K$16)</f>
        <v>0.56254278877175568</v>
      </c>
      <c r="D7" s="9">
        <f>PEARSON('Human Details'!$L$2:$L$16, Qwen!$L$2:$L$16)</f>
        <v>0.36106610213251117</v>
      </c>
      <c r="E7" s="9">
        <f>PEARSON('Human Details'!$N$2:$N$16, Qwen!$N$2:$N$16)</f>
        <v>0.68313053253250711</v>
      </c>
      <c r="F7" s="9">
        <f>PEARSON('Human Details'!$O$2:$O$16, Qwen!$O$2:$O$16)</f>
        <v>0.54202619572636079</v>
      </c>
    </row>
    <row r="8" spans="1:6" x14ac:dyDescent="0.25">
      <c r="A8" t="s">
        <v>136</v>
      </c>
      <c r="B8" s="9">
        <f>PEARSON('Human Details'!$J$2:$J$16, 'GPT-4.1-mini'!$J$2:$J$16)</f>
        <v>0.78696677375661872</v>
      </c>
      <c r="C8" s="9">
        <f>PEARSON('Human Details'!$K$2:$K$16, 'GPT-4.1-mini'!$K$2:$K$16)</f>
        <v>0.88068586096939894</v>
      </c>
      <c r="D8" s="9">
        <f>PEARSON('Human Details'!$L$2:$L$16, 'GPT-4.1-mini'!$L$2:$L$16)</f>
        <v>0.79791102539853953</v>
      </c>
      <c r="E8" s="9">
        <f>PEARSON('Human Details'!$N$2:$N$16, 'GPT-4.1-mini'!$N$2:$N$16)</f>
        <v>0.74377349936363979</v>
      </c>
      <c r="F8" s="9">
        <f>PEARSON('Human Details'!$O$2:$O$16, 'GPT-4.1-mini'!$O$2:$O$16)</f>
        <v>0.5538762764191375</v>
      </c>
    </row>
    <row r="9" spans="1:6" x14ac:dyDescent="0.25">
      <c r="A9" t="s">
        <v>135</v>
      </c>
      <c r="B9" s="9">
        <f>PEARSON('Human Details'!$J$2:$J$16, 'GPT-5.2'!$J$2:$J$16)</f>
        <v>0.83668121314917021</v>
      </c>
      <c r="C9" s="9">
        <f>PEARSON('Human Details'!$K$2:$K$16, 'GPT-5.2'!$K$2:$K$16)</f>
        <v>0.53898196246802121</v>
      </c>
      <c r="D9" s="9">
        <f>PEARSON('Human Details'!$L$2:$L$16, 'GPT-5.2'!$L$2:$L$16)</f>
        <v>0.85845087435825485</v>
      </c>
      <c r="E9" s="9">
        <f>PEARSON('Human Details'!$N$2:$N$16, 'GPT-5.2'!$N$2:$N$16)</f>
        <v>0.57596751147723879</v>
      </c>
      <c r="F9" s="9">
        <f>PEARSON('Human Details'!$O$2:$O$16, 'GPT-5.2'!$O$2:$O$16)</f>
        <v>0.5591586408436896</v>
      </c>
    </row>
    <row r="13" spans="1:6" x14ac:dyDescent="0.25">
      <c r="B13" t="s">
        <v>155</v>
      </c>
      <c r="C13" t="s">
        <v>156</v>
      </c>
      <c r="D13" s="4" t="s">
        <v>157</v>
      </c>
    </row>
    <row r="14" spans="1:6" x14ac:dyDescent="0.25">
      <c r="A14" t="s">
        <v>100</v>
      </c>
      <c r="B14" t="s">
        <v>133</v>
      </c>
      <c r="C14" s="9">
        <f>B7</f>
        <v>0.91372987642793146</v>
      </c>
      <c r="D14" s="9">
        <f>Metriken!K21</f>
        <v>1</v>
      </c>
    </row>
    <row r="15" spans="1:6" x14ac:dyDescent="0.25">
      <c r="B15" t="s">
        <v>134</v>
      </c>
      <c r="C15" s="9">
        <f t="shared" ref="C15:C16" si="0">B8</f>
        <v>0.78696677375661872</v>
      </c>
      <c r="D15" s="9">
        <f>Metriken!C21</f>
        <v>0.8666666666666667</v>
      </c>
    </row>
    <row r="16" spans="1:6" x14ac:dyDescent="0.25">
      <c r="B16" t="s">
        <v>135</v>
      </c>
      <c r="C16" s="9">
        <f t="shared" si="0"/>
        <v>0.83668121314917021</v>
      </c>
      <c r="D16" s="9">
        <f>Metriken!G21</f>
        <v>0.93333333333333335</v>
      </c>
    </row>
    <row r="17" spans="1:4" x14ac:dyDescent="0.25">
      <c r="A17" t="s">
        <v>151</v>
      </c>
      <c r="B17" t="s">
        <v>133</v>
      </c>
      <c r="C17" s="9">
        <f>C7</f>
        <v>0.56254278877175568</v>
      </c>
      <c r="D17" s="9">
        <f>Metriken!K43</f>
        <v>0.73333333333333339</v>
      </c>
    </row>
    <row r="18" spans="1:4" x14ac:dyDescent="0.25">
      <c r="B18" t="s">
        <v>134</v>
      </c>
      <c r="C18" s="9">
        <f t="shared" ref="C18:C19" si="1">C8</f>
        <v>0.88068586096939894</v>
      </c>
      <c r="D18" s="9">
        <f>Metriken!C43</f>
        <v>0.93333333333333335</v>
      </c>
    </row>
    <row r="19" spans="1:4" x14ac:dyDescent="0.25">
      <c r="B19" t="s">
        <v>135</v>
      </c>
      <c r="C19" s="9">
        <f t="shared" si="1"/>
        <v>0.53898196246802121</v>
      </c>
      <c r="D19" s="9">
        <f>Metriken!G43</f>
        <v>0.8</v>
      </c>
    </row>
    <row r="20" spans="1:4" x14ac:dyDescent="0.25">
      <c r="A20" t="s">
        <v>152</v>
      </c>
      <c r="B20" t="s">
        <v>133</v>
      </c>
      <c r="C20" s="9">
        <f>D7</f>
        <v>0.36106610213251117</v>
      </c>
      <c r="D20" s="9">
        <f>Metriken!K65</f>
        <v>0.6</v>
      </c>
    </row>
    <row r="21" spans="1:4" x14ac:dyDescent="0.25">
      <c r="B21" t="s">
        <v>134</v>
      </c>
      <c r="C21" s="9">
        <f t="shared" ref="C21:C22" si="2">D8</f>
        <v>0.79791102539853953</v>
      </c>
      <c r="D21" s="9">
        <f>Metriken!C65</f>
        <v>0.93333333333333335</v>
      </c>
    </row>
    <row r="22" spans="1:4" x14ac:dyDescent="0.25">
      <c r="B22" t="s">
        <v>135</v>
      </c>
      <c r="C22" s="9">
        <f t="shared" si="2"/>
        <v>0.85845087435825485</v>
      </c>
      <c r="D22" s="9">
        <f>Metriken!G65</f>
        <v>0.93333333333333335</v>
      </c>
    </row>
    <row r="23" spans="1:4" x14ac:dyDescent="0.25">
      <c r="A23" t="s">
        <v>153</v>
      </c>
      <c r="B23" t="s">
        <v>133</v>
      </c>
      <c r="C23" s="9">
        <f>E7</f>
        <v>0.68313053253250711</v>
      </c>
      <c r="D23" s="9">
        <f>Metriken!K87</f>
        <v>0.73333333333333339</v>
      </c>
    </row>
    <row r="24" spans="1:4" x14ac:dyDescent="0.25">
      <c r="B24" t="s">
        <v>134</v>
      </c>
      <c r="C24" s="9">
        <f t="shared" ref="C24:C25" si="3">E8</f>
        <v>0.74377349936363979</v>
      </c>
      <c r="D24" s="9">
        <f>Metriken!C87</f>
        <v>0.8666666666666667</v>
      </c>
    </row>
    <row r="25" spans="1:4" x14ac:dyDescent="0.25">
      <c r="B25" t="s">
        <v>135</v>
      </c>
      <c r="C25" s="9">
        <f t="shared" si="3"/>
        <v>0.57596751147723879</v>
      </c>
      <c r="D25" s="9">
        <f>Metriken!G87</f>
        <v>0.73333333333333339</v>
      </c>
    </row>
    <row r="26" spans="1:4" x14ac:dyDescent="0.25">
      <c r="A26" t="s">
        <v>154</v>
      </c>
      <c r="B26" t="s">
        <v>133</v>
      </c>
      <c r="C26" s="9">
        <f>F7</f>
        <v>0.54202619572636079</v>
      </c>
      <c r="D26" s="9">
        <f>Metriken!K109</f>
        <v>0.8</v>
      </c>
    </row>
    <row r="27" spans="1:4" x14ac:dyDescent="0.25">
      <c r="B27" t="s">
        <v>134</v>
      </c>
      <c r="C27" s="9">
        <f t="shared" ref="C27:C28" si="4">F8</f>
        <v>0.5538762764191375</v>
      </c>
      <c r="D27" s="9">
        <f>Metriken!C109</f>
        <v>0.73333333333333339</v>
      </c>
    </row>
    <row r="28" spans="1:4" x14ac:dyDescent="0.25">
      <c r="B28" t="s">
        <v>135</v>
      </c>
      <c r="C28" s="9">
        <f t="shared" si="4"/>
        <v>0.5591586408436896</v>
      </c>
      <c r="D28" s="9">
        <f>Metriken!G109</f>
        <v>0.73333333333333339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EEA0-03B7-49CC-8853-B2B720F03E91}">
  <dimension ref="A1:N109"/>
  <sheetViews>
    <sheetView topLeftCell="A79" workbookViewId="0">
      <selection activeCell="C72" sqref="C72"/>
    </sheetView>
  </sheetViews>
  <sheetFormatPr baseColWidth="10" defaultRowHeight="15" x14ac:dyDescent="0.25"/>
  <cols>
    <col min="4" max="4" width="17" bestFit="1" customWidth="1"/>
  </cols>
  <sheetData>
    <row r="1" spans="1:13" x14ac:dyDescent="0.25">
      <c r="A1" t="s">
        <v>100</v>
      </c>
    </row>
    <row r="2" spans="1:13" x14ac:dyDescent="0.25">
      <c r="A2" t="s">
        <v>131</v>
      </c>
      <c r="B2" t="s">
        <v>130</v>
      </c>
      <c r="C2" t="s">
        <v>142</v>
      </c>
      <c r="D2" t="s">
        <v>144</v>
      </c>
      <c r="E2" t="s">
        <v>146</v>
      </c>
      <c r="G2" t="s">
        <v>143</v>
      </c>
      <c r="H2" t="s">
        <v>144</v>
      </c>
      <c r="I2" t="s">
        <v>146</v>
      </c>
      <c r="K2" t="s">
        <v>148</v>
      </c>
      <c r="L2" t="s">
        <v>144</v>
      </c>
      <c r="M2" t="s">
        <v>146</v>
      </c>
    </row>
    <row r="3" spans="1:13" x14ac:dyDescent="0.25">
      <c r="A3">
        <v>1</v>
      </c>
      <c r="B3" s="7">
        <f>'Human Details'!J2</f>
        <v>1</v>
      </c>
      <c r="C3" s="7">
        <f>'GPT-4.1-mini'!J2</f>
        <v>0.94444444444444442</v>
      </c>
      <c r="D3">
        <f>ABS(C3-B3)</f>
        <v>5.555555555555558E-2</v>
      </c>
      <c r="E3" t="str">
        <f>IF(D3&gt;=0.5, "Ja", "Nein")</f>
        <v>Nein</v>
      </c>
      <c r="G3" s="7">
        <f>'GPT-5.2'!J2</f>
        <v>0.86956521739130432</v>
      </c>
      <c r="H3">
        <f>ABS(G3-$B3)</f>
        <v>0.13043478260869568</v>
      </c>
      <c r="I3" t="str">
        <f>IF(H3&gt;0.5, "Ja", "Nein")</f>
        <v>Nein</v>
      </c>
      <c r="K3" s="7">
        <f>Qwen!J2</f>
        <v>0.88888888888888884</v>
      </c>
      <c r="L3">
        <f>ABS(K3-$B3)</f>
        <v>0.11111111111111116</v>
      </c>
      <c r="M3" t="str">
        <f>IF(L3&gt;=0.5, "Ja", "Nein")</f>
        <v>Nein</v>
      </c>
    </row>
    <row r="4" spans="1:13" x14ac:dyDescent="0.25">
      <c r="A4">
        <v>8</v>
      </c>
      <c r="B4" s="7">
        <f>'Human Details'!J3</f>
        <v>0</v>
      </c>
      <c r="C4" s="7">
        <f>'GPT-4.1-mini'!J3</f>
        <v>0.8571428571428571</v>
      </c>
      <c r="D4">
        <f t="shared" ref="D4:D17" si="0">ABS(C4-B4)</f>
        <v>0.8571428571428571</v>
      </c>
      <c r="E4" t="str">
        <f t="shared" ref="E4:E17" si="1">IF(D4&gt;=0.5, "Ja", "Nein")</f>
        <v>Ja</v>
      </c>
      <c r="G4" s="7">
        <f>'GPT-5.2'!J3</f>
        <v>0.44444444444444442</v>
      </c>
      <c r="H4">
        <f t="shared" ref="H4:H17" si="2">ABS(G4-$B4)</f>
        <v>0.44444444444444442</v>
      </c>
      <c r="I4" t="str">
        <f t="shared" ref="I4:I17" si="3">IF(H4&gt;0.5, "Ja", "Nein")</f>
        <v>Nein</v>
      </c>
      <c r="K4" s="7">
        <f>Qwen!J3</f>
        <v>0.4</v>
      </c>
      <c r="L4">
        <f t="shared" ref="L4:L17" si="4">ABS(K4-$B4)</f>
        <v>0.4</v>
      </c>
      <c r="M4" t="str">
        <f t="shared" ref="M4:M16" si="5">IF(L4&gt;=0.5, "Ja", "Nein")</f>
        <v>Nein</v>
      </c>
    </row>
    <row r="5" spans="1:13" x14ac:dyDescent="0.25">
      <c r="A5">
        <v>11</v>
      </c>
      <c r="B5" s="7">
        <f>'Human Details'!J4</f>
        <v>1</v>
      </c>
      <c r="C5" s="7">
        <f>'GPT-4.1-mini'!J4</f>
        <v>1</v>
      </c>
      <c r="D5">
        <f t="shared" si="0"/>
        <v>0</v>
      </c>
      <c r="E5" t="str">
        <f t="shared" si="1"/>
        <v>Nein</v>
      </c>
      <c r="G5" s="7">
        <f>'GPT-5.2'!J4</f>
        <v>0.83333333333333337</v>
      </c>
      <c r="H5">
        <f t="shared" si="2"/>
        <v>0.16666666666666663</v>
      </c>
      <c r="I5" t="str">
        <f t="shared" si="3"/>
        <v>Nein</v>
      </c>
      <c r="K5" s="7">
        <f>Qwen!J4</f>
        <v>0.81818181818181823</v>
      </c>
      <c r="L5">
        <f t="shared" si="4"/>
        <v>0.18181818181818177</v>
      </c>
      <c r="M5" t="str">
        <f t="shared" si="5"/>
        <v>Nein</v>
      </c>
    </row>
    <row r="6" spans="1:13" x14ac:dyDescent="0.25">
      <c r="A6">
        <v>17</v>
      </c>
      <c r="B6" s="7">
        <f>'Human Details'!J5</f>
        <v>1</v>
      </c>
      <c r="C6" s="7">
        <f>'GPT-4.1-mini'!J5</f>
        <v>1</v>
      </c>
      <c r="D6">
        <f t="shared" si="0"/>
        <v>0</v>
      </c>
      <c r="E6" t="str">
        <f t="shared" si="1"/>
        <v>Nein</v>
      </c>
      <c r="G6" s="7">
        <f>'GPT-5.2'!J5</f>
        <v>1</v>
      </c>
      <c r="H6">
        <f t="shared" si="2"/>
        <v>0</v>
      </c>
      <c r="I6" t="str">
        <f t="shared" si="3"/>
        <v>Nein</v>
      </c>
      <c r="K6" s="7">
        <f>Qwen!J5</f>
        <v>1</v>
      </c>
      <c r="L6">
        <f t="shared" si="4"/>
        <v>0</v>
      </c>
      <c r="M6" t="str">
        <f t="shared" si="5"/>
        <v>Nein</v>
      </c>
    </row>
    <row r="7" spans="1:13" x14ac:dyDescent="0.25">
      <c r="A7">
        <v>20</v>
      </c>
      <c r="B7" s="7">
        <f>'Human Details'!J6</f>
        <v>1</v>
      </c>
      <c r="C7" s="7">
        <f>'GPT-4.1-mini'!J6</f>
        <v>1</v>
      </c>
      <c r="D7">
        <f t="shared" si="0"/>
        <v>0</v>
      </c>
      <c r="E7" t="str">
        <f t="shared" si="1"/>
        <v>Nein</v>
      </c>
      <c r="G7" s="7">
        <f>'GPT-5.2'!J6</f>
        <v>1</v>
      </c>
      <c r="H7">
        <f t="shared" si="2"/>
        <v>0</v>
      </c>
      <c r="I7" t="str">
        <f t="shared" si="3"/>
        <v>Nein</v>
      </c>
      <c r="K7" s="7">
        <f>Qwen!J6</f>
        <v>0.88888888888888884</v>
      </c>
      <c r="L7">
        <f t="shared" si="4"/>
        <v>0.11111111111111116</v>
      </c>
      <c r="M7" t="str">
        <f t="shared" si="5"/>
        <v>Nein</v>
      </c>
    </row>
    <row r="8" spans="1:13" x14ac:dyDescent="0.25">
      <c r="A8">
        <v>30</v>
      </c>
      <c r="B8" s="7">
        <f>'Human Details'!J7</f>
        <v>0</v>
      </c>
      <c r="C8" s="7">
        <f>'GPT-4.1-mini'!J7</f>
        <v>0.33333333333333331</v>
      </c>
      <c r="D8">
        <f t="shared" si="0"/>
        <v>0.33333333333333331</v>
      </c>
      <c r="E8" t="str">
        <f t="shared" si="1"/>
        <v>Nein</v>
      </c>
      <c r="G8" s="7">
        <f>'GPT-5.2'!J7</f>
        <v>0</v>
      </c>
      <c r="H8">
        <f t="shared" si="2"/>
        <v>0</v>
      </c>
      <c r="I8" t="str">
        <f t="shared" si="3"/>
        <v>Nein</v>
      </c>
      <c r="K8" s="7">
        <f>Qwen!J7</f>
        <v>0</v>
      </c>
      <c r="L8">
        <f t="shared" si="4"/>
        <v>0</v>
      </c>
      <c r="M8" t="str">
        <f t="shared" si="5"/>
        <v>Nein</v>
      </c>
    </row>
    <row r="9" spans="1:13" x14ac:dyDescent="0.25">
      <c r="A9">
        <v>33</v>
      </c>
      <c r="B9" s="7">
        <f>'Human Details'!J8</f>
        <v>1</v>
      </c>
      <c r="C9" s="7">
        <f>'GPT-4.1-mini'!J8</f>
        <v>1</v>
      </c>
      <c r="D9">
        <f t="shared" si="0"/>
        <v>0</v>
      </c>
      <c r="E9" t="str">
        <f t="shared" si="1"/>
        <v>Nein</v>
      </c>
      <c r="G9" s="7">
        <f>'GPT-5.2'!J8</f>
        <v>1</v>
      </c>
      <c r="H9">
        <f t="shared" si="2"/>
        <v>0</v>
      </c>
      <c r="I9" t="str">
        <f t="shared" si="3"/>
        <v>Nein</v>
      </c>
      <c r="K9" s="7">
        <f>Qwen!J8</f>
        <v>1</v>
      </c>
      <c r="L9">
        <f t="shared" si="4"/>
        <v>0</v>
      </c>
      <c r="M9" t="str">
        <f t="shared" si="5"/>
        <v>Nein</v>
      </c>
    </row>
    <row r="10" spans="1:13" x14ac:dyDescent="0.25">
      <c r="A10">
        <v>34</v>
      </c>
      <c r="B10" s="7">
        <f>'Human Details'!J9</f>
        <v>0.1</v>
      </c>
      <c r="C10" s="7">
        <f>'GPT-4.1-mini'!J9</f>
        <v>0.8</v>
      </c>
      <c r="D10">
        <f t="shared" si="0"/>
        <v>0.70000000000000007</v>
      </c>
      <c r="E10" t="str">
        <f t="shared" si="1"/>
        <v>Ja</v>
      </c>
      <c r="G10" s="7">
        <f>'GPT-5.2'!J9</f>
        <v>0.8</v>
      </c>
      <c r="H10">
        <f t="shared" si="2"/>
        <v>0.70000000000000007</v>
      </c>
      <c r="I10" t="str">
        <f t="shared" si="3"/>
        <v>Ja</v>
      </c>
      <c r="K10" s="7">
        <f>Qwen!J9</f>
        <v>0.5</v>
      </c>
      <c r="L10">
        <f t="shared" si="4"/>
        <v>0.4</v>
      </c>
      <c r="M10" t="str">
        <f t="shared" si="5"/>
        <v>Nein</v>
      </c>
    </row>
    <row r="11" spans="1:13" x14ac:dyDescent="0.25">
      <c r="A11">
        <v>64</v>
      </c>
      <c r="B11" s="7">
        <f>'Human Details'!J10</f>
        <v>0</v>
      </c>
      <c r="C11" s="7">
        <f>'GPT-4.1-mini'!J10</f>
        <v>0</v>
      </c>
      <c r="D11">
        <f t="shared" si="0"/>
        <v>0</v>
      </c>
      <c r="E11" t="str">
        <f t="shared" si="1"/>
        <v>Nein</v>
      </c>
      <c r="G11" s="7">
        <f>'GPT-5.2'!J10</f>
        <v>0.14285714285714279</v>
      </c>
      <c r="H11">
        <f t="shared" si="2"/>
        <v>0.14285714285714279</v>
      </c>
      <c r="I11" t="str">
        <f t="shared" si="3"/>
        <v>Nein</v>
      </c>
      <c r="K11" s="7">
        <f>Qwen!J10</f>
        <v>0</v>
      </c>
      <c r="L11">
        <f t="shared" si="4"/>
        <v>0</v>
      </c>
      <c r="M11" t="str">
        <f t="shared" si="5"/>
        <v>Nein</v>
      </c>
    </row>
    <row r="12" spans="1:13" x14ac:dyDescent="0.25">
      <c r="A12">
        <v>65</v>
      </c>
      <c r="B12" s="7">
        <f>'Human Details'!J11</f>
        <v>1</v>
      </c>
      <c r="C12" s="7">
        <f>'GPT-4.1-mini'!J11</f>
        <v>1</v>
      </c>
      <c r="D12">
        <f t="shared" si="0"/>
        <v>0</v>
      </c>
      <c r="E12" t="str">
        <f t="shared" si="1"/>
        <v>Nein</v>
      </c>
      <c r="G12" s="7">
        <f>'GPT-5.2'!J11</f>
        <v>1</v>
      </c>
      <c r="H12">
        <f t="shared" si="2"/>
        <v>0</v>
      </c>
      <c r="I12" t="str">
        <f t="shared" si="3"/>
        <v>Nein</v>
      </c>
      <c r="K12" s="7">
        <f>Qwen!J11</f>
        <v>1</v>
      </c>
      <c r="L12">
        <f t="shared" si="4"/>
        <v>0</v>
      </c>
      <c r="M12" t="str">
        <f t="shared" si="5"/>
        <v>Nein</v>
      </c>
    </row>
    <row r="13" spans="1:13" x14ac:dyDescent="0.25">
      <c r="A13">
        <v>84</v>
      </c>
      <c r="B13" s="7">
        <f>'Human Details'!J12</f>
        <v>0.66666666666666663</v>
      </c>
      <c r="C13" s="7">
        <f>'GPT-4.1-mini'!J12</f>
        <v>0.92307692307692313</v>
      </c>
      <c r="D13">
        <f t="shared" si="0"/>
        <v>0.2564102564102565</v>
      </c>
      <c r="E13" t="str">
        <f t="shared" si="1"/>
        <v>Nein</v>
      </c>
      <c r="G13" s="7">
        <f>'GPT-5.2'!J12</f>
        <v>0.68</v>
      </c>
      <c r="H13">
        <f t="shared" si="2"/>
        <v>1.3333333333333419E-2</v>
      </c>
      <c r="I13" t="str">
        <f t="shared" si="3"/>
        <v>Nein</v>
      </c>
      <c r="K13" s="7">
        <f>Qwen!J12</f>
        <v>1</v>
      </c>
      <c r="L13">
        <f t="shared" si="4"/>
        <v>0.33333333333333337</v>
      </c>
      <c r="M13" t="str">
        <f t="shared" si="5"/>
        <v>Nein</v>
      </c>
    </row>
    <row r="14" spans="1:13" x14ac:dyDescent="0.25">
      <c r="A14">
        <v>89</v>
      </c>
      <c r="B14" s="7">
        <f>'Human Details'!J13</f>
        <v>0.2</v>
      </c>
      <c r="C14" s="7">
        <f>'GPT-4.1-mini'!J13</f>
        <v>0.44444444444444442</v>
      </c>
      <c r="D14">
        <f t="shared" si="0"/>
        <v>0.24444444444444441</v>
      </c>
      <c r="E14" t="str">
        <f t="shared" si="1"/>
        <v>Nein</v>
      </c>
      <c r="G14" s="7">
        <f>'GPT-5.2'!J13</f>
        <v>0.1111111111111111</v>
      </c>
      <c r="H14">
        <f t="shared" si="2"/>
        <v>8.8888888888888906E-2</v>
      </c>
      <c r="I14" t="str">
        <f t="shared" si="3"/>
        <v>Nein</v>
      </c>
      <c r="K14" s="7">
        <f>Qwen!J13</f>
        <v>0.4</v>
      </c>
      <c r="L14">
        <f t="shared" si="4"/>
        <v>0.2</v>
      </c>
      <c r="M14" t="str">
        <f t="shared" si="5"/>
        <v>Nein</v>
      </c>
    </row>
    <row r="15" spans="1:13" x14ac:dyDescent="0.25">
      <c r="A15">
        <v>91</v>
      </c>
      <c r="B15" s="7">
        <f>'Human Details'!J14</f>
        <v>0.83333333333333337</v>
      </c>
      <c r="C15" s="7">
        <f>'GPT-4.1-mini'!J14</f>
        <v>1</v>
      </c>
      <c r="D15">
        <f t="shared" si="0"/>
        <v>0.16666666666666663</v>
      </c>
      <c r="E15" t="str">
        <f t="shared" si="1"/>
        <v>Nein</v>
      </c>
      <c r="G15" s="7">
        <f>'GPT-5.2'!J14</f>
        <v>0.66666666666666663</v>
      </c>
      <c r="H15">
        <f t="shared" si="2"/>
        <v>0.16666666666666674</v>
      </c>
      <c r="I15" t="str">
        <f t="shared" si="3"/>
        <v>Nein</v>
      </c>
      <c r="K15" s="7">
        <f>Qwen!J14</f>
        <v>0.8571428571428571</v>
      </c>
      <c r="L15">
        <f t="shared" si="4"/>
        <v>2.3809523809523725E-2</v>
      </c>
      <c r="M15" t="str">
        <f t="shared" si="5"/>
        <v>Nein</v>
      </c>
    </row>
    <row r="16" spans="1:13" x14ac:dyDescent="0.25">
      <c r="A16">
        <v>97</v>
      </c>
      <c r="B16" s="7">
        <f>'Human Details'!J15</f>
        <v>1</v>
      </c>
      <c r="C16" s="7">
        <f>'GPT-4.1-mini'!J15</f>
        <v>1</v>
      </c>
      <c r="D16">
        <f t="shared" si="0"/>
        <v>0</v>
      </c>
      <c r="E16" t="str">
        <f t="shared" si="1"/>
        <v>Nein</v>
      </c>
      <c r="G16" s="7">
        <f>'GPT-5.2'!J15</f>
        <v>0.8</v>
      </c>
      <c r="H16">
        <f t="shared" si="2"/>
        <v>0.19999999999999996</v>
      </c>
      <c r="I16" t="str">
        <f t="shared" si="3"/>
        <v>Nein</v>
      </c>
      <c r="K16" s="7">
        <f>Qwen!J15</f>
        <v>1</v>
      </c>
      <c r="L16">
        <f t="shared" si="4"/>
        <v>0</v>
      </c>
      <c r="M16" t="str">
        <f t="shared" si="5"/>
        <v>Nein</v>
      </c>
    </row>
    <row r="17" spans="1:13" x14ac:dyDescent="0.25">
      <c r="A17">
        <v>110</v>
      </c>
      <c r="B17" s="7">
        <f>'Human Details'!J16</f>
        <v>0.83333333333333337</v>
      </c>
      <c r="C17" s="7">
        <f>'GPT-4.1-mini'!J16</f>
        <v>1</v>
      </c>
      <c r="D17">
        <f t="shared" si="0"/>
        <v>0.16666666666666663</v>
      </c>
      <c r="E17" t="str">
        <f t="shared" si="1"/>
        <v>Nein</v>
      </c>
      <c r="G17" s="7">
        <f>'GPT-5.2'!J16</f>
        <v>0.76470588235294112</v>
      </c>
      <c r="H17">
        <f t="shared" si="2"/>
        <v>6.8627450980392246E-2</v>
      </c>
      <c r="I17" t="str">
        <f t="shared" si="3"/>
        <v>Nein</v>
      </c>
      <c r="K17" s="7">
        <f>Qwen!J16</f>
        <v>0.8</v>
      </c>
      <c r="L17">
        <f t="shared" si="4"/>
        <v>3.3333333333333326E-2</v>
      </c>
      <c r="M17" t="str">
        <f>IF(L17&gt;=0.5, "Ja", "Nein")</f>
        <v>Nein</v>
      </c>
    </row>
    <row r="19" spans="1:13" x14ac:dyDescent="0.25">
      <c r="B19" t="s">
        <v>139</v>
      </c>
      <c r="C19">
        <f>COUNTIFS(E3:E17, "Nein")</f>
        <v>13</v>
      </c>
      <c r="F19" t="s">
        <v>139</v>
      </c>
      <c r="G19">
        <f>COUNTIFS(I3:I17, "Nein")</f>
        <v>14</v>
      </c>
      <c r="J19" t="s">
        <v>139</v>
      </c>
      <c r="K19">
        <f>COUNTIFS(M3:M17, "Nein")</f>
        <v>15</v>
      </c>
    </row>
    <row r="20" spans="1:13" x14ac:dyDescent="0.25">
      <c r="B20" t="s">
        <v>140</v>
      </c>
      <c r="C20">
        <f>COUNTIFS(E4:E18, "Ja")</f>
        <v>2</v>
      </c>
      <c r="F20" t="s">
        <v>140</v>
      </c>
      <c r="G20">
        <f>COUNTIFS(I4:I18, "Ja")</f>
        <v>1</v>
      </c>
      <c r="J20" t="s">
        <v>140</v>
      </c>
      <c r="K20">
        <f>COUNTIFS(M4:M18, "Ja")</f>
        <v>0</v>
      </c>
    </row>
    <row r="21" spans="1:13" x14ac:dyDescent="0.25">
      <c r="B21" t="s">
        <v>141</v>
      </c>
      <c r="C21">
        <f>1-C20/(C20+C19)</f>
        <v>0.8666666666666667</v>
      </c>
      <c r="F21" t="s">
        <v>141</v>
      </c>
      <c r="G21">
        <f>1-G20/(G20+G19)</f>
        <v>0.93333333333333335</v>
      </c>
      <c r="J21" t="s">
        <v>141</v>
      </c>
      <c r="K21">
        <f>1-K20/(K20+K19)</f>
        <v>1</v>
      </c>
    </row>
    <row r="23" spans="1:13" x14ac:dyDescent="0.25">
      <c r="A23" t="s">
        <v>101</v>
      </c>
    </row>
    <row r="24" spans="1:13" x14ac:dyDescent="0.25">
      <c r="A24" t="s">
        <v>131</v>
      </c>
      <c r="B24" t="s">
        <v>130</v>
      </c>
      <c r="C24" t="s">
        <v>138</v>
      </c>
      <c r="D24" t="s">
        <v>144</v>
      </c>
      <c r="E24" t="s">
        <v>146</v>
      </c>
      <c r="G24" t="s">
        <v>143</v>
      </c>
      <c r="H24" t="s">
        <v>144</v>
      </c>
      <c r="I24" t="s">
        <v>146</v>
      </c>
      <c r="K24" t="s">
        <v>148</v>
      </c>
      <c r="L24" t="s">
        <v>144</v>
      </c>
      <c r="M24" t="s">
        <v>146</v>
      </c>
    </row>
    <row r="25" spans="1:13" x14ac:dyDescent="0.25">
      <c r="A25">
        <v>1</v>
      </c>
      <c r="B25" s="7">
        <f>'Human Details'!K2</f>
        <v>1</v>
      </c>
      <c r="C25" s="7">
        <f>'GPT-4.1-mini'!K2</f>
        <v>1</v>
      </c>
      <c r="D25">
        <f>ABS(C25-B25)</f>
        <v>0</v>
      </c>
      <c r="E25" t="str">
        <f>IF(D25&gt;0.5, "Ja", "Nein")</f>
        <v>Nein</v>
      </c>
      <c r="G25">
        <f>'GPT-5.2'!K2</f>
        <v>0</v>
      </c>
      <c r="H25">
        <f>ABS(G25-$B25)</f>
        <v>1</v>
      </c>
      <c r="I25" t="str">
        <f>IF(H25&gt;0.5, "Ja", "Nein")</f>
        <v>Ja</v>
      </c>
      <c r="K25" s="7">
        <f>Qwen!K2</f>
        <v>1</v>
      </c>
      <c r="L25">
        <f>ABS(K25-$B25)</f>
        <v>0</v>
      </c>
      <c r="M25" t="str">
        <f>IF(L25&gt;=0.5, "Ja", "Nein")</f>
        <v>Nein</v>
      </c>
    </row>
    <row r="26" spans="1:13" x14ac:dyDescent="0.25">
      <c r="A26">
        <v>8</v>
      </c>
      <c r="B26" s="7">
        <f>'Human Details'!K3</f>
        <v>0</v>
      </c>
      <c r="C26" s="7">
        <f>'GPT-4.1-mini'!K3</f>
        <v>0</v>
      </c>
      <c r="D26">
        <f t="shared" ref="D26:D39" si="6">ABS(C26-B26)</f>
        <v>0</v>
      </c>
      <c r="E26" t="str">
        <f t="shared" ref="E26:E39" si="7">IF(D26&gt;0.5, "Ja", "Nein")</f>
        <v>Nein</v>
      </c>
      <c r="G26">
        <f>'GPT-5.2'!K3</f>
        <v>0</v>
      </c>
      <c r="H26">
        <f t="shared" ref="H26:H39" si="8">ABS(G26-$B26)</f>
        <v>0</v>
      </c>
      <c r="I26" t="str">
        <f t="shared" ref="I26:I39" si="9">IF(H26&gt;0.5, "Ja", "Nein")</f>
        <v>Nein</v>
      </c>
      <c r="K26" s="7">
        <f>Qwen!K3</f>
        <v>0</v>
      </c>
      <c r="L26">
        <f t="shared" ref="L26:L39" si="10">ABS(K26-$B26)</f>
        <v>0</v>
      </c>
      <c r="M26" t="str">
        <f t="shared" ref="M26:M39" si="11">IF(L26&gt;=0.5, "Ja", "Nein")</f>
        <v>Nein</v>
      </c>
    </row>
    <row r="27" spans="1:13" x14ac:dyDescent="0.25">
      <c r="A27">
        <v>11</v>
      </c>
      <c r="B27" s="7">
        <f>'Human Details'!K4</f>
        <v>0.33333333333333331</v>
      </c>
      <c r="C27" s="7">
        <f>'GPT-4.1-mini'!K4</f>
        <v>1</v>
      </c>
      <c r="D27">
        <f t="shared" si="6"/>
        <v>0.66666666666666674</v>
      </c>
      <c r="E27" t="str">
        <f t="shared" si="7"/>
        <v>Ja</v>
      </c>
      <c r="G27">
        <f>'GPT-5.2'!K4</f>
        <v>1</v>
      </c>
      <c r="H27">
        <f t="shared" si="8"/>
        <v>0.66666666666666674</v>
      </c>
      <c r="I27" t="str">
        <f t="shared" si="9"/>
        <v>Ja</v>
      </c>
      <c r="K27" s="7">
        <f>Qwen!K4</f>
        <v>1</v>
      </c>
      <c r="L27">
        <f t="shared" si="10"/>
        <v>0.66666666666666674</v>
      </c>
      <c r="M27" t="str">
        <f t="shared" si="11"/>
        <v>Ja</v>
      </c>
    </row>
    <row r="28" spans="1:13" x14ac:dyDescent="0.25">
      <c r="A28">
        <v>17</v>
      </c>
      <c r="B28" s="7">
        <f>'Human Details'!K5</f>
        <v>1</v>
      </c>
      <c r="C28" s="7">
        <f>'GPT-4.1-mini'!K5</f>
        <v>1</v>
      </c>
      <c r="D28">
        <f t="shared" si="6"/>
        <v>0</v>
      </c>
      <c r="E28" t="str">
        <f t="shared" si="7"/>
        <v>Nein</v>
      </c>
      <c r="G28">
        <f>'GPT-5.2'!K5</f>
        <v>1</v>
      </c>
      <c r="H28">
        <f t="shared" si="8"/>
        <v>0</v>
      </c>
      <c r="I28" t="str">
        <f t="shared" si="9"/>
        <v>Nein</v>
      </c>
      <c r="K28" s="7">
        <f>Qwen!K5</f>
        <v>1</v>
      </c>
      <c r="L28">
        <f t="shared" si="10"/>
        <v>0</v>
      </c>
      <c r="M28" t="str">
        <f t="shared" si="11"/>
        <v>Nein</v>
      </c>
    </row>
    <row r="29" spans="1:13" x14ac:dyDescent="0.25">
      <c r="A29">
        <v>20</v>
      </c>
      <c r="B29" s="7">
        <f>'Human Details'!K6</f>
        <v>0.8571428571428571</v>
      </c>
      <c r="C29" s="7">
        <f>'GPT-4.1-mini'!K6</f>
        <v>0.66666666666666663</v>
      </c>
      <c r="D29">
        <f t="shared" si="6"/>
        <v>0.19047619047619047</v>
      </c>
      <c r="E29" t="str">
        <f t="shared" si="7"/>
        <v>Nein</v>
      </c>
      <c r="G29">
        <f>'GPT-5.2'!K6</f>
        <v>0</v>
      </c>
      <c r="H29">
        <f t="shared" si="8"/>
        <v>0.8571428571428571</v>
      </c>
      <c r="I29" t="str">
        <f t="shared" si="9"/>
        <v>Ja</v>
      </c>
      <c r="K29" s="7">
        <f>Qwen!K6</f>
        <v>0</v>
      </c>
      <c r="L29">
        <f t="shared" si="10"/>
        <v>0.8571428571428571</v>
      </c>
      <c r="M29" t="str">
        <f t="shared" si="11"/>
        <v>Ja</v>
      </c>
    </row>
    <row r="30" spans="1:13" x14ac:dyDescent="0.25">
      <c r="A30">
        <v>30</v>
      </c>
      <c r="B30" s="7">
        <f>'Human Details'!K7</f>
        <v>0</v>
      </c>
      <c r="C30" s="7">
        <f>'GPT-4.1-mini'!K7</f>
        <v>0</v>
      </c>
      <c r="D30">
        <f t="shared" si="6"/>
        <v>0</v>
      </c>
      <c r="E30" t="str">
        <f t="shared" si="7"/>
        <v>Nein</v>
      </c>
      <c r="G30">
        <f>'GPT-5.2'!K7</f>
        <v>0</v>
      </c>
      <c r="H30">
        <f t="shared" si="8"/>
        <v>0</v>
      </c>
      <c r="I30" t="str">
        <f t="shared" si="9"/>
        <v>Nein</v>
      </c>
      <c r="K30" s="7">
        <f>Qwen!K7</f>
        <v>0</v>
      </c>
      <c r="L30">
        <f t="shared" si="10"/>
        <v>0</v>
      </c>
      <c r="M30" t="str">
        <f t="shared" si="11"/>
        <v>Nein</v>
      </c>
    </row>
    <row r="31" spans="1:13" x14ac:dyDescent="0.25">
      <c r="A31">
        <v>33</v>
      </c>
      <c r="B31" s="7">
        <f>'Human Details'!K8</f>
        <v>1</v>
      </c>
      <c r="C31" s="7">
        <f>'GPT-4.1-mini'!K8</f>
        <v>1</v>
      </c>
      <c r="D31">
        <f t="shared" si="6"/>
        <v>0</v>
      </c>
      <c r="E31" t="str">
        <f t="shared" si="7"/>
        <v>Nein</v>
      </c>
      <c r="G31">
        <f>'GPT-5.2'!K8</f>
        <v>1</v>
      </c>
      <c r="H31">
        <f t="shared" si="8"/>
        <v>0</v>
      </c>
      <c r="I31" t="str">
        <f t="shared" si="9"/>
        <v>Nein</v>
      </c>
      <c r="K31" s="7">
        <f>Qwen!K8</f>
        <v>1</v>
      </c>
      <c r="L31">
        <f t="shared" si="10"/>
        <v>0</v>
      </c>
      <c r="M31" t="str">
        <f t="shared" si="11"/>
        <v>Nein</v>
      </c>
    </row>
    <row r="32" spans="1:13" x14ac:dyDescent="0.25">
      <c r="A32">
        <v>34</v>
      </c>
      <c r="B32" s="7">
        <f>'Human Details'!K9</f>
        <v>0</v>
      </c>
      <c r="C32" s="7">
        <f>'GPT-4.1-mini'!K9</f>
        <v>0</v>
      </c>
      <c r="D32">
        <f t="shared" si="6"/>
        <v>0</v>
      </c>
      <c r="E32" t="str">
        <f t="shared" si="7"/>
        <v>Nein</v>
      </c>
      <c r="G32">
        <f>'GPT-5.2'!K9</f>
        <v>0</v>
      </c>
      <c r="H32">
        <f t="shared" si="8"/>
        <v>0</v>
      </c>
      <c r="I32" t="str">
        <f t="shared" si="9"/>
        <v>Nein</v>
      </c>
      <c r="K32" s="7">
        <f>Qwen!K9</f>
        <v>0</v>
      </c>
      <c r="L32">
        <f t="shared" si="10"/>
        <v>0</v>
      </c>
      <c r="M32" t="str">
        <f t="shared" si="11"/>
        <v>Nein</v>
      </c>
    </row>
    <row r="33" spans="1:14" x14ac:dyDescent="0.25">
      <c r="A33">
        <v>64</v>
      </c>
      <c r="B33" s="7">
        <f>'Human Details'!K10</f>
        <v>0</v>
      </c>
      <c r="C33" s="7">
        <f>'GPT-4.1-mini'!K10</f>
        <v>0.2857142857142857</v>
      </c>
      <c r="D33">
        <f t="shared" si="6"/>
        <v>0.2857142857142857</v>
      </c>
      <c r="E33" t="str">
        <f t="shared" si="7"/>
        <v>Nein</v>
      </c>
      <c r="G33">
        <f>'GPT-5.2'!K10</f>
        <v>0</v>
      </c>
      <c r="H33">
        <f t="shared" si="8"/>
        <v>0</v>
      </c>
      <c r="I33" t="str">
        <f t="shared" si="9"/>
        <v>Nein</v>
      </c>
      <c r="K33" s="7">
        <f>Qwen!K10</f>
        <v>0.2857142857142857</v>
      </c>
      <c r="L33">
        <f t="shared" si="10"/>
        <v>0.2857142857142857</v>
      </c>
      <c r="M33" t="str">
        <f t="shared" si="11"/>
        <v>Nein</v>
      </c>
    </row>
    <row r="34" spans="1:14" x14ac:dyDescent="0.25">
      <c r="A34">
        <v>65</v>
      </c>
      <c r="B34" s="7">
        <f>'Human Details'!K11</f>
        <v>1</v>
      </c>
      <c r="C34" s="7">
        <f>'GPT-4.1-mini'!K11</f>
        <v>1</v>
      </c>
      <c r="D34">
        <f t="shared" si="6"/>
        <v>0</v>
      </c>
      <c r="E34" t="str">
        <f t="shared" si="7"/>
        <v>Nein</v>
      </c>
      <c r="G34">
        <f>'GPT-5.2'!K11</f>
        <v>0.5625</v>
      </c>
      <c r="H34">
        <f t="shared" si="8"/>
        <v>0.4375</v>
      </c>
      <c r="I34" t="str">
        <f t="shared" si="9"/>
        <v>Nein</v>
      </c>
      <c r="K34" s="7">
        <f>Qwen!K11</f>
        <v>1</v>
      </c>
      <c r="L34">
        <f t="shared" si="10"/>
        <v>0</v>
      </c>
      <c r="M34" t="str">
        <f t="shared" si="11"/>
        <v>Nein</v>
      </c>
    </row>
    <row r="35" spans="1:14" x14ac:dyDescent="0.25">
      <c r="A35">
        <v>84</v>
      </c>
      <c r="B35" s="7">
        <f>'Human Details'!K12</f>
        <v>0.16666666666666666</v>
      </c>
      <c r="C35" s="7">
        <f>'GPT-4.1-mini'!K12</f>
        <v>0.4</v>
      </c>
      <c r="D35">
        <f t="shared" si="6"/>
        <v>0.23333333333333336</v>
      </c>
      <c r="E35" t="str">
        <f t="shared" si="7"/>
        <v>Nein</v>
      </c>
      <c r="G35">
        <f>'GPT-5.2'!K12</f>
        <v>0.2</v>
      </c>
      <c r="H35">
        <f t="shared" si="8"/>
        <v>3.3333333333333354E-2</v>
      </c>
      <c r="I35" t="str">
        <f t="shared" si="9"/>
        <v>Nein</v>
      </c>
      <c r="K35" s="7">
        <f>Qwen!K12</f>
        <v>1</v>
      </c>
      <c r="L35">
        <f t="shared" si="10"/>
        <v>0.83333333333333337</v>
      </c>
      <c r="M35" t="str">
        <f t="shared" si="11"/>
        <v>Ja</v>
      </c>
    </row>
    <row r="36" spans="1:14" x14ac:dyDescent="0.25">
      <c r="A36">
        <v>89</v>
      </c>
      <c r="B36" s="7">
        <f>'Human Details'!K13</f>
        <v>0</v>
      </c>
      <c r="C36" s="7">
        <f>'GPT-4.1-mini'!K13</f>
        <v>0</v>
      </c>
      <c r="D36">
        <f t="shared" si="6"/>
        <v>0</v>
      </c>
      <c r="E36" t="str">
        <f t="shared" si="7"/>
        <v>Nein</v>
      </c>
      <c r="G36">
        <f>'GPT-5.2'!K13</f>
        <v>0</v>
      </c>
      <c r="H36">
        <f t="shared" si="8"/>
        <v>0</v>
      </c>
      <c r="I36" t="str">
        <f t="shared" si="9"/>
        <v>Nein</v>
      </c>
      <c r="K36" s="7">
        <f>Qwen!K13</f>
        <v>0.5</v>
      </c>
      <c r="L36">
        <f t="shared" si="10"/>
        <v>0.5</v>
      </c>
      <c r="M36" t="str">
        <f t="shared" si="11"/>
        <v>Ja</v>
      </c>
    </row>
    <row r="37" spans="1:14" x14ac:dyDescent="0.25">
      <c r="A37">
        <v>91</v>
      </c>
      <c r="B37" s="7">
        <f>'Human Details'!K14</f>
        <v>0.2</v>
      </c>
      <c r="C37" s="7">
        <f>'GPT-4.1-mini'!K14</f>
        <v>0.2</v>
      </c>
      <c r="D37">
        <f t="shared" si="6"/>
        <v>0</v>
      </c>
      <c r="E37" t="str">
        <f t="shared" si="7"/>
        <v>Nein</v>
      </c>
      <c r="G37">
        <f>'GPT-5.2'!K14</f>
        <v>0.2</v>
      </c>
      <c r="H37">
        <f t="shared" si="8"/>
        <v>0</v>
      </c>
      <c r="I37" t="str">
        <f t="shared" si="9"/>
        <v>Nein</v>
      </c>
      <c r="K37" s="7">
        <f>Qwen!K14</f>
        <v>0.4</v>
      </c>
      <c r="L37">
        <f t="shared" si="10"/>
        <v>0.2</v>
      </c>
      <c r="M37" t="str">
        <f t="shared" si="11"/>
        <v>Nein</v>
      </c>
    </row>
    <row r="38" spans="1:14" x14ac:dyDescent="0.25">
      <c r="A38">
        <v>97</v>
      </c>
      <c r="B38" s="7">
        <f>'Human Details'!K15</f>
        <v>0.66666666666666663</v>
      </c>
      <c r="C38" s="7">
        <f>'GPT-4.1-mini'!K15</f>
        <v>0.75</v>
      </c>
      <c r="D38">
        <f t="shared" si="6"/>
        <v>8.333333333333337E-2</v>
      </c>
      <c r="E38" t="str">
        <f t="shared" si="7"/>
        <v>Nein</v>
      </c>
      <c r="G38">
        <f>'GPT-5.2'!K15</f>
        <v>0.25</v>
      </c>
      <c r="H38">
        <f t="shared" si="8"/>
        <v>0.41666666666666663</v>
      </c>
      <c r="I38" t="str">
        <f t="shared" si="9"/>
        <v>Nein</v>
      </c>
      <c r="K38" s="7">
        <f>Qwen!K15</f>
        <v>0.25</v>
      </c>
      <c r="L38">
        <f t="shared" si="10"/>
        <v>0.41666666666666663</v>
      </c>
      <c r="M38" t="str">
        <f t="shared" si="11"/>
        <v>Nein</v>
      </c>
    </row>
    <row r="39" spans="1:14" x14ac:dyDescent="0.25">
      <c r="A39">
        <v>110</v>
      </c>
      <c r="B39" s="7">
        <f>'Human Details'!K16</f>
        <v>0.25</v>
      </c>
      <c r="C39" s="7">
        <f>'GPT-4.1-mini'!K16</f>
        <v>0</v>
      </c>
      <c r="D39">
        <f t="shared" si="6"/>
        <v>0.25</v>
      </c>
      <c r="E39" t="str">
        <f t="shared" si="7"/>
        <v>Nein</v>
      </c>
      <c r="G39">
        <f>'GPT-5.2'!K16</f>
        <v>0</v>
      </c>
      <c r="H39">
        <f t="shared" si="8"/>
        <v>0.25</v>
      </c>
      <c r="I39" t="str">
        <f t="shared" si="9"/>
        <v>Nein</v>
      </c>
      <c r="K39" s="7">
        <f>Qwen!K16</f>
        <v>0.25</v>
      </c>
      <c r="L39">
        <f t="shared" si="10"/>
        <v>0</v>
      </c>
      <c r="M39" t="str">
        <f t="shared" si="11"/>
        <v>Nein</v>
      </c>
    </row>
    <row r="41" spans="1:14" x14ac:dyDescent="0.25">
      <c r="B41" t="s">
        <v>139</v>
      </c>
      <c r="C41">
        <f>COUNTIFS(E25:E39,"Nein")</f>
        <v>14</v>
      </c>
      <c r="F41" t="s">
        <v>139</v>
      </c>
      <c r="G41">
        <f>COUNTIFS(I25:I39, "Nein")</f>
        <v>12</v>
      </c>
      <c r="J41" t="s">
        <v>139</v>
      </c>
      <c r="K41">
        <f>COUNTIFS(M25:M39, "Nein")</f>
        <v>11</v>
      </c>
    </row>
    <row r="42" spans="1:14" x14ac:dyDescent="0.25">
      <c r="B42" t="s">
        <v>140</v>
      </c>
      <c r="C42">
        <f>COUNTIFS(E25:E39,"Ja")</f>
        <v>1</v>
      </c>
      <c r="F42" t="s">
        <v>140</v>
      </c>
      <c r="G42">
        <f>COUNTIFS(I25:I39, "Ja")</f>
        <v>3</v>
      </c>
      <c r="J42" t="s">
        <v>140</v>
      </c>
      <c r="K42">
        <f>COUNTIFS(M25:M39, "Ja")</f>
        <v>4</v>
      </c>
    </row>
    <row r="43" spans="1:14" x14ac:dyDescent="0.25">
      <c r="B43" t="s">
        <v>141</v>
      </c>
      <c r="C43">
        <f>1-C42/(C42+C41)</f>
        <v>0.93333333333333335</v>
      </c>
      <c r="F43" t="s">
        <v>141</v>
      </c>
      <c r="G43">
        <f>1-G42/(G42+G41)</f>
        <v>0.8</v>
      </c>
      <c r="J43" t="s">
        <v>141</v>
      </c>
      <c r="K43">
        <f>1-K42/(K42+K41)</f>
        <v>0.73333333333333339</v>
      </c>
    </row>
    <row r="45" spans="1:14" x14ac:dyDescent="0.25">
      <c r="A45" t="s">
        <v>102</v>
      </c>
    </row>
    <row r="46" spans="1:14" x14ac:dyDescent="0.25">
      <c r="A46" t="s">
        <v>131</v>
      </c>
      <c r="B46" t="s">
        <v>130</v>
      </c>
      <c r="C46" t="s">
        <v>138</v>
      </c>
      <c r="D46" t="s">
        <v>144</v>
      </c>
      <c r="E46" t="s">
        <v>146</v>
      </c>
      <c r="G46" t="s">
        <v>143</v>
      </c>
      <c r="H46" t="s">
        <v>144</v>
      </c>
      <c r="I46" t="s">
        <v>146</v>
      </c>
      <c r="K46" t="s">
        <v>148</v>
      </c>
      <c r="L46" t="s">
        <v>144</v>
      </c>
      <c r="M46" t="s">
        <v>146</v>
      </c>
    </row>
    <row r="47" spans="1:14" x14ac:dyDescent="0.25">
      <c r="A47">
        <v>1</v>
      </c>
      <c r="B47" s="7">
        <f>'Human Details'!L2</f>
        <v>0.68</v>
      </c>
      <c r="C47">
        <f>'GPT-4.1-mini'!L2</f>
        <v>0.41666666664583329</v>
      </c>
      <c r="D47">
        <f>ABS(C47-B47)</f>
        <v>0.26333333335416675</v>
      </c>
      <c r="E47" t="str">
        <f>IF(D47&gt;0.5, "Ja", "Nein")</f>
        <v>Nein</v>
      </c>
      <c r="G47">
        <f>'GPT-5.2'!L2</f>
        <v>0.499999999975</v>
      </c>
      <c r="H47">
        <f>ABS(G47-$B47)</f>
        <v>0.18000000002500005</v>
      </c>
      <c r="I47" t="str">
        <f>IF(H47&gt;0.5, "Ja", "Nein")</f>
        <v>Nein</v>
      </c>
      <c r="K47" s="7">
        <f>Qwen!L2</f>
        <v>0.41666666664583329</v>
      </c>
      <c r="L47">
        <f>ABS(K47-$B47)</f>
        <v>0.26333333335416675</v>
      </c>
      <c r="M47" t="str">
        <f>IF(L47&gt;=0.5, "Ja", "Nein")</f>
        <v>Nein</v>
      </c>
    </row>
    <row r="48" spans="1:14" x14ac:dyDescent="0.25">
      <c r="A48">
        <v>8</v>
      </c>
      <c r="B48" s="7">
        <f>'Human Details'!L3</f>
        <v>0</v>
      </c>
      <c r="C48">
        <f>'GPT-4.1-mini'!L3</f>
        <v>0</v>
      </c>
      <c r="D48">
        <f t="shared" ref="D48:D61" si="12">ABS(C48-B48)</f>
        <v>0</v>
      </c>
      <c r="E48" t="str">
        <f t="shared" ref="E48:E61" si="13">IF(D48&gt;0.5, "Ja", "Nein")</f>
        <v>Nein</v>
      </c>
      <c r="G48">
        <f>'GPT-5.2'!L3</f>
        <v>0</v>
      </c>
      <c r="H48">
        <f t="shared" ref="H48:H61" si="14">ABS(G48-$B48)</f>
        <v>0</v>
      </c>
      <c r="I48" t="str">
        <f t="shared" ref="I48:I61" si="15">IF(H48&gt;0.5, "Ja", "Nein")</f>
        <v>Nein</v>
      </c>
      <c r="K48" s="7">
        <f>Qwen!L3</f>
        <v>0</v>
      </c>
      <c r="L48">
        <f t="shared" ref="L48:L61" si="16">ABS(K48-$B48)</f>
        <v>0</v>
      </c>
      <c r="M48" t="str">
        <f t="shared" ref="M48:M61" si="17">IF(L48&gt;=0.5, "Ja", "Nein")</f>
        <v>Nein</v>
      </c>
      <c r="N48" t="s">
        <v>149</v>
      </c>
    </row>
    <row r="49" spans="1:14" x14ac:dyDescent="0.25">
      <c r="A49">
        <v>11</v>
      </c>
      <c r="B49" s="7">
        <f>'Human Details'!L4</f>
        <v>0.32500000000000001</v>
      </c>
      <c r="C49">
        <f>'GPT-4.1-mini'!L4</f>
        <v>0.99999999995</v>
      </c>
      <c r="D49">
        <f t="shared" si="12"/>
        <v>0.67499999995000004</v>
      </c>
      <c r="E49" t="str">
        <f t="shared" si="13"/>
        <v>Ja</v>
      </c>
      <c r="G49">
        <f>'GPT-5.2'!L4</f>
        <v>0.99999999995</v>
      </c>
      <c r="H49">
        <f t="shared" si="14"/>
        <v>0.67499999995000004</v>
      </c>
      <c r="I49" t="str">
        <f t="shared" si="15"/>
        <v>Ja</v>
      </c>
      <c r="K49" s="7">
        <f>Qwen!L4</f>
        <v>0.88749999997781248</v>
      </c>
      <c r="L49">
        <f t="shared" si="16"/>
        <v>0.56249999997781241</v>
      </c>
      <c r="M49" t="str">
        <f t="shared" si="17"/>
        <v>Ja</v>
      </c>
      <c r="N49" t="s">
        <v>149</v>
      </c>
    </row>
    <row r="50" spans="1:14" x14ac:dyDescent="0.25">
      <c r="A50">
        <v>17</v>
      </c>
      <c r="B50" s="7">
        <f>'Human Details'!L5</f>
        <v>0.32500000000000001</v>
      </c>
      <c r="C50">
        <f>'GPT-4.1-mini'!L5</f>
        <v>0.249999999975</v>
      </c>
      <c r="D50">
        <f t="shared" si="12"/>
        <v>7.5000000025000013E-2</v>
      </c>
      <c r="E50" t="str">
        <f t="shared" si="13"/>
        <v>Nein</v>
      </c>
      <c r="G50">
        <f>'GPT-5.2'!L5</f>
        <v>0.249999999975</v>
      </c>
      <c r="H50">
        <f t="shared" si="14"/>
        <v>7.5000000025000013E-2</v>
      </c>
      <c r="I50" t="str">
        <f t="shared" si="15"/>
        <v>Nein</v>
      </c>
      <c r="K50" s="7">
        <f>Qwen!L5</f>
        <v>0.91666666663611107</v>
      </c>
      <c r="L50">
        <f t="shared" si="16"/>
        <v>0.591666666636111</v>
      </c>
      <c r="M50" t="str">
        <f t="shared" si="17"/>
        <v>Ja</v>
      </c>
      <c r="N50" t="s">
        <v>149</v>
      </c>
    </row>
    <row r="51" spans="1:14" x14ac:dyDescent="0.25">
      <c r="A51">
        <v>20</v>
      </c>
      <c r="B51" s="7">
        <f>'Human Details'!L6</f>
        <v>0.7</v>
      </c>
      <c r="C51">
        <f>'GPT-4.1-mini'!L6</f>
        <v>0.69999999996499995</v>
      </c>
      <c r="D51">
        <f t="shared" si="12"/>
        <v>3.5000002895912985E-11</v>
      </c>
      <c r="E51" t="str">
        <f t="shared" si="13"/>
        <v>Nein</v>
      </c>
      <c r="G51">
        <f>'GPT-5.2'!L6</f>
        <v>0.69999999996499995</v>
      </c>
      <c r="H51">
        <f t="shared" si="14"/>
        <v>3.5000002895912985E-11</v>
      </c>
      <c r="I51" t="str">
        <f t="shared" si="15"/>
        <v>Nein</v>
      </c>
      <c r="K51" s="7">
        <f>Qwen!L6</f>
        <v>0.69999999996499995</v>
      </c>
      <c r="L51">
        <f t="shared" si="16"/>
        <v>3.5000002895912985E-11</v>
      </c>
      <c r="M51" t="str">
        <f t="shared" si="17"/>
        <v>Nein</v>
      </c>
    </row>
    <row r="52" spans="1:14" x14ac:dyDescent="0.25">
      <c r="A52">
        <v>30</v>
      </c>
      <c r="B52" s="7">
        <f>'Human Details'!L7</f>
        <v>0</v>
      </c>
      <c r="C52">
        <f>'GPT-4.1-mini'!L7</f>
        <v>0</v>
      </c>
      <c r="D52">
        <f t="shared" si="12"/>
        <v>0</v>
      </c>
      <c r="E52" t="str">
        <f t="shared" si="13"/>
        <v>Nein</v>
      </c>
      <c r="G52">
        <f>'GPT-5.2'!L7</f>
        <v>0</v>
      </c>
      <c r="H52">
        <f t="shared" si="14"/>
        <v>0</v>
      </c>
      <c r="I52" t="str">
        <f t="shared" si="15"/>
        <v>Nein</v>
      </c>
      <c r="K52" s="7">
        <f>Qwen!L7</f>
        <v>0</v>
      </c>
      <c r="L52">
        <f t="shared" si="16"/>
        <v>0</v>
      </c>
      <c r="M52" t="str">
        <f t="shared" si="17"/>
        <v>Nein</v>
      </c>
    </row>
    <row r="53" spans="1:14" x14ac:dyDescent="0.25">
      <c r="A53">
        <v>33</v>
      </c>
      <c r="B53" s="7">
        <f>'Human Details'!L8</f>
        <v>0.87</v>
      </c>
      <c r="C53">
        <f>'GPT-4.1-mini'!L8</f>
        <v>0.8666666666377778</v>
      </c>
      <c r="D53">
        <f t="shared" si="12"/>
        <v>3.3333333622221906E-3</v>
      </c>
      <c r="E53" t="str">
        <f t="shared" si="13"/>
        <v>Nein</v>
      </c>
      <c r="G53">
        <f>'GPT-5.2'!L8</f>
        <v>0.8666666666377778</v>
      </c>
      <c r="H53">
        <f t="shared" si="14"/>
        <v>3.3333333622221906E-3</v>
      </c>
      <c r="I53" t="str">
        <f t="shared" si="15"/>
        <v>Nein</v>
      </c>
      <c r="K53" s="7">
        <f>Qwen!L8</f>
        <v>0.8666666666377778</v>
      </c>
      <c r="L53">
        <f t="shared" si="16"/>
        <v>3.3333333622221906E-3</v>
      </c>
      <c r="M53" t="str">
        <f t="shared" si="17"/>
        <v>Nein</v>
      </c>
    </row>
    <row r="54" spans="1:14" x14ac:dyDescent="0.25">
      <c r="A54">
        <v>34</v>
      </c>
      <c r="B54" s="7">
        <f>'Human Details'!L9</f>
        <v>0</v>
      </c>
      <c r="C54">
        <f>'GPT-4.1-mini'!L9</f>
        <v>0</v>
      </c>
      <c r="D54">
        <f t="shared" si="12"/>
        <v>0</v>
      </c>
      <c r="E54" t="str">
        <f t="shared" si="13"/>
        <v>Nein</v>
      </c>
      <c r="G54">
        <f>'GPT-5.2'!L9</f>
        <v>0</v>
      </c>
      <c r="H54">
        <f t="shared" si="14"/>
        <v>0</v>
      </c>
      <c r="I54" t="str">
        <f t="shared" si="15"/>
        <v>Nein</v>
      </c>
      <c r="K54" s="7">
        <f>Qwen!L9</f>
        <v>0</v>
      </c>
      <c r="L54">
        <f t="shared" si="16"/>
        <v>0</v>
      </c>
      <c r="M54" t="str">
        <f t="shared" si="17"/>
        <v>Nein</v>
      </c>
    </row>
    <row r="55" spans="1:14" x14ac:dyDescent="0.25">
      <c r="A55">
        <v>64</v>
      </c>
      <c r="B55" s="7">
        <f>'Human Details'!L10</f>
        <v>0</v>
      </c>
      <c r="C55">
        <f>'GPT-4.1-mini'!L10</f>
        <v>0</v>
      </c>
      <c r="D55">
        <f t="shared" si="12"/>
        <v>0</v>
      </c>
      <c r="E55" t="str">
        <f t="shared" si="13"/>
        <v>Nein</v>
      </c>
      <c r="G55">
        <f>'GPT-5.2'!L10</f>
        <v>0</v>
      </c>
      <c r="H55">
        <f t="shared" si="14"/>
        <v>0</v>
      </c>
      <c r="I55" t="str">
        <f t="shared" si="15"/>
        <v>Nein</v>
      </c>
      <c r="K55" s="7">
        <f>Qwen!L10</f>
        <v>0.99999999989999999</v>
      </c>
      <c r="L55">
        <f t="shared" si="16"/>
        <v>0.99999999989999999</v>
      </c>
      <c r="M55" t="str">
        <f t="shared" si="17"/>
        <v>Ja</v>
      </c>
      <c r="N55" t="s">
        <v>149</v>
      </c>
    </row>
    <row r="56" spans="1:14" x14ac:dyDescent="0.25">
      <c r="A56">
        <v>65</v>
      </c>
      <c r="B56" s="7">
        <f>'Human Details'!L11</f>
        <v>0.41666666666666669</v>
      </c>
      <c r="C56">
        <f>'GPT-4.1-mini'!L11</f>
        <v>0.41666666664583329</v>
      </c>
      <c r="D56">
        <f t="shared" si="12"/>
        <v>2.0833390568242294E-11</v>
      </c>
      <c r="E56" t="str">
        <f t="shared" si="13"/>
        <v>Nein</v>
      </c>
      <c r="G56">
        <f>'GPT-5.2'!L11</f>
        <v>0.41666666664583329</v>
      </c>
      <c r="H56">
        <f t="shared" si="14"/>
        <v>2.0833390568242294E-11</v>
      </c>
      <c r="I56" t="str">
        <f t="shared" si="15"/>
        <v>Nein</v>
      </c>
      <c r="K56" s="7">
        <f>Qwen!L11</f>
        <v>0.99999999998</v>
      </c>
      <c r="L56">
        <f t="shared" si="16"/>
        <v>0.58333333331333326</v>
      </c>
      <c r="M56" t="str">
        <f t="shared" si="17"/>
        <v>Ja</v>
      </c>
    </row>
    <row r="57" spans="1:14" x14ac:dyDescent="0.25">
      <c r="A57">
        <v>84</v>
      </c>
      <c r="B57" s="7">
        <f>'Human Details'!L12</f>
        <v>0.95</v>
      </c>
      <c r="C57">
        <f>'GPT-4.1-mini'!L12</f>
        <v>0.8666666666377778</v>
      </c>
      <c r="D57">
        <f t="shared" si="12"/>
        <v>8.3333333362222151E-2</v>
      </c>
      <c r="E57" t="str">
        <f t="shared" si="13"/>
        <v>Nein</v>
      </c>
      <c r="G57">
        <f>'GPT-5.2'!L12</f>
        <v>0.99999999989999999</v>
      </c>
      <c r="H57">
        <f t="shared" si="14"/>
        <v>4.9999999900000036E-2</v>
      </c>
      <c r="I57" t="str">
        <f t="shared" si="15"/>
        <v>Nein</v>
      </c>
      <c r="K57" s="7">
        <f>Qwen!L12</f>
        <v>0.8666666666377778</v>
      </c>
      <c r="L57">
        <f t="shared" si="16"/>
        <v>8.3333333362222151E-2</v>
      </c>
      <c r="M57" t="str">
        <f t="shared" si="17"/>
        <v>Nein</v>
      </c>
    </row>
    <row r="58" spans="1:14" x14ac:dyDescent="0.25">
      <c r="A58">
        <v>89</v>
      </c>
      <c r="B58" s="7">
        <f>'Human Details'!L13</f>
        <v>0</v>
      </c>
      <c r="C58">
        <f>'GPT-4.1-mini'!L13</f>
        <v>0</v>
      </c>
      <c r="D58">
        <f t="shared" si="12"/>
        <v>0</v>
      </c>
      <c r="E58" t="str">
        <f t="shared" si="13"/>
        <v>Nein</v>
      </c>
      <c r="G58">
        <f>'GPT-5.2'!L13</f>
        <v>0</v>
      </c>
      <c r="H58">
        <f t="shared" si="14"/>
        <v>0</v>
      </c>
      <c r="I58" t="str">
        <f t="shared" si="15"/>
        <v>Nein</v>
      </c>
      <c r="K58" s="7">
        <f>Qwen!L13</f>
        <v>0.99999999989999999</v>
      </c>
      <c r="L58">
        <f t="shared" si="16"/>
        <v>0.99999999989999999</v>
      </c>
      <c r="M58" t="str">
        <f t="shared" si="17"/>
        <v>Ja</v>
      </c>
      <c r="N58" t="s">
        <v>149</v>
      </c>
    </row>
    <row r="59" spans="1:14" x14ac:dyDescent="0.25">
      <c r="A59">
        <v>91</v>
      </c>
      <c r="B59" s="7">
        <f>'Human Details'!L14</f>
        <v>0.25</v>
      </c>
      <c r="C59">
        <f>'GPT-4.1-mini'!L14</f>
        <v>0.249999999975</v>
      </c>
      <c r="D59">
        <f t="shared" si="12"/>
        <v>2.5000002068509275E-11</v>
      </c>
      <c r="E59" t="str">
        <f t="shared" si="13"/>
        <v>Nein</v>
      </c>
      <c r="G59">
        <f>'GPT-5.2'!L14</f>
        <v>0.249999999975</v>
      </c>
      <c r="H59">
        <f t="shared" si="14"/>
        <v>2.5000002068509275E-11</v>
      </c>
      <c r="I59" t="str">
        <f t="shared" si="15"/>
        <v>Nein</v>
      </c>
      <c r="K59" s="7">
        <f>Qwen!L14</f>
        <v>0.999999999975</v>
      </c>
      <c r="L59">
        <f t="shared" si="16"/>
        <v>0.749999999975</v>
      </c>
      <c r="M59" t="str">
        <f t="shared" si="17"/>
        <v>Ja</v>
      </c>
      <c r="N59" t="s">
        <v>149</v>
      </c>
    </row>
    <row r="60" spans="1:14" x14ac:dyDescent="0.25">
      <c r="A60">
        <v>97</v>
      </c>
      <c r="B60" s="7">
        <f>'Human Details'!L15</f>
        <v>0.5</v>
      </c>
      <c r="C60">
        <f>'GPT-4.1-mini'!L15</f>
        <v>0.99999999998</v>
      </c>
      <c r="D60">
        <f t="shared" si="12"/>
        <v>0.49999999998</v>
      </c>
      <c r="E60" t="str">
        <f t="shared" si="13"/>
        <v>Nein</v>
      </c>
      <c r="G60">
        <f>'GPT-5.2'!L15</f>
        <v>0.53333333331555555</v>
      </c>
      <c r="H60">
        <f t="shared" si="14"/>
        <v>3.3333333315555547E-2</v>
      </c>
      <c r="I60" t="str">
        <f t="shared" si="15"/>
        <v>Nein</v>
      </c>
      <c r="K60" s="7">
        <f>Qwen!L15</f>
        <v>0.99999999998</v>
      </c>
      <c r="L60">
        <f t="shared" si="16"/>
        <v>0.49999999998</v>
      </c>
      <c r="M60" t="str">
        <f>IF(L60&gt;=0.5, "Ja", "Nein")</f>
        <v>Nein</v>
      </c>
    </row>
    <row r="61" spans="1:14" x14ac:dyDescent="0.25">
      <c r="A61">
        <v>110</v>
      </c>
      <c r="B61" s="7">
        <f>'Human Details'!L16</f>
        <v>0.3</v>
      </c>
      <c r="C61">
        <f>'GPT-4.1-mini'!L16</f>
        <v>0.499999999975</v>
      </c>
      <c r="D61">
        <f t="shared" si="12"/>
        <v>0.19999999997500001</v>
      </c>
      <c r="E61" t="str">
        <f t="shared" si="13"/>
        <v>Nein</v>
      </c>
      <c r="G61">
        <f>'GPT-5.2'!L16</f>
        <v>0.49999999995</v>
      </c>
      <c r="H61">
        <f t="shared" si="14"/>
        <v>0.19999999995000001</v>
      </c>
      <c r="I61" t="str">
        <f t="shared" si="15"/>
        <v>Nein</v>
      </c>
      <c r="K61" s="7">
        <f>Qwen!L16</f>
        <v>0.49999999995</v>
      </c>
      <c r="L61">
        <f t="shared" si="16"/>
        <v>0.19999999995000001</v>
      </c>
      <c r="M61" t="str">
        <f t="shared" si="17"/>
        <v>Nein</v>
      </c>
      <c r="N61" t="s">
        <v>150</v>
      </c>
    </row>
    <row r="63" spans="1:14" x14ac:dyDescent="0.25">
      <c r="B63" t="s">
        <v>139</v>
      </c>
      <c r="C63">
        <f>COUNTIFS(E47:E61,"Nein")</f>
        <v>14</v>
      </c>
      <c r="F63" t="s">
        <v>139</v>
      </c>
      <c r="G63">
        <f>COUNTIFS(I47:I61, "Nein")</f>
        <v>14</v>
      </c>
      <c r="J63" t="s">
        <v>139</v>
      </c>
      <c r="K63">
        <f>COUNTIFS(M47:M61, "Nein")</f>
        <v>9</v>
      </c>
    </row>
    <row r="64" spans="1:14" x14ac:dyDescent="0.25">
      <c r="B64" t="s">
        <v>140</v>
      </c>
      <c r="C64">
        <f>COUNTIFS(E47:E61,"Ja")</f>
        <v>1</v>
      </c>
      <c r="F64" t="s">
        <v>140</v>
      </c>
      <c r="G64">
        <f>COUNTIFS(I47:I61, "Ja")</f>
        <v>1</v>
      </c>
      <c r="J64" t="s">
        <v>140</v>
      </c>
      <c r="K64">
        <f>COUNTIFS(M47:M61, "Ja")</f>
        <v>6</v>
      </c>
    </row>
    <row r="65" spans="1:13" x14ac:dyDescent="0.25">
      <c r="B65" t="s">
        <v>141</v>
      </c>
      <c r="C65">
        <f>1-C64/(C64+C63)</f>
        <v>0.93333333333333335</v>
      </c>
      <c r="F65" t="s">
        <v>141</v>
      </c>
      <c r="G65">
        <f>1-G64/(G64+G63)</f>
        <v>0.93333333333333335</v>
      </c>
      <c r="J65" t="s">
        <v>141</v>
      </c>
      <c r="K65">
        <f>1-K64/(K64+K63)</f>
        <v>0.6</v>
      </c>
    </row>
    <row r="67" spans="1:13" x14ac:dyDescent="0.25">
      <c r="A67" t="s">
        <v>145</v>
      </c>
    </row>
    <row r="68" spans="1:13" x14ac:dyDescent="0.25">
      <c r="A68" t="s">
        <v>131</v>
      </c>
      <c r="B68" t="s">
        <v>130</v>
      </c>
      <c r="C68" t="s">
        <v>138</v>
      </c>
      <c r="D68" t="s">
        <v>144</v>
      </c>
      <c r="E68" t="s">
        <v>146</v>
      </c>
      <c r="G68" t="s">
        <v>143</v>
      </c>
      <c r="H68" t="s">
        <v>144</v>
      </c>
      <c r="I68" t="s">
        <v>146</v>
      </c>
      <c r="K68" t="s">
        <v>148</v>
      </c>
      <c r="L68" t="s">
        <v>144</v>
      </c>
      <c r="M68" t="s">
        <v>146</v>
      </c>
    </row>
    <row r="69" spans="1:13" x14ac:dyDescent="0.25">
      <c r="A69">
        <v>1</v>
      </c>
      <c r="B69" s="7">
        <f>'Human Details'!N2</f>
        <v>0.45454545454545453</v>
      </c>
      <c r="C69">
        <f>'GPT-4.1-mini'!N2</f>
        <v>0.1111111109876543</v>
      </c>
      <c r="D69">
        <f>ABS(C69-B69)</f>
        <v>0.34343434355780023</v>
      </c>
      <c r="E69" t="str">
        <f>IF(D69&gt;0.5, "Ja", "Nein")</f>
        <v>Nein</v>
      </c>
      <c r="G69">
        <f>'GPT-5.2'!N2</f>
        <v>0.99999999000000017</v>
      </c>
      <c r="H69">
        <f>ABS(G69-$B69)</f>
        <v>0.5454545354545457</v>
      </c>
      <c r="I69" t="str">
        <f>IF(H69&gt;0.5, "Ja", "Nein")</f>
        <v>Ja</v>
      </c>
      <c r="K69" s="7">
        <f>Qwen!N2</f>
        <v>0.1111111109876543</v>
      </c>
      <c r="L69">
        <f>ABS(K69-$B69)</f>
        <v>0.34343434355780023</v>
      </c>
      <c r="M69" t="str">
        <f>IF(L69&gt;=0.5, "Ja", "Nein")</f>
        <v>Nein</v>
      </c>
    </row>
    <row r="70" spans="1:13" x14ac:dyDescent="0.25">
      <c r="A70">
        <v>8</v>
      </c>
      <c r="B70" s="7">
        <f>'Human Details'!N3</f>
        <v>0</v>
      </c>
      <c r="C70">
        <f>'GPT-4.1-mini'!N3</f>
        <v>0</v>
      </c>
      <c r="D70">
        <f t="shared" ref="D70:D83" si="18">ABS(C70-B70)</f>
        <v>0</v>
      </c>
      <c r="E70" t="str">
        <f t="shared" ref="E70:E83" si="19">IF(D70&gt;0.5, "Ja", "Nein")</f>
        <v>Nein</v>
      </c>
      <c r="G70">
        <f>'GPT-5.2'!N3</f>
        <v>0</v>
      </c>
      <c r="H70">
        <f t="shared" ref="H70:H83" si="20">ABS(G70-$B70)</f>
        <v>0</v>
      </c>
      <c r="I70" t="str">
        <f t="shared" ref="I70:I83" si="21">IF(H70&gt;0.5, "Ja", "Nein")</f>
        <v>Nein</v>
      </c>
      <c r="K70" s="7">
        <f>Qwen!N3</f>
        <v>0</v>
      </c>
      <c r="L70">
        <f t="shared" ref="L70:L83" si="22">ABS(K70-$B70)</f>
        <v>0</v>
      </c>
      <c r="M70" t="str">
        <f t="shared" ref="M70:M83" si="23">IF(L70&gt;=0.5, "Ja", "Nein")</f>
        <v>Nein</v>
      </c>
    </row>
    <row r="71" spans="1:13" x14ac:dyDescent="0.25">
      <c r="A71">
        <v>11</v>
      </c>
      <c r="B71" s="7">
        <f>'Human Details'!N4</f>
        <v>1</v>
      </c>
      <c r="C71">
        <f>'GPT-4.1-mini'!N4</f>
        <v>0.19999999979999999</v>
      </c>
      <c r="D71">
        <f t="shared" si="18"/>
        <v>0.80000000020000006</v>
      </c>
      <c r="E71" t="str">
        <f t="shared" si="19"/>
        <v>Ja</v>
      </c>
      <c r="G71">
        <f>'GPT-5.2'!N4</f>
        <v>0.63636363578512389</v>
      </c>
      <c r="H71">
        <f t="shared" si="20"/>
        <v>0.36363636421487611</v>
      </c>
      <c r="I71" t="str">
        <f t="shared" si="21"/>
        <v>Nein</v>
      </c>
      <c r="K71" s="7">
        <f>Qwen!N4</f>
        <v>0.63636363578512389</v>
      </c>
      <c r="L71">
        <f t="shared" si="22"/>
        <v>0.36363636421487611</v>
      </c>
      <c r="M71" t="str">
        <f t="shared" si="23"/>
        <v>Nein</v>
      </c>
    </row>
    <row r="72" spans="1:13" x14ac:dyDescent="0.25">
      <c r="A72">
        <v>17</v>
      </c>
      <c r="B72" s="7">
        <f>'Human Details'!N5</f>
        <v>1</v>
      </c>
      <c r="C72">
        <f>'GPT-4.1-mini'!N5</f>
        <v>0.59999999939999993</v>
      </c>
      <c r="D72">
        <f t="shared" si="18"/>
        <v>0.40000000060000007</v>
      </c>
      <c r="E72" t="str">
        <f t="shared" si="19"/>
        <v>Nein</v>
      </c>
      <c r="G72">
        <f>'GPT-5.2'!N5</f>
        <v>0.59999999939999993</v>
      </c>
      <c r="H72">
        <f t="shared" si="20"/>
        <v>0.40000000060000007</v>
      </c>
      <c r="I72" t="str">
        <f t="shared" si="21"/>
        <v>Nein</v>
      </c>
      <c r="K72" s="7">
        <f>Qwen!N5</f>
        <v>0.66666666592592583</v>
      </c>
      <c r="L72">
        <f t="shared" si="22"/>
        <v>0.33333333407407417</v>
      </c>
      <c r="M72" t="str">
        <f t="shared" si="23"/>
        <v>Nein</v>
      </c>
    </row>
    <row r="73" spans="1:13" x14ac:dyDescent="0.25">
      <c r="A73">
        <v>20</v>
      </c>
      <c r="B73" s="7">
        <f>'Human Details'!N6</f>
        <v>0.8571428571428571</v>
      </c>
      <c r="C73">
        <f>'GPT-4.1-mini'!N6</f>
        <v>0.77777777691358019</v>
      </c>
      <c r="D73">
        <f t="shared" si="18"/>
        <v>7.9365080229276908E-2</v>
      </c>
      <c r="E73" t="str">
        <f t="shared" si="19"/>
        <v>Nein</v>
      </c>
      <c r="G73">
        <f>'GPT-5.2'!N6</f>
        <v>0.1111111109876543</v>
      </c>
      <c r="H73">
        <f t="shared" si="20"/>
        <v>0.74603174615520285</v>
      </c>
      <c r="I73" t="str">
        <f t="shared" si="21"/>
        <v>Ja</v>
      </c>
      <c r="K73" s="7">
        <f>Qwen!N6</f>
        <v>0</v>
      </c>
      <c r="L73">
        <f t="shared" si="22"/>
        <v>0.8571428571428571</v>
      </c>
      <c r="M73" t="str">
        <f t="shared" si="23"/>
        <v>Ja</v>
      </c>
    </row>
    <row r="74" spans="1:13" x14ac:dyDescent="0.25">
      <c r="A74">
        <v>30</v>
      </c>
      <c r="B74" s="7">
        <f>'Human Details'!N7</f>
        <v>0</v>
      </c>
      <c r="C74">
        <f>'GPT-4.1-mini'!N7</f>
        <v>0</v>
      </c>
      <c r="D74">
        <f t="shared" si="18"/>
        <v>0</v>
      </c>
      <c r="E74" t="str">
        <f t="shared" si="19"/>
        <v>Nein</v>
      </c>
      <c r="G74">
        <f>'GPT-5.2'!N7</f>
        <v>0</v>
      </c>
      <c r="H74">
        <f t="shared" si="20"/>
        <v>0</v>
      </c>
      <c r="I74" t="str">
        <f t="shared" si="21"/>
        <v>Nein</v>
      </c>
      <c r="K74" s="7">
        <f>Qwen!N7</f>
        <v>0</v>
      </c>
      <c r="L74">
        <f t="shared" si="22"/>
        <v>0</v>
      </c>
      <c r="M74" t="str">
        <f t="shared" si="23"/>
        <v>Nein</v>
      </c>
    </row>
    <row r="75" spans="1:13" x14ac:dyDescent="0.25">
      <c r="A75">
        <v>33</v>
      </c>
      <c r="B75" s="7">
        <f>'Human Details'!N8</f>
        <v>1</v>
      </c>
      <c r="C75">
        <f>'GPT-4.1-mini'!N8</f>
        <v>0.99999999500000003</v>
      </c>
      <c r="D75">
        <f t="shared" si="18"/>
        <v>4.9999999696126451E-9</v>
      </c>
      <c r="E75" t="str">
        <f t="shared" si="19"/>
        <v>Nein</v>
      </c>
      <c r="G75">
        <f>'GPT-5.2'!N8</f>
        <v>0.49999999750000002</v>
      </c>
      <c r="H75">
        <f t="shared" si="20"/>
        <v>0.50000000249999998</v>
      </c>
      <c r="I75" t="str">
        <f t="shared" si="21"/>
        <v>Ja</v>
      </c>
      <c r="K75" s="7">
        <f>Qwen!N8</f>
        <v>0.249999999375</v>
      </c>
      <c r="L75">
        <f t="shared" si="22"/>
        <v>0.75000000062500005</v>
      </c>
      <c r="M75" t="str">
        <f t="shared" si="23"/>
        <v>Ja</v>
      </c>
    </row>
    <row r="76" spans="1:13" x14ac:dyDescent="0.25">
      <c r="A76">
        <v>34</v>
      </c>
      <c r="B76" s="7">
        <f>'Human Details'!N9</f>
        <v>0</v>
      </c>
      <c r="C76">
        <f>'GPT-4.1-mini'!N9</f>
        <v>0</v>
      </c>
      <c r="D76">
        <f t="shared" si="18"/>
        <v>0</v>
      </c>
      <c r="E76" t="str">
        <f t="shared" si="19"/>
        <v>Nein</v>
      </c>
      <c r="G76">
        <f>'GPT-5.2'!N9</f>
        <v>0</v>
      </c>
      <c r="H76">
        <f t="shared" si="20"/>
        <v>0</v>
      </c>
      <c r="I76" t="str">
        <f t="shared" si="21"/>
        <v>Nein</v>
      </c>
      <c r="K76" s="7">
        <f>Qwen!N9</f>
        <v>0</v>
      </c>
      <c r="L76">
        <f t="shared" si="22"/>
        <v>0</v>
      </c>
      <c r="M76" t="str">
        <f t="shared" si="23"/>
        <v>Nein</v>
      </c>
    </row>
    <row r="77" spans="1:13" x14ac:dyDescent="0.25">
      <c r="A77">
        <v>64</v>
      </c>
      <c r="B77" s="7">
        <f>'Human Details'!N10</f>
        <v>0</v>
      </c>
      <c r="C77">
        <f>'GPT-4.1-mini'!N10</f>
        <v>0</v>
      </c>
      <c r="D77">
        <f t="shared" si="18"/>
        <v>0</v>
      </c>
      <c r="E77" t="str">
        <f t="shared" si="19"/>
        <v>Nein</v>
      </c>
      <c r="G77">
        <f>'GPT-5.2'!N10</f>
        <v>0</v>
      </c>
      <c r="H77">
        <f t="shared" si="20"/>
        <v>0</v>
      </c>
      <c r="I77" t="str">
        <f t="shared" si="21"/>
        <v>Nein</v>
      </c>
      <c r="K77" s="7">
        <f>Qwen!N10</f>
        <v>0</v>
      </c>
      <c r="L77">
        <f t="shared" si="22"/>
        <v>0</v>
      </c>
      <c r="M77" t="str">
        <f t="shared" si="23"/>
        <v>Nein</v>
      </c>
    </row>
    <row r="78" spans="1:13" x14ac:dyDescent="0.25">
      <c r="A78">
        <v>65</v>
      </c>
      <c r="B78" s="7">
        <f>'Human Details'!N11</f>
        <v>1</v>
      </c>
      <c r="C78">
        <f>'GPT-4.1-mini'!N11</f>
        <v>0.2068965516527943</v>
      </c>
      <c r="D78">
        <f t="shared" si="18"/>
        <v>0.7931034483472057</v>
      </c>
      <c r="E78" t="str">
        <f t="shared" si="19"/>
        <v>Ja</v>
      </c>
      <c r="G78">
        <f>'GPT-5.2'!N11</f>
        <v>0.1714285713795918</v>
      </c>
      <c r="H78">
        <f t="shared" si="20"/>
        <v>0.82857142862040822</v>
      </c>
      <c r="I78" t="str">
        <f t="shared" si="21"/>
        <v>Ja</v>
      </c>
      <c r="K78" s="7">
        <f>Qwen!N11</f>
        <v>0.1176470587543253</v>
      </c>
      <c r="L78">
        <f t="shared" si="22"/>
        <v>0.88235294124567476</v>
      </c>
      <c r="M78" t="str">
        <f t="shared" si="23"/>
        <v>Ja</v>
      </c>
    </row>
    <row r="79" spans="1:13" x14ac:dyDescent="0.25">
      <c r="A79">
        <v>84</v>
      </c>
      <c r="B79" s="7">
        <f>'Human Details'!N12</f>
        <v>0.1111111111111111</v>
      </c>
      <c r="C79">
        <f>'GPT-4.1-mini'!N12</f>
        <v>7.1428571377551014E-2</v>
      </c>
      <c r="D79">
        <f t="shared" si="18"/>
        <v>3.968253973356009E-2</v>
      </c>
      <c r="E79" t="str">
        <f t="shared" si="19"/>
        <v>Nein</v>
      </c>
      <c r="G79">
        <f>'GPT-5.2'!N12</f>
        <v>0</v>
      </c>
      <c r="H79">
        <f t="shared" si="20"/>
        <v>0.1111111111111111</v>
      </c>
      <c r="I79" t="str">
        <f t="shared" si="21"/>
        <v>Nein</v>
      </c>
      <c r="K79" s="7">
        <f>Qwen!N12</f>
        <v>0</v>
      </c>
      <c r="L79">
        <f t="shared" si="22"/>
        <v>0.1111111111111111</v>
      </c>
      <c r="M79" t="str">
        <f t="shared" si="23"/>
        <v>Nein</v>
      </c>
    </row>
    <row r="80" spans="1:13" x14ac:dyDescent="0.25">
      <c r="A80">
        <v>89</v>
      </c>
      <c r="B80" s="7">
        <f>'Human Details'!N13</f>
        <v>0.25</v>
      </c>
      <c r="C80">
        <f>'GPT-4.1-mini'!N13</f>
        <v>0.249999999375</v>
      </c>
      <c r="D80">
        <f t="shared" si="18"/>
        <v>6.2499999620158064E-10</v>
      </c>
      <c r="E80" t="str">
        <f t="shared" si="19"/>
        <v>Nein</v>
      </c>
      <c r="G80">
        <f>'GPT-5.2'!N13</f>
        <v>0.249999999375</v>
      </c>
      <c r="H80">
        <f t="shared" si="20"/>
        <v>6.2499999620158064E-10</v>
      </c>
      <c r="I80" t="str">
        <f t="shared" si="21"/>
        <v>Nein</v>
      </c>
      <c r="K80" s="7">
        <f>Qwen!N13</f>
        <v>0</v>
      </c>
      <c r="L80">
        <f t="shared" si="22"/>
        <v>0.25</v>
      </c>
      <c r="M80" t="str">
        <f t="shared" si="23"/>
        <v>Nein</v>
      </c>
    </row>
    <row r="81" spans="1:13" x14ac:dyDescent="0.25">
      <c r="A81">
        <v>91</v>
      </c>
      <c r="B81" s="7">
        <f>'Human Details'!N14</f>
        <v>0.1875</v>
      </c>
      <c r="C81">
        <f>'GPT-4.1-mini'!N14</f>
        <v>9.9999999950000001E-2</v>
      </c>
      <c r="D81">
        <f t="shared" si="18"/>
        <v>8.7500000049999999E-2</v>
      </c>
      <c r="E81" t="str">
        <f t="shared" si="19"/>
        <v>Nein</v>
      </c>
      <c r="G81">
        <f>'GPT-5.2'!N14</f>
        <v>0.19047619038548749</v>
      </c>
      <c r="H81">
        <f t="shared" si="20"/>
        <v>2.9761903854874927E-3</v>
      </c>
      <c r="I81" t="str">
        <f t="shared" si="21"/>
        <v>Nein</v>
      </c>
      <c r="K81" s="7">
        <f>Qwen!N14</f>
        <v>7.6923076863905315E-2</v>
      </c>
      <c r="L81">
        <f t="shared" si="22"/>
        <v>0.11057692313609468</v>
      </c>
      <c r="M81" t="str">
        <f t="shared" si="23"/>
        <v>Nein</v>
      </c>
    </row>
    <row r="82" spans="1:13" x14ac:dyDescent="0.25">
      <c r="A82">
        <v>97</v>
      </c>
      <c r="B82" s="7">
        <f>'Human Details'!N15</f>
        <v>0.54545454545454541</v>
      </c>
      <c r="C82">
        <f>'GPT-4.1-mini'!N15</f>
        <v>0.16666666638888891</v>
      </c>
      <c r="D82">
        <f t="shared" si="18"/>
        <v>0.37878787906565647</v>
      </c>
      <c r="E82" t="str">
        <f t="shared" si="19"/>
        <v>Nein</v>
      </c>
      <c r="G82">
        <f>'GPT-5.2'!N15</f>
        <v>0.16666666638888891</v>
      </c>
      <c r="H82">
        <f t="shared" si="20"/>
        <v>0.37878787906565647</v>
      </c>
      <c r="I82" t="str">
        <f t="shared" si="21"/>
        <v>Nein</v>
      </c>
      <c r="K82" s="7">
        <f>Qwen!N15</f>
        <v>0</v>
      </c>
      <c r="L82">
        <f t="shared" si="22"/>
        <v>0.54545454545454541</v>
      </c>
      <c r="M82" t="str">
        <f t="shared" si="23"/>
        <v>Ja</v>
      </c>
    </row>
    <row r="83" spans="1:13" x14ac:dyDescent="0.25">
      <c r="A83">
        <v>110</v>
      </c>
      <c r="B83" s="7">
        <f>'Human Details'!N16</f>
        <v>0.26315789473684209</v>
      </c>
      <c r="C83">
        <f>'GPT-4.1-mini'!N16</f>
        <v>5.5555555524691352E-2</v>
      </c>
      <c r="D83">
        <f t="shared" si="18"/>
        <v>0.20760233921215074</v>
      </c>
      <c r="E83" t="str">
        <f t="shared" si="19"/>
        <v>Nein</v>
      </c>
      <c r="G83">
        <f>'GPT-5.2'!N16</f>
        <v>0.1111111110493827</v>
      </c>
      <c r="H83">
        <f t="shared" si="20"/>
        <v>0.15204678368745939</v>
      </c>
      <c r="I83" t="str">
        <f t="shared" si="21"/>
        <v>Nein</v>
      </c>
      <c r="K83" s="7">
        <f>Qwen!N16</f>
        <v>7.6923076863905315E-2</v>
      </c>
      <c r="L83">
        <f t="shared" si="22"/>
        <v>0.18623481787293678</v>
      </c>
      <c r="M83" t="str">
        <f t="shared" si="23"/>
        <v>Nein</v>
      </c>
    </row>
    <row r="85" spans="1:13" x14ac:dyDescent="0.25">
      <c r="B85" t="s">
        <v>139</v>
      </c>
      <c r="C85">
        <f>COUNTIFS(E69:E83,"Nein")</f>
        <v>13</v>
      </c>
      <c r="F85" t="s">
        <v>139</v>
      </c>
      <c r="G85">
        <f>COUNTIFS(I69:I83, "Nein")</f>
        <v>11</v>
      </c>
      <c r="J85" t="s">
        <v>139</v>
      </c>
      <c r="K85">
        <f>COUNTIFS(M69:M83, "Nein")</f>
        <v>11</v>
      </c>
    </row>
    <row r="86" spans="1:13" x14ac:dyDescent="0.25">
      <c r="B86" t="s">
        <v>140</v>
      </c>
      <c r="C86">
        <f>COUNTIFS(E69:E83,"Ja")</f>
        <v>2</v>
      </c>
      <c r="F86" t="s">
        <v>140</v>
      </c>
      <c r="G86">
        <f>COUNTIFS(I69:I83, "Ja")</f>
        <v>4</v>
      </c>
      <c r="J86" t="s">
        <v>140</v>
      </c>
      <c r="K86">
        <f>COUNTIFS(M69:M83, "Ja")</f>
        <v>4</v>
      </c>
    </row>
    <row r="87" spans="1:13" x14ac:dyDescent="0.25">
      <c r="B87" t="s">
        <v>141</v>
      </c>
      <c r="C87">
        <f>1-C86/(C86+C85)</f>
        <v>0.8666666666666667</v>
      </c>
      <c r="F87" t="s">
        <v>141</v>
      </c>
      <c r="G87">
        <f>1-G86/(G86+G85)</f>
        <v>0.73333333333333339</v>
      </c>
      <c r="J87" t="s">
        <v>141</v>
      </c>
      <c r="K87">
        <f>1-K86/(K86+K85)</f>
        <v>0.73333333333333339</v>
      </c>
    </row>
    <row r="89" spans="1:13" x14ac:dyDescent="0.25">
      <c r="A89" t="s">
        <v>124</v>
      </c>
    </row>
    <row r="90" spans="1:13" x14ac:dyDescent="0.25">
      <c r="A90" t="s">
        <v>131</v>
      </c>
      <c r="B90" t="s">
        <v>130</v>
      </c>
      <c r="C90" t="s">
        <v>138</v>
      </c>
      <c r="D90" t="s">
        <v>144</v>
      </c>
      <c r="E90" t="s">
        <v>146</v>
      </c>
      <c r="G90" t="s">
        <v>143</v>
      </c>
      <c r="H90" t="s">
        <v>144</v>
      </c>
      <c r="I90" t="s">
        <v>146</v>
      </c>
      <c r="K90" t="s">
        <v>148</v>
      </c>
      <c r="L90" t="s">
        <v>144</v>
      </c>
      <c r="M90" t="s">
        <v>146</v>
      </c>
    </row>
    <row r="91" spans="1:13" x14ac:dyDescent="0.25">
      <c r="A91">
        <v>1</v>
      </c>
      <c r="B91" s="7">
        <f>'Human Details'!O2</f>
        <v>1</v>
      </c>
      <c r="C91">
        <f>'GPT-4.1-mini'!O2</f>
        <v>0.84578900131503387</v>
      </c>
      <c r="D91">
        <f>ABS(C91-B91)</f>
        <v>0.15421099868496613</v>
      </c>
      <c r="E91" t="str">
        <f>IF(D91&gt;0.5, "Ja", "Nein")</f>
        <v>Nein</v>
      </c>
      <c r="G91">
        <f>'GPT-5.2'!O2</f>
        <v>0.84578900131503387</v>
      </c>
      <c r="H91">
        <f>ABS(G91-$B91)</f>
        <v>0.15421099868496613</v>
      </c>
      <c r="I91" t="str">
        <f>IF(H91&gt;0.5, "Ja", "Nein")</f>
        <v>Nein</v>
      </c>
      <c r="K91" s="7">
        <f>Qwen!O2</f>
        <v>0.8184370341640177</v>
      </c>
      <c r="L91">
        <f>ABS(K91-$B91)</f>
        <v>0.1815629658359823</v>
      </c>
      <c r="M91" t="str">
        <f>IF(L91&gt;=0.5, "Ja", "Nein")</f>
        <v>Nein</v>
      </c>
    </row>
    <row r="92" spans="1:13" x14ac:dyDescent="0.25">
      <c r="A92">
        <v>8</v>
      </c>
      <c r="B92" s="7">
        <f>'Human Details'!O3</f>
        <v>0.25</v>
      </c>
      <c r="C92">
        <f>'GPT-4.1-mini'!O3</f>
        <v>0.98983701136776203</v>
      </c>
      <c r="D92">
        <f t="shared" ref="D92:D105" si="24">ABS(C92-B92)</f>
        <v>0.73983701136776203</v>
      </c>
      <c r="E92" t="str">
        <f t="shared" ref="E92:E105" si="25">IF(D92&gt;0.5, "Ja", "Nein")</f>
        <v>Ja</v>
      </c>
      <c r="G92">
        <f>'GPT-5.2'!O3</f>
        <v>0.95011750553267704</v>
      </c>
      <c r="H92">
        <f t="shared" ref="H92:H105" si="26">ABS(G92-$B92)</f>
        <v>0.70011750553267704</v>
      </c>
      <c r="I92" t="str">
        <f t="shared" ref="I92:I105" si="27">IF(H92&gt;0.5, "Ja", "Nein")</f>
        <v>Ja</v>
      </c>
      <c r="K92" s="7">
        <f>Qwen!O3</f>
        <v>0.90916317892746579</v>
      </c>
      <c r="L92">
        <f t="shared" ref="L92:L105" si="28">ABS(K92-$B92)</f>
        <v>0.65916317892746579</v>
      </c>
      <c r="M92" t="str">
        <f t="shared" ref="M92:M105" si="29">IF(L92&gt;=0.5, "Ja", "Nein")</f>
        <v>Ja</v>
      </c>
    </row>
    <row r="93" spans="1:13" x14ac:dyDescent="0.25">
      <c r="A93">
        <v>11</v>
      </c>
      <c r="B93" s="7">
        <f>'Human Details'!O4</f>
        <v>1</v>
      </c>
      <c r="C93">
        <f>'GPT-4.1-mini'!O4</f>
        <v>0.99999999999999989</v>
      </c>
      <c r="D93">
        <f t="shared" si="24"/>
        <v>1.1102230246251565E-16</v>
      </c>
      <c r="E93" t="str">
        <f t="shared" si="25"/>
        <v>Nein</v>
      </c>
      <c r="G93">
        <f>'GPT-5.2'!O4</f>
        <v>0.997965712763908</v>
      </c>
      <c r="H93">
        <f t="shared" si="26"/>
        <v>2.0342872360920028E-3</v>
      </c>
      <c r="I93" t="str">
        <f t="shared" si="27"/>
        <v>Nein</v>
      </c>
      <c r="K93" s="7">
        <f>Qwen!O4</f>
        <v>0.89485486254170443</v>
      </c>
      <c r="L93">
        <f t="shared" si="28"/>
        <v>0.10514513745829557</v>
      </c>
      <c r="M93" t="str">
        <f t="shared" si="29"/>
        <v>Nein</v>
      </c>
    </row>
    <row r="94" spans="1:13" x14ac:dyDescent="0.25">
      <c r="A94">
        <v>17</v>
      </c>
      <c r="B94" s="7">
        <f>'Human Details'!O5</f>
        <v>1</v>
      </c>
      <c r="C94">
        <f>'GPT-4.1-mini'!O5</f>
        <v>0.87199182957967969</v>
      </c>
      <c r="D94">
        <f t="shared" si="24"/>
        <v>0.12800817042032031</v>
      </c>
      <c r="E94" t="str">
        <f t="shared" si="25"/>
        <v>Nein</v>
      </c>
      <c r="G94">
        <f>'GPT-5.2'!O5</f>
        <v>0.87199182957967969</v>
      </c>
      <c r="H94">
        <f t="shared" si="26"/>
        <v>0.12800817042032031</v>
      </c>
      <c r="I94" t="str">
        <f t="shared" si="27"/>
        <v>Nein</v>
      </c>
      <c r="K94" s="7">
        <f>Qwen!O5</f>
        <v>0.82287966408490476</v>
      </c>
      <c r="L94">
        <f t="shared" si="28"/>
        <v>0.17712033591509524</v>
      </c>
      <c r="M94" t="str">
        <f t="shared" si="29"/>
        <v>Nein</v>
      </c>
    </row>
    <row r="95" spans="1:13" x14ac:dyDescent="0.25">
      <c r="A95">
        <v>20</v>
      </c>
      <c r="B95" s="7">
        <f>'Human Details'!O6</f>
        <v>1</v>
      </c>
      <c r="C95">
        <f>'GPT-4.1-mini'!O6</f>
        <v>0.82564435852860873</v>
      </c>
      <c r="D95">
        <f t="shared" si="24"/>
        <v>0.17435564147139127</v>
      </c>
      <c r="E95" t="str">
        <f t="shared" si="25"/>
        <v>Nein</v>
      </c>
      <c r="G95">
        <f>'GPT-5.2'!O6</f>
        <v>0.81011962608404098</v>
      </c>
      <c r="H95">
        <f t="shared" si="26"/>
        <v>0.18988037391595902</v>
      </c>
      <c r="I95" t="str">
        <f t="shared" si="27"/>
        <v>Nein</v>
      </c>
      <c r="K95" s="7">
        <f>Qwen!O6</f>
        <v>0.75045502392091201</v>
      </c>
      <c r="L95">
        <f t="shared" si="28"/>
        <v>0.24954497607908799</v>
      </c>
      <c r="M95" t="str">
        <f t="shared" si="29"/>
        <v>Nein</v>
      </c>
    </row>
    <row r="96" spans="1:13" x14ac:dyDescent="0.25">
      <c r="A96">
        <v>30</v>
      </c>
      <c r="B96" s="7">
        <f>'Human Details'!O7</f>
        <v>0.25</v>
      </c>
      <c r="C96">
        <f>'GPT-4.1-mini'!O7</f>
        <v>0.75604901887450682</v>
      </c>
      <c r="D96">
        <f t="shared" si="24"/>
        <v>0.50604901887450682</v>
      </c>
      <c r="E96" t="str">
        <f t="shared" si="25"/>
        <v>Ja</v>
      </c>
      <c r="G96">
        <f>'GPT-5.2'!O7</f>
        <v>0.77218342633908232</v>
      </c>
      <c r="H96">
        <f t="shared" si="26"/>
        <v>0.52218342633908232</v>
      </c>
      <c r="I96" t="str">
        <f t="shared" si="27"/>
        <v>Ja</v>
      </c>
      <c r="K96" s="7">
        <f>Qwen!O7</f>
        <v>0.73554186685025991</v>
      </c>
      <c r="L96">
        <f t="shared" si="28"/>
        <v>0.48554186685025991</v>
      </c>
      <c r="M96" t="str">
        <f t="shared" si="29"/>
        <v>Nein</v>
      </c>
    </row>
    <row r="97" spans="1:13" x14ac:dyDescent="0.25">
      <c r="A97">
        <v>33</v>
      </c>
      <c r="B97" s="7">
        <f>'Human Details'!O8</f>
        <v>1</v>
      </c>
      <c r="C97">
        <f>'GPT-4.1-mini'!O8</f>
        <v>0.9891112201369866</v>
      </c>
      <c r="D97">
        <f t="shared" si="24"/>
        <v>1.0888779863013398E-2</v>
      </c>
      <c r="E97" t="str">
        <f t="shared" si="25"/>
        <v>Nein</v>
      </c>
      <c r="G97">
        <f>'GPT-5.2'!O8</f>
        <v>0.97972603190872654</v>
      </c>
      <c r="H97">
        <f t="shared" si="26"/>
        <v>2.0273968091273464E-2</v>
      </c>
      <c r="I97" t="str">
        <f t="shared" si="27"/>
        <v>Nein</v>
      </c>
      <c r="K97" s="7">
        <f>Qwen!O8</f>
        <v>0.89205384462643866</v>
      </c>
      <c r="L97">
        <f t="shared" si="28"/>
        <v>0.10794615537356134</v>
      </c>
      <c r="M97" t="str">
        <f t="shared" si="29"/>
        <v>Nein</v>
      </c>
    </row>
    <row r="98" spans="1:13" x14ac:dyDescent="0.25">
      <c r="A98">
        <v>34</v>
      </c>
      <c r="B98" s="7">
        <f>'Human Details'!O9</f>
        <v>0.25</v>
      </c>
      <c r="C98">
        <f>'GPT-4.1-mini'!O9</f>
        <v>0.92810663426577222</v>
      </c>
      <c r="D98">
        <f t="shared" si="24"/>
        <v>0.67810663426577222</v>
      </c>
      <c r="E98" t="str">
        <f t="shared" si="25"/>
        <v>Ja</v>
      </c>
      <c r="G98">
        <f>'GPT-5.2'!O9</f>
        <v>0.95611528337324803</v>
      </c>
      <c r="H98">
        <f t="shared" si="26"/>
        <v>0.70611528337324803</v>
      </c>
      <c r="I98" t="str">
        <f t="shared" si="27"/>
        <v>Ja</v>
      </c>
      <c r="K98" s="7">
        <f>Qwen!O9</f>
        <v>0.92131243796561035</v>
      </c>
      <c r="L98">
        <f t="shared" si="28"/>
        <v>0.67131243796561035</v>
      </c>
      <c r="M98" t="str">
        <f t="shared" si="29"/>
        <v>Ja</v>
      </c>
    </row>
    <row r="99" spans="1:13" x14ac:dyDescent="0.25">
      <c r="A99">
        <v>64</v>
      </c>
      <c r="B99" s="7">
        <f>'Human Details'!O10</f>
        <v>0</v>
      </c>
      <c r="C99">
        <f>'GPT-4.1-mini'!O10</f>
        <v>0</v>
      </c>
      <c r="D99">
        <f t="shared" si="24"/>
        <v>0</v>
      </c>
      <c r="E99" t="str">
        <f t="shared" si="25"/>
        <v>Nein</v>
      </c>
      <c r="G99">
        <f>'GPT-5.2'!O10</f>
        <v>0</v>
      </c>
      <c r="H99">
        <f t="shared" si="26"/>
        <v>0</v>
      </c>
      <c r="I99" t="str">
        <f t="shared" si="27"/>
        <v>Nein</v>
      </c>
      <c r="K99" s="7">
        <f>Qwen!O10</f>
        <v>0</v>
      </c>
      <c r="L99">
        <f t="shared" si="28"/>
        <v>0</v>
      </c>
      <c r="M99" t="str">
        <f t="shared" si="29"/>
        <v>Nein</v>
      </c>
    </row>
    <row r="100" spans="1:13" x14ac:dyDescent="0.25">
      <c r="A100">
        <v>65</v>
      </c>
      <c r="B100" s="7">
        <f>'Human Details'!O11</f>
        <v>1</v>
      </c>
      <c r="C100">
        <f>'GPT-4.1-mini'!O11</f>
        <v>0.75048479343496766</v>
      </c>
      <c r="D100">
        <f t="shared" si="24"/>
        <v>0.24951520656503234</v>
      </c>
      <c r="E100" t="str">
        <f t="shared" si="25"/>
        <v>Nein</v>
      </c>
      <c r="G100">
        <f>'GPT-5.2'!O11</f>
        <v>0.81441973633465181</v>
      </c>
      <c r="H100">
        <f t="shared" si="26"/>
        <v>0.18558026366534819</v>
      </c>
      <c r="I100" t="str">
        <f t="shared" si="27"/>
        <v>Nein</v>
      </c>
      <c r="K100" s="7">
        <f>Qwen!O11</f>
        <v>0.80595770086111107</v>
      </c>
      <c r="L100">
        <f t="shared" si="28"/>
        <v>0.19404229913888893</v>
      </c>
      <c r="M100" t="str">
        <f t="shared" si="29"/>
        <v>Nein</v>
      </c>
    </row>
    <row r="101" spans="1:13" x14ac:dyDescent="0.25">
      <c r="A101">
        <v>84</v>
      </c>
      <c r="B101" s="7">
        <f>'Human Details'!O12</f>
        <v>1</v>
      </c>
      <c r="C101">
        <f>'GPT-4.1-mini'!O12</f>
        <v>0.97536452636383097</v>
      </c>
      <c r="D101">
        <f t="shared" si="24"/>
        <v>2.4635473636169025E-2</v>
      </c>
      <c r="E101" t="str">
        <f t="shared" si="25"/>
        <v>Nein</v>
      </c>
      <c r="G101">
        <f>'GPT-5.2'!O12</f>
        <v>0.89803945757788683</v>
      </c>
      <c r="H101">
        <f t="shared" si="26"/>
        <v>0.10196054242211317</v>
      </c>
      <c r="I101" t="str">
        <f t="shared" si="27"/>
        <v>Nein</v>
      </c>
      <c r="K101" s="7">
        <f>Qwen!O12</f>
        <v>0.91324398542596186</v>
      </c>
      <c r="L101">
        <f t="shared" si="28"/>
        <v>8.6756014574038143E-2</v>
      </c>
      <c r="M101" t="str">
        <f t="shared" si="29"/>
        <v>Nein</v>
      </c>
    </row>
    <row r="102" spans="1:13" x14ac:dyDescent="0.25">
      <c r="A102">
        <v>89</v>
      </c>
      <c r="B102" s="7">
        <f>'Human Details'!O13</f>
        <v>0.25</v>
      </c>
      <c r="C102">
        <f>'GPT-4.1-mini'!O13</f>
        <v>0</v>
      </c>
      <c r="D102">
        <f t="shared" si="24"/>
        <v>0.25</v>
      </c>
      <c r="E102" t="str">
        <f t="shared" si="25"/>
        <v>Nein</v>
      </c>
      <c r="G102">
        <f>'GPT-5.2'!O13</f>
        <v>0</v>
      </c>
      <c r="H102">
        <f t="shared" si="26"/>
        <v>0.25</v>
      </c>
      <c r="I102" t="str">
        <f t="shared" si="27"/>
        <v>Nein</v>
      </c>
      <c r="K102" s="7">
        <f>Qwen!O13</f>
        <v>0</v>
      </c>
      <c r="L102">
        <f t="shared" si="28"/>
        <v>0.25</v>
      </c>
      <c r="M102" t="str">
        <f t="shared" si="29"/>
        <v>Nein</v>
      </c>
    </row>
    <row r="103" spans="1:13" x14ac:dyDescent="0.25">
      <c r="A103">
        <v>91</v>
      </c>
      <c r="B103" s="7">
        <f>'Human Details'!O14</f>
        <v>0.25</v>
      </c>
      <c r="C103">
        <f>'GPT-4.1-mini'!O14</f>
        <v>0.91706901545143582</v>
      </c>
      <c r="D103">
        <f t="shared" si="24"/>
        <v>0.66706901545143582</v>
      </c>
      <c r="E103" t="str">
        <f t="shared" si="25"/>
        <v>Ja</v>
      </c>
      <c r="G103">
        <f>'GPT-5.2'!O14</f>
        <v>0.90659628579465046</v>
      </c>
      <c r="H103">
        <f t="shared" si="26"/>
        <v>0.65659628579465046</v>
      </c>
      <c r="I103" t="str">
        <f t="shared" si="27"/>
        <v>Ja</v>
      </c>
      <c r="K103" s="7">
        <f>Qwen!O14</f>
        <v>0.88966100545408577</v>
      </c>
      <c r="L103">
        <f t="shared" si="28"/>
        <v>0.63966100545408577</v>
      </c>
      <c r="M103" t="str">
        <f t="shared" si="29"/>
        <v>Ja</v>
      </c>
    </row>
    <row r="104" spans="1:13" x14ac:dyDescent="0.25">
      <c r="A104">
        <v>97</v>
      </c>
      <c r="B104" s="7">
        <f>'Human Details'!O15</f>
        <v>1</v>
      </c>
      <c r="C104">
        <f>'GPT-4.1-mini'!O15</f>
        <v>0.99262073714052856</v>
      </c>
      <c r="D104">
        <f t="shared" si="24"/>
        <v>7.379262859471436E-3</v>
      </c>
      <c r="E104" t="str">
        <f t="shared" si="25"/>
        <v>Nein</v>
      </c>
      <c r="G104">
        <f>'GPT-5.2'!O15</f>
        <v>0.97365735505048001</v>
      </c>
      <c r="H104">
        <f t="shared" si="26"/>
        <v>2.6342644949519989E-2</v>
      </c>
      <c r="I104" t="str">
        <f t="shared" si="27"/>
        <v>Nein</v>
      </c>
      <c r="K104" s="7">
        <f>Qwen!O15</f>
        <v>0.88887900943657261</v>
      </c>
      <c r="L104">
        <f t="shared" si="28"/>
        <v>0.11112099056342739</v>
      </c>
      <c r="M104" t="str">
        <f t="shared" si="29"/>
        <v>Nein</v>
      </c>
    </row>
    <row r="105" spans="1:13" x14ac:dyDescent="0.25">
      <c r="A105">
        <v>110</v>
      </c>
      <c r="B105" s="7">
        <f>'Human Details'!O16</f>
        <v>1</v>
      </c>
      <c r="C105">
        <f>'GPT-4.1-mini'!O16</f>
        <v>0.93667765012070114</v>
      </c>
      <c r="D105">
        <f t="shared" si="24"/>
        <v>6.3322349879298856E-2</v>
      </c>
      <c r="E105" t="str">
        <f t="shared" si="25"/>
        <v>Nein</v>
      </c>
      <c r="G105">
        <f>'GPT-5.2'!O16</f>
        <v>0.98859379695686511</v>
      </c>
      <c r="H105">
        <f t="shared" si="26"/>
        <v>1.1406203043134888E-2</v>
      </c>
      <c r="I105" t="str">
        <f t="shared" si="27"/>
        <v>Nein</v>
      </c>
      <c r="K105" s="7">
        <f>Qwen!O16</f>
        <v>0.95325778240643222</v>
      </c>
      <c r="L105">
        <f t="shared" si="28"/>
        <v>4.6742217593567781E-2</v>
      </c>
      <c r="M105" t="str">
        <f t="shared" si="29"/>
        <v>Nein</v>
      </c>
    </row>
    <row r="107" spans="1:13" x14ac:dyDescent="0.25">
      <c r="B107" t="s">
        <v>139</v>
      </c>
      <c r="C107">
        <f>COUNTIFS(E91:E105,"Nein")</f>
        <v>11</v>
      </c>
      <c r="F107" t="s">
        <v>139</v>
      </c>
      <c r="G107">
        <f>COUNTIFS(I91:I105, "Nein")</f>
        <v>11</v>
      </c>
      <c r="J107" t="s">
        <v>139</v>
      </c>
      <c r="K107">
        <f>COUNTIFS(M91:M105, "Nein")</f>
        <v>12</v>
      </c>
    </row>
    <row r="108" spans="1:13" x14ac:dyDescent="0.25">
      <c r="B108" t="s">
        <v>140</v>
      </c>
      <c r="C108">
        <f>COUNTIFS(E91:E105,"Ja")</f>
        <v>4</v>
      </c>
      <c r="F108" t="s">
        <v>140</v>
      </c>
      <c r="G108">
        <f>COUNTIFS(I91:I105, "Ja")</f>
        <v>4</v>
      </c>
      <c r="J108" t="s">
        <v>140</v>
      </c>
      <c r="K108">
        <f>COUNTIFS(M91:M105, "Ja")</f>
        <v>3</v>
      </c>
    </row>
    <row r="109" spans="1:13" x14ac:dyDescent="0.25">
      <c r="B109" t="s">
        <v>141</v>
      </c>
      <c r="C109">
        <f>1-C108/(C108+C107)</f>
        <v>0.73333333333333339</v>
      </c>
      <c r="F109" t="s">
        <v>141</v>
      </c>
      <c r="G109">
        <f>1-G108/(G108+G107)</f>
        <v>0.73333333333333339</v>
      </c>
      <c r="J109" t="s">
        <v>141</v>
      </c>
      <c r="K109">
        <f>1-K108/(K108+K107)</f>
        <v>0.8</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ACAC-8368-4648-B099-65B579F959A5}">
  <dimension ref="A1:AA16"/>
  <sheetViews>
    <sheetView topLeftCell="A9" workbookViewId="0">
      <pane xSplit="1" topLeftCell="B1" activePane="topRight" state="frozen"/>
      <selection pane="topRight" activeCell="L10" sqref="L10"/>
    </sheetView>
  </sheetViews>
  <sheetFormatPr baseColWidth="10" defaultRowHeight="15" x14ac:dyDescent="0.25"/>
  <sheetData>
    <row r="1" spans="1:27" ht="45" x14ac:dyDescent="0.25">
      <c r="A1" s="5" t="s">
        <v>91</v>
      </c>
      <c r="B1" s="5" t="s">
        <v>92</v>
      </c>
      <c r="C1" s="5" t="s">
        <v>93</v>
      </c>
      <c r="D1" s="5" t="s">
        <v>94</v>
      </c>
      <c r="E1" s="5" t="s">
        <v>95</v>
      </c>
      <c r="F1" s="5" t="s">
        <v>96</v>
      </c>
      <c r="G1" s="5" t="s">
        <v>97</v>
      </c>
      <c r="H1" s="5" t="s">
        <v>98</v>
      </c>
      <c r="I1" s="5" t="s">
        <v>99</v>
      </c>
      <c r="J1" s="5" t="s">
        <v>100</v>
      </c>
      <c r="K1" s="5" t="s">
        <v>101</v>
      </c>
      <c r="L1" s="5" t="s">
        <v>102</v>
      </c>
      <c r="M1" s="5" t="s">
        <v>103</v>
      </c>
      <c r="N1" s="5" t="s">
        <v>104</v>
      </c>
      <c r="O1" s="5" t="s">
        <v>105</v>
      </c>
      <c r="P1" s="5" t="s">
        <v>106</v>
      </c>
      <c r="Q1" s="5" t="s">
        <v>107</v>
      </c>
      <c r="R1" s="5" t="s">
        <v>108</v>
      </c>
      <c r="S1" s="5" t="s">
        <v>109</v>
      </c>
      <c r="T1" s="5" t="s">
        <v>110</v>
      </c>
      <c r="U1" s="5" t="s">
        <v>111</v>
      </c>
      <c r="V1" s="5" t="s">
        <v>112</v>
      </c>
      <c r="W1" s="5" t="s">
        <v>113</v>
      </c>
      <c r="X1" s="5" t="s">
        <v>114</v>
      </c>
      <c r="Y1" s="5" t="s">
        <v>115</v>
      </c>
      <c r="Z1" s="5" t="s">
        <v>116</v>
      </c>
      <c r="AA1" s="5" t="s">
        <v>117</v>
      </c>
    </row>
    <row r="2" spans="1:27" ht="409.5" x14ac:dyDescent="0.25">
      <c r="A2">
        <v>1</v>
      </c>
      <c r="B2" t="s">
        <v>0</v>
      </c>
      <c r="C2" t="s">
        <v>1</v>
      </c>
      <c r="D2" s="1" t="s">
        <v>2</v>
      </c>
      <c r="E2" s="1" t="s">
        <v>3</v>
      </c>
      <c r="F2" s="1" t="s">
        <v>4</v>
      </c>
      <c r="G2" s="1" t="s">
        <v>5</v>
      </c>
      <c r="H2" t="s">
        <v>6</v>
      </c>
      <c r="I2" t="s">
        <v>7</v>
      </c>
      <c r="J2" s="2">
        <v>0.88888888888888884</v>
      </c>
      <c r="K2">
        <v>1</v>
      </c>
      <c r="L2">
        <v>0.41666666664583329</v>
      </c>
      <c r="M2">
        <v>0.67894446195179081</v>
      </c>
      <c r="N2">
        <v>0.1111111109876543</v>
      </c>
      <c r="O2">
        <v>0.8184370341640177</v>
      </c>
      <c r="P2">
        <v>0.1023745834827423</v>
      </c>
      <c r="Q2">
        <v>-4.0825743228197098E-2</v>
      </c>
      <c r="R2">
        <v>0.2494480311870575</v>
      </c>
      <c r="S2">
        <v>0</v>
      </c>
      <c r="T2">
        <v>0</v>
      </c>
      <c r="U2">
        <v>50.469219207763672</v>
      </c>
      <c r="V2">
        <v>3217</v>
      </c>
      <c r="W2">
        <v>441</v>
      </c>
      <c r="X2">
        <v>3658</v>
      </c>
      <c r="Y2">
        <v>0</v>
      </c>
      <c r="Z2">
        <v>5</v>
      </c>
      <c r="AA2">
        <v>50.469219207763672</v>
      </c>
    </row>
    <row r="3" spans="1:27" ht="409.5" x14ac:dyDescent="0.25">
      <c r="A3">
        <v>8</v>
      </c>
      <c r="B3" t="s">
        <v>0</v>
      </c>
      <c r="C3" t="s">
        <v>8</v>
      </c>
      <c r="D3" s="1" t="s">
        <v>9</v>
      </c>
      <c r="E3" s="1" t="s">
        <v>10</v>
      </c>
      <c r="F3" s="1" t="s">
        <v>11</v>
      </c>
      <c r="G3" s="1" t="s">
        <v>12</v>
      </c>
      <c r="H3" t="s">
        <v>13</v>
      </c>
      <c r="I3" t="s">
        <v>14</v>
      </c>
      <c r="J3" s="3">
        <v>0.4</v>
      </c>
      <c r="K3">
        <v>0</v>
      </c>
      <c r="L3">
        <v>0</v>
      </c>
      <c r="M3">
        <v>0.75543240922569643</v>
      </c>
      <c r="N3">
        <v>0</v>
      </c>
      <c r="O3">
        <v>0.90916317892746579</v>
      </c>
      <c r="P3">
        <v>0.14917925000190729</v>
      </c>
      <c r="Q3">
        <v>0.196212112903595</v>
      </c>
      <c r="R3">
        <v>9.9259786307811737E-2</v>
      </c>
      <c r="S3">
        <v>0</v>
      </c>
      <c r="T3">
        <v>0</v>
      </c>
      <c r="U3">
        <v>13.999557018280029</v>
      </c>
      <c r="V3">
        <v>2978</v>
      </c>
      <c r="W3">
        <v>169</v>
      </c>
      <c r="X3">
        <v>3147</v>
      </c>
      <c r="Y3">
        <v>0</v>
      </c>
      <c r="Z3">
        <v>5</v>
      </c>
      <c r="AA3">
        <v>13.999557018280029</v>
      </c>
    </row>
    <row r="4" spans="1:27" ht="409.5" x14ac:dyDescent="0.25">
      <c r="A4">
        <v>11</v>
      </c>
      <c r="B4" t="s">
        <v>15</v>
      </c>
      <c r="C4" t="s">
        <v>1</v>
      </c>
      <c r="D4" s="1" t="s">
        <v>16</v>
      </c>
      <c r="E4" s="1" t="s">
        <v>17</v>
      </c>
      <c r="F4" s="1" t="s">
        <v>18</v>
      </c>
      <c r="G4" s="1" t="s">
        <v>19</v>
      </c>
      <c r="H4" t="s">
        <v>20</v>
      </c>
      <c r="I4" t="s">
        <v>21</v>
      </c>
      <c r="J4" s="2">
        <v>0.81818181818181823</v>
      </c>
      <c r="K4">
        <v>1</v>
      </c>
      <c r="L4">
        <v>0.88749999997781248</v>
      </c>
      <c r="M4">
        <v>0.78070321845922064</v>
      </c>
      <c r="N4">
        <v>0.63636363578512389</v>
      </c>
      <c r="O4">
        <v>0.89485486254170443</v>
      </c>
      <c r="P4">
        <v>0.43012338876724238</v>
      </c>
      <c r="Q4">
        <v>0.29123803973197943</v>
      </c>
      <c r="R4">
        <v>0.57347762584686279</v>
      </c>
      <c r="S4">
        <v>0.5</v>
      </c>
      <c r="T4">
        <v>1</v>
      </c>
      <c r="U4">
        <v>14.7056348323822</v>
      </c>
      <c r="V4">
        <v>2914</v>
      </c>
      <c r="W4">
        <v>206</v>
      </c>
      <c r="X4">
        <v>3120</v>
      </c>
      <c r="Y4">
        <v>0</v>
      </c>
      <c r="Z4">
        <v>5</v>
      </c>
      <c r="AA4">
        <v>14.7056348323822</v>
      </c>
    </row>
    <row r="5" spans="1:27" ht="409.5" x14ac:dyDescent="0.25">
      <c r="A5">
        <v>17</v>
      </c>
      <c r="B5" t="s">
        <v>22</v>
      </c>
      <c r="C5" t="s">
        <v>23</v>
      </c>
      <c r="D5" s="1" t="s">
        <v>24</v>
      </c>
      <c r="E5" s="1" t="s">
        <v>25</v>
      </c>
      <c r="F5" s="1" t="s">
        <v>26</v>
      </c>
      <c r="G5" s="1" t="s">
        <v>27</v>
      </c>
      <c r="H5" t="s">
        <v>28</v>
      </c>
      <c r="I5" t="s">
        <v>29</v>
      </c>
      <c r="J5" s="2">
        <v>1</v>
      </c>
      <c r="K5">
        <v>1</v>
      </c>
      <c r="L5">
        <v>0.91666666663611107</v>
      </c>
      <c r="M5">
        <v>0.85747824411634088</v>
      </c>
      <c r="N5">
        <v>0.66666666592592583</v>
      </c>
      <c r="O5">
        <v>0.82287966408490476</v>
      </c>
      <c r="P5">
        <v>0.59260684251785278</v>
      </c>
      <c r="Q5">
        <v>0.53976082801818848</v>
      </c>
      <c r="R5">
        <v>0.64457184076309204</v>
      </c>
      <c r="S5">
        <v>1</v>
      </c>
      <c r="T5">
        <v>1</v>
      </c>
      <c r="U5">
        <v>13.27462935447693</v>
      </c>
      <c r="V5">
        <v>3046</v>
      </c>
      <c r="W5">
        <v>132</v>
      </c>
      <c r="X5">
        <v>3178</v>
      </c>
      <c r="Y5">
        <v>0</v>
      </c>
      <c r="Z5">
        <v>5</v>
      </c>
      <c r="AA5">
        <v>13.27462935447693</v>
      </c>
    </row>
    <row r="6" spans="1:27" ht="409.5" x14ac:dyDescent="0.25">
      <c r="A6">
        <v>20</v>
      </c>
      <c r="B6" t="s">
        <v>22</v>
      </c>
      <c r="C6" t="s">
        <v>8</v>
      </c>
      <c r="D6" s="1" t="s">
        <v>30</v>
      </c>
      <c r="E6" s="1" t="s">
        <v>31</v>
      </c>
      <c r="F6" s="1" t="s">
        <v>32</v>
      </c>
      <c r="G6" s="1" t="s">
        <v>33</v>
      </c>
      <c r="H6" t="s">
        <v>34</v>
      </c>
      <c r="I6" t="s">
        <v>29</v>
      </c>
      <c r="J6" s="2">
        <v>0.88888888888888884</v>
      </c>
      <c r="K6">
        <v>0</v>
      </c>
      <c r="L6">
        <v>0.69999999996499995</v>
      </c>
      <c r="M6">
        <v>0.66610816310372556</v>
      </c>
      <c r="N6">
        <v>0</v>
      </c>
      <c r="O6">
        <v>0.75045502392091201</v>
      </c>
      <c r="P6">
        <v>0.1452278345823288</v>
      </c>
      <c r="Q6">
        <v>-6.5234184265136719E-2</v>
      </c>
      <c r="R6">
        <v>0.36939671635627752</v>
      </c>
      <c r="S6">
        <v>1</v>
      </c>
      <c r="T6">
        <v>1</v>
      </c>
      <c r="U6">
        <v>20.277224063873291</v>
      </c>
      <c r="V6">
        <v>3098</v>
      </c>
      <c r="W6">
        <v>330</v>
      </c>
      <c r="X6">
        <v>3428</v>
      </c>
      <c r="Y6">
        <v>0</v>
      </c>
      <c r="Z6">
        <v>5</v>
      </c>
      <c r="AA6">
        <v>20.277224063873291</v>
      </c>
    </row>
    <row r="7" spans="1:27" ht="409.5" x14ac:dyDescent="0.25">
      <c r="A7">
        <v>30</v>
      </c>
      <c r="B7" t="s">
        <v>147</v>
      </c>
      <c r="C7" t="s">
        <v>23</v>
      </c>
      <c r="D7" s="1" t="s">
        <v>35</v>
      </c>
      <c r="E7" s="1" t="s">
        <v>36</v>
      </c>
      <c r="F7" s="1" t="s">
        <v>37</v>
      </c>
      <c r="G7" s="1" t="s">
        <v>38</v>
      </c>
      <c r="H7" t="s">
        <v>39</v>
      </c>
      <c r="I7" t="s">
        <v>29</v>
      </c>
      <c r="J7" s="3">
        <v>0</v>
      </c>
      <c r="K7">
        <v>0</v>
      </c>
      <c r="L7">
        <v>0</v>
      </c>
      <c r="M7">
        <v>0.81118953353510159</v>
      </c>
      <c r="N7">
        <v>0</v>
      </c>
      <c r="O7">
        <v>0.73554186685025991</v>
      </c>
      <c r="P7">
        <v>0.2437620013952255</v>
      </c>
      <c r="Q7">
        <v>6.1681412160396583E-2</v>
      </c>
      <c r="R7">
        <v>0.43517321348190308</v>
      </c>
      <c r="S7">
        <v>0</v>
      </c>
      <c r="T7">
        <v>0</v>
      </c>
      <c r="U7">
        <v>16.671660423278809</v>
      </c>
      <c r="V7">
        <v>2555</v>
      </c>
      <c r="W7">
        <v>244</v>
      </c>
      <c r="X7">
        <v>2799</v>
      </c>
      <c r="Y7">
        <v>0</v>
      </c>
      <c r="Z7">
        <v>5</v>
      </c>
      <c r="AA7">
        <v>16.671660423278809</v>
      </c>
    </row>
    <row r="8" spans="1:27" ht="409.5" x14ac:dyDescent="0.25">
      <c r="A8">
        <v>33</v>
      </c>
      <c r="B8" t="s">
        <v>40</v>
      </c>
      <c r="C8" t="s">
        <v>23</v>
      </c>
      <c r="D8" s="1" t="s">
        <v>41</v>
      </c>
      <c r="E8" s="1" t="s">
        <v>42</v>
      </c>
      <c r="F8" s="1" t="s">
        <v>43</v>
      </c>
      <c r="G8" s="1" t="s">
        <v>44</v>
      </c>
      <c r="H8" t="s">
        <v>45</v>
      </c>
      <c r="I8" t="s">
        <v>29</v>
      </c>
      <c r="J8" s="2">
        <v>1</v>
      </c>
      <c r="K8">
        <v>1</v>
      </c>
      <c r="L8">
        <v>0.8666666666377778</v>
      </c>
      <c r="M8">
        <v>0.97693004364314406</v>
      </c>
      <c r="N8">
        <v>0.249999999375</v>
      </c>
      <c r="O8">
        <v>0.89205384462643866</v>
      </c>
      <c r="P8">
        <v>0.72119432687759399</v>
      </c>
      <c r="Q8">
        <v>0.72738325595855713</v>
      </c>
      <c r="R8">
        <v>0.71378451585769653</v>
      </c>
      <c r="S8">
        <v>0.2</v>
      </c>
      <c r="T8">
        <v>1</v>
      </c>
      <c r="U8">
        <v>7.8358101844787598</v>
      </c>
      <c r="V8">
        <v>3332</v>
      </c>
      <c r="W8">
        <v>50</v>
      </c>
      <c r="X8">
        <v>3382</v>
      </c>
      <c r="Y8">
        <v>0</v>
      </c>
      <c r="Z8">
        <v>5</v>
      </c>
      <c r="AA8">
        <v>7.8358101844787598</v>
      </c>
    </row>
    <row r="9" spans="1:27" ht="409.5" x14ac:dyDescent="0.25">
      <c r="A9">
        <v>34</v>
      </c>
      <c r="B9" t="s">
        <v>40</v>
      </c>
      <c r="C9" t="s">
        <v>1</v>
      </c>
      <c r="D9" s="1" t="s">
        <v>46</v>
      </c>
      <c r="E9" s="1" t="s">
        <v>47</v>
      </c>
      <c r="F9" s="1" t="s">
        <v>48</v>
      </c>
      <c r="G9" s="1" t="s">
        <v>49</v>
      </c>
      <c r="H9" t="s">
        <v>50</v>
      </c>
      <c r="I9" t="s">
        <v>7</v>
      </c>
      <c r="J9" s="3">
        <v>0.5</v>
      </c>
      <c r="K9">
        <v>0</v>
      </c>
      <c r="L9">
        <v>0</v>
      </c>
      <c r="M9">
        <v>0.69279487089104497</v>
      </c>
      <c r="N9">
        <v>0</v>
      </c>
      <c r="O9">
        <v>0.92131243796561035</v>
      </c>
      <c r="P9">
        <v>0.12964971363544461</v>
      </c>
      <c r="Q9">
        <v>1.2952046468853951E-2</v>
      </c>
      <c r="R9">
        <v>0.24758535623550421</v>
      </c>
      <c r="S9">
        <v>0.33333333333333331</v>
      </c>
      <c r="T9">
        <v>1</v>
      </c>
      <c r="U9">
        <v>21.815482139587399</v>
      </c>
      <c r="V9">
        <v>2946</v>
      </c>
      <c r="W9">
        <v>324</v>
      </c>
      <c r="X9">
        <v>3270</v>
      </c>
      <c r="Y9">
        <v>0</v>
      </c>
      <c r="Z9">
        <v>5</v>
      </c>
      <c r="AA9">
        <v>21.815482139587399</v>
      </c>
    </row>
    <row r="10" spans="1:27" ht="409.5" x14ac:dyDescent="0.25">
      <c r="A10">
        <v>64</v>
      </c>
      <c r="B10" t="s">
        <v>51</v>
      </c>
      <c r="C10" t="s">
        <v>1</v>
      </c>
      <c r="D10" s="1" t="s">
        <v>52</v>
      </c>
      <c r="E10" s="1" t="s">
        <v>53</v>
      </c>
      <c r="F10" s="1" t="s">
        <v>54</v>
      </c>
      <c r="G10" s="1" t="s">
        <v>55</v>
      </c>
      <c r="H10" t="s">
        <v>56</v>
      </c>
      <c r="I10" t="s">
        <v>57</v>
      </c>
      <c r="J10" s="3">
        <v>0</v>
      </c>
      <c r="K10">
        <v>0.2857142857142857</v>
      </c>
      <c r="L10">
        <v>0.99999999989999999</v>
      </c>
      <c r="M10">
        <v>0.74945960717485527</v>
      </c>
      <c r="N10">
        <v>0</v>
      </c>
      <c r="O10">
        <v>0</v>
      </c>
      <c r="P10">
        <v>0.1269007325172424</v>
      </c>
      <c r="Q10">
        <v>0.21425299346446991</v>
      </c>
      <c r="R10">
        <v>3.8587123155593872E-2</v>
      </c>
      <c r="S10">
        <v>0</v>
      </c>
      <c r="T10">
        <v>0</v>
      </c>
      <c r="U10">
        <v>13.684484720230101</v>
      </c>
      <c r="V10">
        <v>3525</v>
      </c>
      <c r="W10">
        <v>146</v>
      </c>
      <c r="X10">
        <v>3671</v>
      </c>
      <c r="Y10">
        <v>0</v>
      </c>
      <c r="Z10">
        <v>5</v>
      </c>
      <c r="AA10">
        <v>13.684484720230101</v>
      </c>
    </row>
    <row r="11" spans="1:27" ht="409.5" x14ac:dyDescent="0.25">
      <c r="A11">
        <v>65</v>
      </c>
      <c r="B11" t="s">
        <v>51</v>
      </c>
      <c r="C11" t="s">
        <v>8</v>
      </c>
      <c r="D11" s="1" t="s">
        <v>58</v>
      </c>
      <c r="E11" s="1" t="s">
        <v>59</v>
      </c>
      <c r="F11" s="1" t="s">
        <v>60</v>
      </c>
      <c r="G11" s="1" t="s">
        <v>61</v>
      </c>
      <c r="H11" t="s">
        <v>62</v>
      </c>
      <c r="I11" t="s">
        <v>29</v>
      </c>
      <c r="J11" s="2">
        <v>1</v>
      </c>
      <c r="K11">
        <v>1</v>
      </c>
      <c r="L11">
        <v>0.99999999998</v>
      </c>
      <c r="M11">
        <v>0.87847315384683133</v>
      </c>
      <c r="N11">
        <v>0.1176470587543253</v>
      </c>
      <c r="O11">
        <v>0.80595770086111107</v>
      </c>
      <c r="P11">
        <v>0.34514245390892029</v>
      </c>
      <c r="Q11">
        <v>0.49244293570518488</v>
      </c>
      <c r="R11">
        <v>0.20252743363380429</v>
      </c>
      <c r="S11">
        <v>0.33333333333333331</v>
      </c>
      <c r="T11">
        <v>1</v>
      </c>
      <c r="U11">
        <v>18.666863441467289</v>
      </c>
      <c r="V11">
        <v>3190</v>
      </c>
      <c r="W11">
        <v>294</v>
      </c>
      <c r="X11">
        <v>3484</v>
      </c>
      <c r="Y11">
        <v>0</v>
      </c>
      <c r="Z11">
        <v>5</v>
      </c>
      <c r="AA11">
        <v>18.666863441467289</v>
      </c>
    </row>
    <row r="12" spans="1:27" ht="409.5" x14ac:dyDescent="0.25">
      <c r="A12">
        <v>84</v>
      </c>
      <c r="B12" t="s">
        <v>40</v>
      </c>
      <c r="C12" t="s">
        <v>1</v>
      </c>
      <c r="D12" s="1" t="s">
        <v>63</v>
      </c>
      <c r="E12" s="1" t="s">
        <v>64</v>
      </c>
      <c r="F12" s="1" t="s">
        <v>65</v>
      </c>
      <c r="G12" s="1" t="s">
        <v>66</v>
      </c>
      <c r="H12" t="s">
        <v>67</v>
      </c>
      <c r="I12" t="s">
        <v>29</v>
      </c>
      <c r="J12" s="2">
        <v>1</v>
      </c>
      <c r="K12">
        <v>1</v>
      </c>
      <c r="L12">
        <v>0.8666666666377778</v>
      </c>
      <c r="M12">
        <v>0.72677234807661806</v>
      </c>
      <c r="N12">
        <v>0</v>
      </c>
      <c r="O12">
        <v>0.91324398542596186</v>
      </c>
      <c r="P12">
        <v>8.3757057785987854E-2</v>
      </c>
      <c r="Q12">
        <v>2.40654032677412E-2</v>
      </c>
      <c r="R12">
        <v>0.14063943922519681</v>
      </c>
      <c r="S12">
        <v>0</v>
      </c>
      <c r="T12">
        <v>0</v>
      </c>
      <c r="U12">
        <v>34.379329442977912</v>
      </c>
      <c r="V12">
        <v>2757</v>
      </c>
      <c r="W12">
        <v>396</v>
      </c>
      <c r="X12">
        <v>3153</v>
      </c>
      <c r="Y12">
        <v>0</v>
      </c>
      <c r="Z12">
        <v>5</v>
      </c>
      <c r="AA12">
        <v>34.379329442977912</v>
      </c>
    </row>
    <row r="13" spans="1:27" ht="409.5" x14ac:dyDescent="0.25">
      <c r="A13">
        <v>89</v>
      </c>
      <c r="B13" t="s">
        <v>68</v>
      </c>
      <c r="C13" t="s">
        <v>23</v>
      </c>
      <c r="D13" s="1" t="s">
        <v>69</v>
      </c>
      <c r="E13" s="1" t="s">
        <v>70</v>
      </c>
      <c r="F13" s="1" t="s">
        <v>71</v>
      </c>
      <c r="G13" s="1" t="s">
        <v>72</v>
      </c>
      <c r="H13" t="s">
        <v>73</v>
      </c>
      <c r="I13" t="s">
        <v>57</v>
      </c>
      <c r="J13" s="3">
        <v>0.4</v>
      </c>
      <c r="K13">
        <v>0.5</v>
      </c>
      <c r="L13">
        <v>0.99999999989999999</v>
      </c>
      <c r="M13">
        <v>0.67919298340505307</v>
      </c>
      <c r="N13">
        <v>0</v>
      </c>
      <c r="O13">
        <v>0</v>
      </c>
      <c r="P13">
        <v>0.25057855248451227</v>
      </c>
      <c r="Q13">
        <v>0.13420434296131131</v>
      </c>
      <c r="R13">
        <v>0.36860477924346918</v>
      </c>
      <c r="S13">
        <v>0</v>
      </c>
      <c r="T13">
        <v>0</v>
      </c>
      <c r="U13">
        <v>15.13997530937195</v>
      </c>
      <c r="V13">
        <v>3371</v>
      </c>
      <c r="W13">
        <v>212</v>
      </c>
      <c r="X13">
        <v>3583</v>
      </c>
      <c r="Y13">
        <v>0</v>
      </c>
      <c r="Z13">
        <v>5</v>
      </c>
      <c r="AA13">
        <v>15.13997530937195</v>
      </c>
    </row>
    <row r="14" spans="1:27" ht="409.5" x14ac:dyDescent="0.25">
      <c r="A14">
        <v>91</v>
      </c>
      <c r="B14" t="s">
        <v>68</v>
      </c>
      <c r="C14" t="s">
        <v>8</v>
      </c>
      <c r="D14" s="1" t="s">
        <v>74</v>
      </c>
      <c r="E14" s="1" t="s">
        <v>75</v>
      </c>
      <c r="F14" s="1" t="s">
        <v>76</v>
      </c>
      <c r="G14" s="1" t="s">
        <v>77</v>
      </c>
      <c r="H14" t="s">
        <v>78</v>
      </c>
      <c r="I14" t="s">
        <v>29</v>
      </c>
      <c r="J14" s="2">
        <v>0.8571428571428571</v>
      </c>
      <c r="K14">
        <v>0.4</v>
      </c>
      <c r="L14">
        <v>0.999999999975</v>
      </c>
      <c r="M14">
        <v>0.77755782471851909</v>
      </c>
      <c r="N14">
        <v>7.6923076863905315E-2</v>
      </c>
      <c r="O14">
        <v>0.88966100545408577</v>
      </c>
      <c r="P14">
        <v>0.13806608319282529</v>
      </c>
      <c r="Q14">
        <v>0.1143933683633804</v>
      </c>
      <c r="R14">
        <v>0.1580808907747269</v>
      </c>
      <c r="S14">
        <v>0</v>
      </c>
      <c r="T14">
        <v>0</v>
      </c>
      <c r="U14">
        <v>24.012253999710079</v>
      </c>
      <c r="V14">
        <v>3542</v>
      </c>
      <c r="W14">
        <v>371</v>
      </c>
      <c r="X14">
        <v>3913</v>
      </c>
      <c r="Y14">
        <v>0</v>
      </c>
      <c r="Z14">
        <v>5</v>
      </c>
      <c r="AA14">
        <v>24.012253999710079</v>
      </c>
    </row>
    <row r="15" spans="1:27" ht="409.5" x14ac:dyDescent="0.25">
      <c r="A15">
        <v>97</v>
      </c>
      <c r="B15" t="s">
        <v>68</v>
      </c>
      <c r="C15" t="s">
        <v>8</v>
      </c>
      <c r="D15" s="1" t="s">
        <v>79</v>
      </c>
      <c r="E15" s="1" t="s">
        <v>80</v>
      </c>
      <c r="F15" s="1" t="s">
        <v>81</v>
      </c>
      <c r="G15" s="1" t="s">
        <v>82</v>
      </c>
      <c r="H15" t="s">
        <v>83</v>
      </c>
      <c r="I15" t="s">
        <v>84</v>
      </c>
      <c r="J15" s="2">
        <v>1</v>
      </c>
      <c r="K15">
        <v>0.25</v>
      </c>
      <c r="L15">
        <v>0.99999999998</v>
      </c>
      <c r="M15">
        <v>0.85774195143187781</v>
      </c>
      <c r="N15">
        <v>0</v>
      </c>
      <c r="O15">
        <v>0.88887900943657261</v>
      </c>
      <c r="P15">
        <v>0.36052891612052917</v>
      </c>
      <c r="Q15">
        <v>0.3206789493560791</v>
      </c>
      <c r="R15">
        <v>0.39806205034255981</v>
      </c>
      <c r="S15">
        <v>0</v>
      </c>
      <c r="T15">
        <v>0</v>
      </c>
      <c r="U15">
        <v>17.3415093421936</v>
      </c>
      <c r="V15">
        <v>3595</v>
      </c>
      <c r="W15">
        <v>212</v>
      </c>
      <c r="X15">
        <v>3807</v>
      </c>
      <c r="Y15">
        <v>0</v>
      </c>
      <c r="Z15">
        <v>5</v>
      </c>
      <c r="AA15">
        <v>17.3415093421936</v>
      </c>
    </row>
    <row r="16" spans="1:27" ht="409.5" x14ac:dyDescent="0.25">
      <c r="A16">
        <v>110</v>
      </c>
      <c r="B16" t="s">
        <v>68</v>
      </c>
      <c r="C16" t="s">
        <v>23</v>
      </c>
      <c r="D16" s="1" t="s">
        <v>85</v>
      </c>
      <c r="E16" s="1" t="s">
        <v>86</v>
      </c>
      <c r="F16" s="1" t="s">
        <v>87</v>
      </c>
      <c r="G16" s="1" t="s">
        <v>88</v>
      </c>
      <c r="H16" t="s">
        <v>89</v>
      </c>
      <c r="I16" t="s">
        <v>90</v>
      </c>
      <c r="J16" s="2">
        <v>0.8</v>
      </c>
      <c r="K16">
        <v>0.25</v>
      </c>
      <c r="L16">
        <v>0.49999999995</v>
      </c>
      <c r="M16">
        <v>0.76590273052317648</v>
      </c>
      <c r="N16">
        <v>7.6923076863905315E-2</v>
      </c>
      <c r="O16">
        <v>0.95325778240643222</v>
      </c>
      <c r="P16">
        <v>0.1127152293920517</v>
      </c>
      <c r="Q16">
        <v>6.1601307243108749E-2</v>
      </c>
      <c r="R16">
        <v>0.16079370677471161</v>
      </c>
      <c r="S16">
        <v>0</v>
      </c>
      <c r="T16">
        <v>0</v>
      </c>
      <c r="U16">
        <v>21.333811283111569</v>
      </c>
      <c r="V16">
        <v>3471</v>
      </c>
      <c r="W16">
        <v>347</v>
      </c>
      <c r="X16">
        <v>3818</v>
      </c>
      <c r="Y16">
        <v>0</v>
      </c>
      <c r="Z16">
        <v>5</v>
      </c>
      <c r="AA16">
        <v>21.333811283111569</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2E325-526B-4B8B-B5E1-1B32245433A7}">
  <dimension ref="A1:AA16"/>
  <sheetViews>
    <sheetView workbookViewId="0">
      <selection activeCell="O2" sqref="O2"/>
    </sheetView>
  </sheetViews>
  <sheetFormatPr baseColWidth="10" defaultRowHeight="15" x14ac:dyDescent="0.25"/>
  <sheetData>
    <row r="1" spans="1:27" ht="45" x14ac:dyDescent="0.25">
      <c r="A1" s="5" t="s">
        <v>91</v>
      </c>
      <c r="B1" s="5" t="s">
        <v>92</v>
      </c>
      <c r="C1" s="5" t="s">
        <v>93</v>
      </c>
      <c r="D1" s="5" t="s">
        <v>94</v>
      </c>
      <c r="E1" s="5" t="s">
        <v>95</v>
      </c>
      <c r="F1" s="5" t="s">
        <v>96</v>
      </c>
      <c r="G1" s="5" t="s">
        <v>97</v>
      </c>
      <c r="H1" s="5" t="s">
        <v>98</v>
      </c>
      <c r="I1" s="5" t="s">
        <v>99</v>
      </c>
      <c r="J1" s="5" t="s">
        <v>100</v>
      </c>
      <c r="K1" s="5" t="s">
        <v>101</v>
      </c>
      <c r="L1" s="5" t="s">
        <v>102</v>
      </c>
      <c r="M1" s="5" t="s">
        <v>103</v>
      </c>
      <c r="N1" s="5" t="s">
        <v>104</v>
      </c>
      <c r="O1" s="5" t="s">
        <v>105</v>
      </c>
      <c r="P1" s="5" t="s">
        <v>106</v>
      </c>
      <c r="Q1" s="5" t="s">
        <v>107</v>
      </c>
      <c r="R1" s="5" t="s">
        <v>108</v>
      </c>
      <c r="S1" s="5" t="s">
        <v>109</v>
      </c>
      <c r="T1" s="5" t="s">
        <v>110</v>
      </c>
      <c r="U1" s="5" t="s">
        <v>111</v>
      </c>
      <c r="V1" s="5" t="s">
        <v>112</v>
      </c>
      <c r="W1" s="5" t="s">
        <v>113</v>
      </c>
      <c r="X1" s="5" t="s">
        <v>114</v>
      </c>
      <c r="Y1" s="5" t="s">
        <v>115</v>
      </c>
      <c r="Z1" s="5" t="s">
        <v>116</v>
      </c>
      <c r="AA1" s="5" t="s">
        <v>117</v>
      </c>
    </row>
    <row r="2" spans="1:27" ht="409.5" x14ac:dyDescent="0.25">
      <c r="A2">
        <v>1</v>
      </c>
      <c r="B2" t="s">
        <v>0</v>
      </c>
      <c r="C2" t="s">
        <v>1</v>
      </c>
      <c r="D2" s="1" t="s">
        <v>2</v>
      </c>
      <c r="E2" s="1" t="s">
        <v>3</v>
      </c>
      <c r="F2" s="1" t="s">
        <v>4</v>
      </c>
      <c r="G2" s="1" t="s">
        <v>5</v>
      </c>
      <c r="H2" t="s">
        <v>6</v>
      </c>
      <c r="I2" t="s">
        <v>7</v>
      </c>
      <c r="J2" s="2">
        <v>0.94444444444444442</v>
      </c>
      <c r="K2">
        <v>1</v>
      </c>
      <c r="L2">
        <v>0.41666666664583329</v>
      </c>
      <c r="M2">
        <v>0.67894446195179081</v>
      </c>
      <c r="N2">
        <v>0.1111111109876543</v>
      </c>
      <c r="O2">
        <v>0.84578900131503387</v>
      </c>
      <c r="P2">
        <v>0.1023745834827423</v>
      </c>
      <c r="Q2">
        <v>-4.0825743228197098E-2</v>
      </c>
      <c r="R2">
        <v>0.2494480311870575</v>
      </c>
      <c r="S2">
        <v>0</v>
      </c>
      <c r="T2">
        <v>0</v>
      </c>
      <c r="U2">
        <v>50.469219207763672</v>
      </c>
      <c r="V2">
        <v>3217</v>
      </c>
      <c r="W2">
        <v>441</v>
      </c>
      <c r="X2">
        <v>3658</v>
      </c>
      <c r="Y2">
        <v>0</v>
      </c>
      <c r="Z2">
        <v>5</v>
      </c>
      <c r="AA2">
        <v>50.469219207763672</v>
      </c>
    </row>
    <row r="3" spans="1:27" ht="409.5" x14ac:dyDescent="0.25">
      <c r="A3">
        <v>8</v>
      </c>
      <c r="B3" t="s">
        <v>0</v>
      </c>
      <c r="C3" t="s">
        <v>8</v>
      </c>
      <c r="D3" s="1" t="s">
        <v>9</v>
      </c>
      <c r="E3" s="1" t="s">
        <v>10</v>
      </c>
      <c r="F3" s="1" t="s">
        <v>11</v>
      </c>
      <c r="G3" s="1" t="s">
        <v>12</v>
      </c>
      <c r="H3" t="s">
        <v>13</v>
      </c>
      <c r="I3" t="s">
        <v>14</v>
      </c>
      <c r="J3" s="2">
        <v>0.8571428571428571</v>
      </c>
      <c r="K3">
        <v>0</v>
      </c>
      <c r="L3">
        <v>0</v>
      </c>
      <c r="M3">
        <v>0.75543240922569643</v>
      </c>
      <c r="N3">
        <v>0</v>
      </c>
      <c r="O3">
        <v>0.98983701136776203</v>
      </c>
      <c r="P3">
        <v>0.14917925000190729</v>
      </c>
      <c r="Q3">
        <v>0.196212112903595</v>
      </c>
      <c r="R3">
        <v>9.9259786307811737E-2</v>
      </c>
      <c r="S3">
        <v>0</v>
      </c>
      <c r="T3">
        <v>0</v>
      </c>
      <c r="U3">
        <v>13.999557018280029</v>
      </c>
      <c r="V3">
        <v>2978</v>
      </c>
      <c r="W3">
        <v>169</v>
      </c>
      <c r="X3">
        <v>3147</v>
      </c>
      <c r="Y3">
        <v>0</v>
      </c>
      <c r="Z3">
        <v>5</v>
      </c>
      <c r="AA3">
        <v>13.999557018280029</v>
      </c>
    </row>
    <row r="4" spans="1:27" ht="409.5" x14ac:dyDescent="0.25">
      <c r="A4">
        <v>11</v>
      </c>
      <c r="B4" t="s">
        <v>15</v>
      </c>
      <c r="C4" t="s">
        <v>1</v>
      </c>
      <c r="D4" s="1" t="s">
        <v>16</v>
      </c>
      <c r="E4" s="1" t="s">
        <v>17</v>
      </c>
      <c r="F4" s="1" t="s">
        <v>18</v>
      </c>
      <c r="G4" s="1" t="s">
        <v>19</v>
      </c>
      <c r="H4" t="s">
        <v>20</v>
      </c>
      <c r="I4" t="s">
        <v>21</v>
      </c>
      <c r="J4" s="2">
        <v>1</v>
      </c>
      <c r="K4">
        <v>1</v>
      </c>
      <c r="L4">
        <v>0.99999999995</v>
      </c>
      <c r="M4">
        <v>0.78070321845922064</v>
      </c>
      <c r="N4">
        <v>0.19999999979999999</v>
      </c>
      <c r="O4">
        <v>0.99999999999999989</v>
      </c>
      <c r="P4">
        <v>0.43012413382530212</v>
      </c>
      <c r="Q4">
        <v>0.29123803973197943</v>
      </c>
      <c r="R4">
        <v>0.57347947359085083</v>
      </c>
      <c r="S4">
        <v>0.5</v>
      </c>
      <c r="T4">
        <v>1</v>
      </c>
      <c r="U4">
        <v>14.7056348323822</v>
      </c>
      <c r="V4">
        <v>2914</v>
      </c>
      <c r="W4">
        <v>206</v>
      </c>
      <c r="X4">
        <v>3120</v>
      </c>
      <c r="Y4">
        <v>0</v>
      </c>
      <c r="Z4">
        <v>5</v>
      </c>
      <c r="AA4">
        <v>14.7056348323822</v>
      </c>
    </row>
    <row r="5" spans="1:27" ht="409.5" x14ac:dyDescent="0.25">
      <c r="A5">
        <v>17</v>
      </c>
      <c r="B5" t="s">
        <v>22</v>
      </c>
      <c r="C5" t="s">
        <v>23</v>
      </c>
      <c r="D5" s="1" t="s">
        <v>24</v>
      </c>
      <c r="E5" s="1" t="s">
        <v>25</v>
      </c>
      <c r="F5" s="1" t="s">
        <v>26</v>
      </c>
      <c r="G5" s="1" t="s">
        <v>27</v>
      </c>
      <c r="H5" t="s">
        <v>28</v>
      </c>
      <c r="I5" t="s">
        <v>29</v>
      </c>
      <c r="J5" s="2">
        <v>1</v>
      </c>
      <c r="K5">
        <v>1</v>
      </c>
      <c r="L5">
        <v>0.249999999975</v>
      </c>
      <c r="M5">
        <v>0.85747824411634088</v>
      </c>
      <c r="N5">
        <v>0.59999999939999993</v>
      </c>
      <c r="O5">
        <v>0.87199182957967969</v>
      </c>
      <c r="P5">
        <v>0.59260499477386475</v>
      </c>
      <c r="Q5">
        <v>0.53976047039031982</v>
      </c>
      <c r="R5">
        <v>0.644569993019104</v>
      </c>
      <c r="S5">
        <v>1</v>
      </c>
      <c r="T5">
        <v>1</v>
      </c>
      <c r="U5">
        <v>13.27462935447693</v>
      </c>
      <c r="V5">
        <v>3046</v>
      </c>
      <c r="W5">
        <v>132</v>
      </c>
      <c r="X5">
        <v>3178</v>
      </c>
      <c r="Y5">
        <v>0</v>
      </c>
      <c r="Z5">
        <v>5</v>
      </c>
      <c r="AA5">
        <v>13.27462935447693</v>
      </c>
    </row>
    <row r="6" spans="1:27" ht="409.5" x14ac:dyDescent="0.25">
      <c r="A6">
        <v>20</v>
      </c>
      <c r="B6" t="s">
        <v>22</v>
      </c>
      <c r="C6" t="s">
        <v>8</v>
      </c>
      <c r="D6" s="1" t="s">
        <v>30</v>
      </c>
      <c r="E6" s="1" t="s">
        <v>31</v>
      </c>
      <c r="F6" s="1" t="s">
        <v>32</v>
      </c>
      <c r="G6" s="1" t="s">
        <v>33</v>
      </c>
      <c r="H6" t="s">
        <v>34</v>
      </c>
      <c r="I6" t="s">
        <v>29</v>
      </c>
      <c r="J6" s="2">
        <v>1</v>
      </c>
      <c r="K6">
        <v>0.66666666666666663</v>
      </c>
      <c r="L6">
        <v>0.69999999996499995</v>
      </c>
      <c r="M6">
        <v>0.66610816310372556</v>
      </c>
      <c r="N6">
        <v>0.77777777691358019</v>
      </c>
      <c r="O6">
        <v>0.82564435852860873</v>
      </c>
      <c r="P6">
        <v>0.14522820711135859</v>
      </c>
      <c r="Q6">
        <v>-6.5234184265136719E-2</v>
      </c>
      <c r="R6">
        <v>0.36939746141433721</v>
      </c>
      <c r="S6">
        <v>1</v>
      </c>
      <c r="T6">
        <v>1</v>
      </c>
      <c r="U6">
        <v>20.277224063873291</v>
      </c>
      <c r="V6">
        <v>3098</v>
      </c>
      <c r="W6">
        <v>330</v>
      </c>
      <c r="X6">
        <v>3428</v>
      </c>
      <c r="Y6">
        <v>0</v>
      </c>
      <c r="Z6">
        <v>5</v>
      </c>
      <c r="AA6">
        <v>20.277224063873291</v>
      </c>
    </row>
    <row r="7" spans="1:27" ht="409.5" x14ac:dyDescent="0.25">
      <c r="A7">
        <v>30</v>
      </c>
      <c r="B7" t="s">
        <v>22</v>
      </c>
      <c r="C7" t="s">
        <v>23</v>
      </c>
      <c r="D7" s="1" t="s">
        <v>35</v>
      </c>
      <c r="E7" s="1" t="s">
        <v>36</v>
      </c>
      <c r="F7" s="1" t="s">
        <v>37</v>
      </c>
      <c r="G7" s="1" t="s">
        <v>38</v>
      </c>
      <c r="H7" t="s">
        <v>39</v>
      </c>
      <c r="I7" t="s">
        <v>29</v>
      </c>
      <c r="J7" s="3">
        <v>0.33333333333333331</v>
      </c>
      <c r="K7">
        <v>0</v>
      </c>
      <c r="L7">
        <v>0</v>
      </c>
      <c r="M7">
        <v>0.81118953353510159</v>
      </c>
      <c r="N7">
        <v>0</v>
      </c>
      <c r="O7">
        <v>0.75604901887450682</v>
      </c>
      <c r="P7">
        <v>0.2437620013952255</v>
      </c>
      <c r="Q7">
        <v>6.1681412160396583E-2</v>
      </c>
      <c r="R7">
        <v>0.43517282605171198</v>
      </c>
      <c r="S7">
        <v>0</v>
      </c>
      <c r="T7">
        <v>0</v>
      </c>
      <c r="U7">
        <v>16.671660423278809</v>
      </c>
      <c r="V7">
        <v>2555</v>
      </c>
      <c r="W7">
        <v>244</v>
      </c>
      <c r="X7">
        <v>2799</v>
      </c>
      <c r="Y7">
        <v>0</v>
      </c>
      <c r="Z7">
        <v>5</v>
      </c>
      <c r="AA7">
        <v>16.671660423278809</v>
      </c>
    </row>
    <row r="8" spans="1:27" ht="409.5" x14ac:dyDescent="0.25">
      <c r="A8">
        <v>33</v>
      </c>
      <c r="B8" t="s">
        <v>40</v>
      </c>
      <c r="C8" t="s">
        <v>23</v>
      </c>
      <c r="D8" s="1" t="s">
        <v>41</v>
      </c>
      <c r="E8" s="1" t="s">
        <v>42</v>
      </c>
      <c r="F8" s="1" t="s">
        <v>43</v>
      </c>
      <c r="G8" s="1" t="s">
        <v>44</v>
      </c>
      <c r="H8" t="s">
        <v>45</v>
      </c>
      <c r="I8" t="s">
        <v>29</v>
      </c>
      <c r="J8" s="2">
        <v>1</v>
      </c>
      <c r="K8">
        <v>1</v>
      </c>
      <c r="L8">
        <v>0.8666666666377778</v>
      </c>
      <c r="M8">
        <v>0.97693004364314406</v>
      </c>
      <c r="N8">
        <v>0.99999999500000003</v>
      </c>
      <c r="O8">
        <v>0.9891112201369866</v>
      </c>
      <c r="P8">
        <v>0.72119510173797607</v>
      </c>
      <c r="Q8">
        <v>0.72738325595855713</v>
      </c>
      <c r="R8">
        <v>0.71378558874130249</v>
      </c>
      <c r="S8">
        <v>0.2</v>
      </c>
      <c r="T8">
        <v>1</v>
      </c>
      <c r="U8">
        <v>7.8358101844787598</v>
      </c>
      <c r="V8">
        <v>3332</v>
      </c>
      <c r="W8">
        <v>50</v>
      </c>
      <c r="X8">
        <v>3382</v>
      </c>
      <c r="Y8">
        <v>0</v>
      </c>
      <c r="Z8">
        <v>5</v>
      </c>
      <c r="AA8">
        <v>7.8358101844787598</v>
      </c>
    </row>
    <row r="9" spans="1:27" ht="409.5" x14ac:dyDescent="0.25">
      <c r="A9">
        <v>34</v>
      </c>
      <c r="B9" t="s">
        <v>40</v>
      </c>
      <c r="C9" t="s">
        <v>1</v>
      </c>
      <c r="D9" s="1" t="s">
        <v>46</v>
      </c>
      <c r="E9" s="1" t="s">
        <v>47</v>
      </c>
      <c r="F9" s="1" t="s">
        <v>48</v>
      </c>
      <c r="G9" s="1" t="s">
        <v>49</v>
      </c>
      <c r="H9" t="s">
        <v>50</v>
      </c>
      <c r="I9" t="s">
        <v>7</v>
      </c>
      <c r="J9" s="2">
        <v>0.8</v>
      </c>
      <c r="K9">
        <v>0</v>
      </c>
      <c r="L9">
        <v>0</v>
      </c>
      <c r="M9">
        <v>0.69279487089104497</v>
      </c>
      <c r="N9">
        <v>0</v>
      </c>
      <c r="O9">
        <v>0.92810663426577222</v>
      </c>
      <c r="P9">
        <v>0.12965008616447449</v>
      </c>
      <c r="Q9">
        <v>1.2952046468853951E-2</v>
      </c>
      <c r="R9">
        <v>0.247585728764534</v>
      </c>
      <c r="S9">
        <v>0.33333333333333331</v>
      </c>
      <c r="T9">
        <v>1</v>
      </c>
      <c r="U9">
        <v>21.815482139587399</v>
      </c>
      <c r="V9">
        <v>2946</v>
      </c>
      <c r="W9">
        <v>324</v>
      </c>
      <c r="X9">
        <v>3270</v>
      </c>
      <c r="Y9">
        <v>0</v>
      </c>
      <c r="Z9">
        <v>5</v>
      </c>
      <c r="AA9">
        <v>21.815482139587399</v>
      </c>
    </row>
    <row r="10" spans="1:27" ht="409.5" x14ac:dyDescent="0.25">
      <c r="A10">
        <v>64</v>
      </c>
      <c r="B10" t="s">
        <v>51</v>
      </c>
      <c r="C10" t="s">
        <v>1</v>
      </c>
      <c r="D10" s="1" t="s">
        <v>52</v>
      </c>
      <c r="E10" s="1" t="s">
        <v>53</v>
      </c>
      <c r="F10" s="1" t="s">
        <v>54</v>
      </c>
      <c r="G10" s="1" t="s">
        <v>55</v>
      </c>
      <c r="H10" t="s">
        <v>56</v>
      </c>
      <c r="I10" t="s">
        <v>57</v>
      </c>
      <c r="J10" s="3">
        <v>0</v>
      </c>
      <c r="K10">
        <v>0.2857142857142857</v>
      </c>
      <c r="L10">
        <v>0</v>
      </c>
      <c r="M10">
        <v>0.74945960717485527</v>
      </c>
      <c r="N10">
        <v>0</v>
      </c>
      <c r="O10">
        <v>0</v>
      </c>
      <c r="P10">
        <v>0.1269007325172424</v>
      </c>
      <c r="Q10">
        <v>0.21425299346446991</v>
      </c>
      <c r="R10">
        <v>3.8587123155593872E-2</v>
      </c>
      <c r="S10">
        <v>0</v>
      </c>
      <c r="T10">
        <v>0</v>
      </c>
      <c r="U10">
        <v>13.684484720230101</v>
      </c>
      <c r="V10">
        <v>3525</v>
      </c>
      <c r="W10">
        <v>146</v>
      </c>
      <c r="X10">
        <v>3671</v>
      </c>
      <c r="Y10">
        <v>0</v>
      </c>
      <c r="Z10">
        <v>5</v>
      </c>
      <c r="AA10">
        <v>13.684484720230101</v>
      </c>
    </row>
    <row r="11" spans="1:27" ht="409.5" x14ac:dyDescent="0.25">
      <c r="A11">
        <v>65</v>
      </c>
      <c r="B11" t="s">
        <v>51</v>
      </c>
      <c r="C11" t="s">
        <v>8</v>
      </c>
      <c r="D11" s="1" t="s">
        <v>58</v>
      </c>
      <c r="E11" s="1" t="s">
        <v>59</v>
      </c>
      <c r="F11" s="1" t="s">
        <v>60</v>
      </c>
      <c r="G11" s="1" t="s">
        <v>61</v>
      </c>
      <c r="H11" t="s">
        <v>62</v>
      </c>
      <c r="I11" t="s">
        <v>29</v>
      </c>
      <c r="J11" s="2">
        <v>1</v>
      </c>
      <c r="K11">
        <v>1</v>
      </c>
      <c r="L11">
        <v>0.41666666664583329</v>
      </c>
      <c r="M11">
        <v>0.87847315384683133</v>
      </c>
      <c r="N11">
        <v>0.2068965516527943</v>
      </c>
      <c r="O11">
        <v>0.75048479343496766</v>
      </c>
      <c r="P11">
        <v>0.34514245390892029</v>
      </c>
      <c r="Q11">
        <v>0.49244332313537598</v>
      </c>
      <c r="R11">
        <v>0.20252743363380429</v>
      </c>
      <c r="S11">
        <v>0.33333333333333331</v>
      </c>
      <c r="T11">
        <v>1</v>
      </c>
      <c r="U11">
        <v>18.666863441467289</v>
      </c>
      <c r="V11">
        <v>3190</v>
      </c>
      <c r="W11">
        <v>294</v>
      </c>
      <c r="X11">
        <v>3484</v>
      </c>
      <c r="Y11">
        <v>0</v>
      </c>
      <c r="Z11">
        <v>5</v>
      </c>
      <c r="AA11">
        <v>18.666863441467289</v>
      </c>
    </row>
    <row r="12" spans="1:27" ht="409.5" x14ac:dyDescent="0.25">
      <c r="A12">
        <v>84</v>
      </c>
      <c r="B12" t="s">
        <v>40</v>
      </c>
      <c r="C12" t="s">
        <v>1</v>
      </c>
      <c r="D12" s="1" t="s">
        <v>63</v>
      </c>
      <c r="E12" s="1" t="s">
        <v>64</v>
      </c>
      <c r="F12" s="1" t="s">
        <v>65</v>
      </c>
      <c r="G12" s="1" t="s">
        <v>66</v>
      </c>
      <c r="H12" t="s">
        <v>67</v>
      </c>
      <c r="I12" t="s">
        <v>29</v>
      </c>
      <c r="J12" s="2">
        <v>0.92307692307692313</v>
      </c>
      <c r="K12">
        <v>0.4</v>
      </c>
      <c r="L12">
        <v>0.8666666666377778</v>
      </c>
      <c r="M12">
        <v>0.72677234807661806</v>
      </c>
      <c r="N12">
        <v>7.1428571377551014E-2</v>
      </c>
      <c r="O12">
        <v>0.97536452636383097</v>
      </c>
      <c r="P12">
        <v>8.3757422864437103E-2</v>
      </c>
      <c r="Q12">
        <v>2.40657739341259E-2</v>
      </c>
      <c r="R12">
        <v>0.14063943922519681</v>
      </c>
      <c r="S12">
        <v>0</v>
      </c>
      <c r="T12">
        <v>0</v>
      </c>
      <c r="U12">
        <v>34.379329442977912</v>
      </c>
      <c r="V12">
        <v>2757</v>
      </c>
      <c r="W12">
        <v>396</v>
      </c>
      <c r="X12">
        <v>3153</v>
      </c>
      <c r="Y12">
        <v>0</v>
      </c>
      <c r="Z12">
        <v>5</v>
      </c>
      <c r="AA12">
        <v>34.379329442977912</v>
      </c>
    </row>
    <row r="13" spans="1:27" ht="409.5" x14ac:dyDescent="0.25">
      <c r="A13">
        <v>89</v>
      </c>
      <c r="B13" t="s">
        <v>68</v>
      </c>
      <c r="C13" t="s">
        <v>23</v>
      </c>
      <c r="D13" s="1" t="s">
        <v>69</v>
      </c>
      <c r="E13" s="1" t="s">
        <v>70</v>
      </c>
      <c r="F13" s="1" t="s">
        <v>71</v>
      </c>
      <c r="G13" s="1" t="s">
        <v>72</v>
      </c>
      <c r="H13" t="s">
        <v>73</v>
      </c>
      <c r="I13" t="s">
        <v>57</v>
      </c>
      <c r="J13" s="3">
        <v>0.44444444444444442</v>
      </c>
      <c r="K13">
        <v>0</v>
      </c>
      <c r="L13">
        <v>0</v>
      </c>
      <c r="M13">
        <v>0.67919298340505307</v>
      </c>
      <c r="N13">
        <v>0.249999999375</v>
      </c>
      <c r="O13">
        <v>0</v>
      </c>
      <c r="P13">
        <v>0.25057855248451227</v>
      </c>
      <c r="Q13">
        <v>0.13420397043228149</v>
      </c>
      <c r="R13">
        <v>0.36860442161560059</v>
      </c>
      <c r="S13">
        <v>0</v>
      </c>
      <c r="T13">
        <v>0</v>
      </c>
      <c r="U13">
        <v>15.13997530937195</v>
      </c>
      <c r="V13">
        <v>3371</v>
      </c>
      <c r="W13">
        <v>212</v>
      </c>
      <c r="X13">
        <v>3583</v>
      </c>
      <c r="Y13">
        <v>0</v>
      </c>
      <c r="Z13">
        <v>5</v>
      </c>
      <c r="AA13">
        <v>15.13997530937195</v>
      </c>
    </row>
    <row r="14" spans="1:27" ht="409.5" x14ac:dyDescent="0.25">
      <c r="A14">
        <v>91</v>
      </c>
      <c r="B14" t="s">
        <v>68</v>
      </c>
      <c r="C14" t="s">
        <v>8</v>
      </c>
      <c r="D14" s="1" t="s">
        <v>74</v>
      </c>
      <c r="E14" s="1" t="s">
        <v>75</v>
      </c>
      <c r="F14" s="1" t="s">
        <v>76</v>
      </c>
      <c r="G14" s="1" t="s">
        <v>77</v>
      </c>
      <c r="H14" t="s">
        <v>78</v>
      </c>
      <c r="I14" t="s">
        <v>29</v>
      </c>
      <c r="J14" s="2">
        <v>1</v>
      </c>
      <c r="K14">
        <v>0.2</v>
      </c>
      <c r="L14">
        <v>0.249999999975</v>
      </c>
      <c r="M14">
        <v>0.77755782471851909</v>
      </c>
      <c r="N14">
        <v>9.9999999950000001E-2</v>
      </c>
      <c r="O14">
        <v>0.91706901545143582</v>
      </c>
      <c r="P14">
        <v>0.13806608319282529</v>
      </c>
      <c r="Q14">
        <v>0.1143933683633804</v>
      </c>
      <c r="R14">
        <v>0.1580808907747269</v>
      </c>
      <c r="S14">
        <v>0</v>
      </c>
      <c r="T14">
        <v>0</v>
      </c>
      <c r="U14">
        <v>24.012253999710079</v>
      </c>
      <c r="V14">
        <v>3542</v>
      </c>
      <c r="W14">
        <v>371</v>
      </c>
      <c r="X14">
        <v>3913</v>
      </c>
      <c r="Y14">
        <v>0</v>
      </c>
      <c r="Z14">
        <v>5</v>
      </c>
      <c r="AA14">
        <v>24.012253999710079</v>
      </c>
    </row>
    <row r="15" spans="1:27" ht="409.5" x14ac:dyDescent="0.25">
      <c r="A15">
        <v>97</v>
      </c>
      <c r="B15" t="s">
        <v>68</v>
      </c>
      <c r="C15" t="s">
        <v>8</v>
      </c>
      <c r="D15" s="1" t="s">
        <v>79</v>
      </c>
      <c r="E15" s="1" t="s">
        <v>80</v>
      </c>
      <c r="F15" s="1" t="s">
        <v>81</v>
      </c>
      <c r="G15" s="1" t="s">
        <v>82</v>
      </c>
      <c r="H15" t="s">
        <v>83</v>
      </c>
      <c r="I15" t="s">
        <v>84</v>
      </c>
      <c r="J15" s="2">
        <v>1</v>
      </c>
      <c r="K15">
        <v>0.75</v>
      </c>
      <c r="L15">
        <v>0.99999999998</v>
      </c>
      <c r="M15">
        <v>0.85774195143187781</v>
      </c>
      <c r="N15">
        <v>0.16666666638888891</v>
      </c>
      <c r="O15">
        <v>0.99262073714052856</v>
      </c>
      <c r="P15">
        <v>0.36052891612052917</v>
      </c>
      <c r="Q15">
        <v>0.3206789493560791</v>
      </c>
      <c r="R15">
        <v>0.39806205034255981</v>
      </c>
      <c r="S15">
        <v>0</v>
      </c>
      <c r="T15">
        <v>0</v>
      </c>
      <c r="U15">
        <v>17.3415093421936</v>
      </c>
      <c r="V15">
        <v>3595</v>
      </c>
      <c r="W15">
        <v>212</v>
      </c>
      <c r="X15">
        <v>3807</v>
      </c>
      <c r="Y15">
        <v>0</v>
      </c>
      <c r="Z15">
        <v>5</v>
      </c>
      <c r="AA15">
        <v>17.3415093421936</v>
      </c>
    </row>
    <row r="16" spans="1:27" ht="409.5" x14ac:dyDescent="0.25">
      <c r="A16">
        <v>110</v>
      </c>
      <c r="B16" t="s">
        <v>68</v>
      </c>
      <c r="C16" t="s">
        <v>8</v>
      </c>
      <c r="D16" s="1" t="s">
        <v>85</v>
      </c>
      <c r="E16" s="1" t="s">
        <v>86</v>
      </c>
      <c r="F16" s="1" t="s">
        <v>87</v>
      </c>
      <c r="G16" s="1" t="s">
        <v>88</v>
      </c>
      <c r="H16" t="s">
        <v>89</v>
      </c>
      <c r="I16" t="s">
        <v>90</v>
      </c>
      <c r="J16" s="2">
        <v>1</v>
      </c>
      <c r="K16">
        <v>0</v>
      </c>
      <c r="L16">
        <v>0.499999999975</v>
      </c>
      <c r="M16">
        <v>0.76590273052317648</v>
      </c>
      <c r="N16">
        <v>5.5555555524691352E-2</v>
      </c>
      <c r="O16">
        <v>0.93667765012070114</v>
      </c>
      <c r="P16">
        <v>0.1127152293920517</v>
      </c>
      <c r="Q16">
        <v>6.1601307243108749E-2</v>
      </c>
      <c r="R16">
        <v>0.16079370677471161</v>
      </c>
      <c r="S16">
        <v>0</v>
      </c>
      <c r="T16">
        <v>0</v>
      </c>
      <c r="U16">
        <v>21.333811283111569</v>
      </c>
      <c r="V16">
        <v>3471</v>
      </c>
      <c r="W16">
        <v>347</v>
      </c>
      <c r="X16">
        <v>3818</v>
      </c>
      <c r="Y16">
        <v>0</v>
      </c>
      <c r="Z16">
        <v>5</v>
      </c>
      <c r="AA16">
        <v>21.333811283111569</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3D6CE-0BC9-4D4B-A69A-EC3BB4F10010}">
  <dimension ref="A1:AA16"/>
  <sheetViews>
    <sheetView workbookViewId="0">
      <selection activeCell="G2" sqref="G2"/>
    </sheetView>
  </sheetViews>
  <sheetFormatPr baseColWidth="10" defaultRowHeight="15" x14ac:dyDescent="0.25"/>
  <sheetData>
    <row r="1" spans="1:27" ht="45" x14ac:dyDescent="0.25">
      <c r="A1" s="5" t="s">
        <v>91</v>
      </c>
      <c r="B1" s="5" t="s">
        <v>92</v>
      </c>
      <c r="C1" s="5" t="s">
        <v>93</v>
      </c>
      <c r="D1" s="5" t="s">
        <v>94</v>
      </c>
      <c r="E1" s="5" t="s">
        <v>95</v>
      </c>
      <c r="F1" s="5" t="s">
        <v>96</v>
      </c>
      <c r="G1" s="5" t="s">
        <v>97</v>
      </c>
      <c r="H1" s="5" t="s">
        <v>98</v>
      </c>
      <c r="I1" s="5" t="s">
        <v>99</v>
      </c>
      <c r="J1" s="5" t="s">
        <v>100</v>
      </c>
      <c r="K1" s="5" t="s">
        <v>101</v>
      </c>
      <c r="L1" s="5" t="s">
        <v>102</v>
      </c>
      <c r="M1" s="5" t="s">
        <v>103</v>
      </c>
      <c r="N1" s="5" t="s">
        <v>104</v>
      </c>
      <c r="O1" s="5" t="s">
        <v>105</v>
      </c>
      <c r="P1" s="5" t="s">
        <v>106</v>
      </c>
      <c r="Q1" s="5" t="s">
        <v>107</v>
      </c>
      <c r="R1" s="5" t="s">
        <v>108</v>
      </c>
      <c r="S1" s="5" t="s">
        <v>109</v>
      </c>
      <c r="T1" s="5" t="s">
        <v>110</v>
      </c>
      <c r="U1" s="5" t="s">
        <v>111</v>
      </c>
      <c r="V1" s="5" t="s">
        <v>112</v>
      </c>
      <c r="W1" s="5" t="s">
        <v>113</v>
      </c>
      <c r="X1" s="5" t="s">
        <v>114</v>
      </c>
      <c r="Y1" s="5" t="s">
        <v>115</v>
      </c>
      <c r="Z1" s="5" t="s">
        <v>116</v>
      </c>
      <c r="AA1" s="5" t="s">
        <v>117</v>
      </c>
    </row>
    <row r="2" spans="1:27" ht="409.5" x14ac:dyDescent="0.25">
      <c r="A2">
        <v>1</v>
      </c>
      <c r="B2" t="s">
        <v>0</v>
      </c>
      <c r="C2" t="s">
        <v>1</v>
      </c>
      <c r="D2" s="1" t="s">
        <v>2</v>
      </c>
      <c r="E2" s="1" t="s">
        <v>3</v>
      </c>
      <c r="F2" s="1" t="s">
        <v>4</v>
      </c>
      <c r="G2" s="1" t="s">
        <v>5</v>
      </c>
      <c r="H2" t="s">
        <v>6</v>
      </c>
      <c r="I2" t="s">
        <v>7</v>
      </c>
      <c r="J2" s="2">
        <v>0.86956521739130432</v>
      </c>
      <c r="K2">
        <v>0</v>
      </c>
      <c r="L2">
        <v>0.499999999975</v>
      </c>
      <c r="M2">
        <v>0.67894446195179081</v>
      </c>
      <c r="N2">
        <v>0.99999999000000017</v>
      </c>
      <c r="O2">
        <v>0.84578900131503387</v>
      </c>
      <c r="P2">
        <v>0.1023745834827423</v>
      </c>
      <c r="Q2">
        <v>-4.0825743228197098E-2</v>
      </c>
      <c r="R2">
        <v>0.2494480311870575</v>
      </c>
      <c r="S2">
        <v>0</v>
      </c>
      <c r="T2">
        <v>0</v>
      </c>
      <c r="U2">
        <v>50.469219207763672</v>
      </c>
      <c r="V2">
        <v>3217</v>
      </c>
      <c r="W2">
        <v>441</v>
      </c>
      <c r="X2">
        <v>3658</v>
      </c>
      <c r="Y2">
        <v>0</v>
      </c>
      <c r="Z2">
        <v>5</v>
      </c>
      <c r="AA2">
        <v>50.469219207763672</v>
      </c>
    </row>
    <row r="3" spans="1:27" ht="409.5" x14ac:dyDescent="0.25">
      <c r="A3">
        <v>8</v>
      </c>
      <c r="B3" t="s">
        <v>0</v>
      </c>
      <c r="C3" t="s">
        <v>8</v>
      </c>
      <c r="D3" s="1" t="s">
        <v>9</v>
      </c>
      <c r="E3" s="1" t="s">
        <v>10</v>
      </c>
      <c r="F3" s="1" t="s">
        <v>11</v>
      </c>
      <c r="G3" s="1" t="s">
        <v>12</v>
      </c>
      <c r="H3" t="s">
        <v>13</v>
      </c>
      <c r="I3" t="s">
        <v>14</v>
      </c>
      <c r="J3" s="3">
        <v>0.44444444444444442</v>
      </c>
      <c r="K3">
        <v>0</v>
      </c>
      <c r="L3">
        <v>0</v>
      </c>
      <c r="M3">
        <v>0.75543240922569643</v>
      </c>
      <c r="N3">
        <v>0</v>
      </c>
      <c r="O3">
        <v>0.95011750553267704</v>
      </c>
      <c r="P3">
        <v>0.14917925000190729</v>
      </c>
      <c r="Q3">
        <v>0.196212112903595</v>
      </c>
      <c r="R3">
        <v>9.9259786307811737E-2</v>
      </c>
      <c r="S3">
        <v>0</v>
      </c>
      <c r="T3">
        <v>0</v>
      </c>
      <c r="U3">
        <v>13.999557018280029</v>
      </c>
      <c r="V3">
        <v>2978</v>
      </c>
      <c r="W3">
        <v>169</v>
      </c>
      <c r="X3">
        <v>3147</v>
      </c>
      <c r="Y3">
        <v>0</v>
      </c>
      <c r="Z3">
        <v>5</v>
      </c>
      <c r="AA3">
        <v>13.999557018280029</v>
      </c>
    </row>
    <row r="4" spans="1:27" ht="409.5" x14ac:dyDescent="0.25">
      <c r="A4">
        <v>11</v>
      </c>
      <c r="B4" t="s">
        <v>15</v>
      </c>
      <c r="C4" t="s">
        <v>1</v>
      </c>
      <c r="D4" s="1" t="s">
        <v>16</v>
      </c>
      <c r="E4" s="1" t="s">
        <v>17</v>
      </c>
      <c r="F4" s="1" t="s">
        <v>18</v>
      </c>
      <c r="G4" s="1" t="s">
        <v>19</v>
      </c>
      <c r="H4" t="s">
        <v>20</v>
      </c>
      <c r="I4" t="s">
        <v>21</v>
      </c>
      <c r="J4" s="2">
        <v>0.83333333333333337</v>
      </c>
      <c r="K4">
        <v>1</v>
      </c>
      <c r="L4">
        <v>0.99999999995</v>
      </c>
      <c r="M4">
        <v>0.78070321845922064</v>
      </c>
      <c r="N4">
        <v>0.63636363578512389</v>
      </c>
      <c r="O4">
        <v>0.997965712763908</v>
      </c>
      <c r="P4">
        <v>0.43012338876724238</v>
      </c>
      <c r="Q4">
        <v>0.29123803973197943</v>
      </c>
      <c r="R4">
        <v>0.57347762584686279</v>
      </c>
      <c r="S4">
        <v>0.5</v>
      </c>
      <c r="T4">
        <v>1</v>
      </c>
      <c r="U4">
        <v>14.7056348323822</v>
      </c>
      <c r="V4">
        <v>2914</v>
      </c>
      <c r="W4">
        <v>206</v>
      </c>
      <c r="X4">
        <v>3120</v>
      </c>
      <c r="Y4">
        <v>0</v>
      </c>
      <c r="Z4">
        <v>5</v>
      </c>
      <c r="AA4">
        <v>14.7056348323822</v>
      </c>
    </row>
    <row r="5" spans="1:27" ht="409.5" x14ac:dyDescent="0.25">
      <c r="A5">
        <v>17</v>
      </c>
      <c r="B5" t="s">
        <v>22</v>
      </c>
      <c r="C5" t="s">
        <v>23</v>
      </c>
      <c r="D5" s="1" t="s">
        <v>24</v>
      </c>
      <c r="E5" s="1" t="s">
        <v>25</v>
      </c>
      <c r="F5" s="1" t="s">
        <v>26</v>
      </c>
      <c r="G5" s="1" t="s">
        <v>27</v>
      </c>
      <c r="H5" t="s">
        <v>28</v>
      </c>
      <c r="I5" t="s">
        <v>29</v>
      </c>
      <c r="J5" s="2">
        <v>1</v>
      </c>
      <c r="K5">
        <v>1</v>
      </c>
      <c r="L5">
        <v>0.249999999975</v>
      </c>
      <c r="M5">
        <v>0.85747824411634088</v>
      </c>
      <c r="N5">
        <v>0.59999999939999993</v>
      </c>
      <c r="O5">
        <v>0.87199182957967969</v>
      </c>
      <c r="P5">
        <v>0.59260684251785278</v>
      </c>
      <c r="Q5">
        <v>0.53976082801818848</v>
      </c>
      <c r="R5">
        <v>0.64457184076309204</v>
      </c>
      <c r="S5">
        <v>1</v>
      </c>
      <c r="T5">
        <v>1</v>
      </c>
      <c r="U5">
        <v>13.27462935447693</v>
      </c>
      <c r="V5">
        <v>3046</v>
      </c>
      <c r="W5">
        <v>132</v>
      </c>
      <c r="X5">
        <v>3178</v>
      </c>
      <c r="Y5">
        <v>0</v>
      </c>
      <c r="Z5">
        <v>5</v>
      </c>
      <c r="AA5">
        <v>13.27462935447693</v>
      </c>
    </row>
    <row r="6" spans="1:27" ht="409.5" x14ac:dyDescent="0.25">
      <c r="A6">
        <v>20</v>
      </c>
      <c r="B6" t="s">
        <v>22</v>
      </c>
      <c r="C6" t="s">
        <v>8</v>
      </c>
      <c r="D6" s="1" t="s">
        <v>30</v>
      </c>
      <c r="E6" s="1" t="s">
        <v>31</v>
      </c>
      <c r="F6" s="1" t="s">
        <v>32</v>
      </c>
      <c r="G6" s="1" t="s">
        <v>33</v>
      </c>
      <c r="H6" t="s">
        <v>34</v>
      </c>
      <c r="I6" t="s">
        <v>29</v>
      </c>
      <c r="J6" s="2">
        <v>1</v>
      </c>
      <c r="K6">
        <v>0</v>
      </c>
      <c r="L6">
        <v>0.69999999996499995</v>
      </c>
      <c r="M6">
        <v>0.66610816310372556</v>
      </c>
      <c r="N6">
        <v>0.1111111109876543</v>
      </c>
      <c r="O6">
        <v>0.81011962608404098</v>
      </c>
      <c r="P6">
        <v>0.1452278345823288</v>
      </c>
      <c r="Q6">
        <v>-6.5234184265136719E-2</v>
      </c>
      <c r="R6">
        <v>0.36939671635627752</v>
      </c>
      <c r="S6">
        <v>1</v>
      </c>
      <c r="T6">
        <v>1</v>
      </c>
      <c r="U6">
        <v>20.277224063873291</v>
      </c>
      <c r="V6">
        <v>3098</v>
      </c>
      <c r="W6">
        <v>330</v>
      </c>
      <c r="X6">
        <v>3428</v>
      </c>
      <c r="Y6">
        <v>0</v>
      </c>
      <c r="Z6">
        <v>5</v>
      </c>
      <c r="AA6">
        <v>20.277224063873291</v>
      </c>
    </row>
    <row r="7" spans="1:27" ht="409.5" x14ac:dyDescent="0.25">
      <c r="A7">
        <v>30</v>
      </c>
      <c r="B7" t="s">
        <v>147</v>
      </c>
      <c r="C7" t="s">
        <v>23</v>
      </c>
      <c r="D7" s="1" t="s">
        <v>35</v>
      </c>
      <c r="E7" s="1" t="s">
        <v>36</v>
      </c>
      <c r="F7" s="1" t="s">
        <v>37</v>
      </c>
      <c r="G7" s="1" t="s">
        <v>38</v>
      </c>
      <c r="H7" t="s">
        <v>39</v>
      </c>
      <c r="I7" t="s">
        <v>29</v>
      </c>
      <c r="J7" s="3">
        <v>0</v>
      </c>
      <c r="K7">
        <v>0</v>
      </c>
      <c r="L7">
        <v>0</v>
      </c>
      <c r="M7">
        <v>0.81118953353510159</v>
      </c>
      <c r="N7">
        <v>0</v>
      </c>
      <c r="O7">
        <v>0.77218342633908232</v>
      </c>
      <c r="P7">
        <v>0.2437620013952255</v>
      </c>
      <c r="Q7">
        <v>6.1681412160396583E-2</v>
      </c>
      <c r="R7">
        <v>0.43517321348190308</v>
      </c>
      <c r="S7">
        <v>0</v>
      </c>
      <c r="T7">
        <v>0</v>
      </c>
      <c r="U7">
        <v>16.671660423278809</v>
      </c>
      <c r="V7">
        <v>2555</v>
      </c>
      <c r="W7">
        <v>244</v>
      </c>
      <c r="X7">
        <v>2799</v>
      </c>
      <c r="Y7">
        <v>0</v>
      </c>
      <c r="Z7">
        <v>5</v>
      </c>
      <c r="AA7">
        <v>16.671660423278809</v>
      </c>
    </row>
    <row r="8" spans="1:27" ht="409.5" x14ac:dyDescent="0.25">
      <c r="A8">
        <v>33</v>
      </c>
      <c r="B8" t="s">
        <v>40</v>
      </c>
      <c r="C8" t="s">
        <v>23</v>
      </c>
      <c r="D8" s="1" t="s">
        <v>41</v>
      </c>
      <c r="E8" s="1" t="s">
        <v>42</v>
      </c>
      <c r="F8" s="1" t="s">
        <v>43</v>
      </c>
      <c r="G8" s="1" t="s">
        <v>44</v>
      </c>
      <c r="H8" t="s">
        <v>45</v>
      </c>
      <c r="I8" t="s">
        <v>29</v>
      </c>
      <c r="J8" s="2">
        <v>1</v>
      </c>
      <c r="K8">
        <v>1</v>
      </c>
      <c r="L8">
        <v>0.8666666666377778</v>
      </c>
      <c r="M8">
        <v>0.97693004364314406</v>
      </c>
      <c r="N8">
        <v>0.49999999750000002</v>
      </c>
      <c r="O8">
        <v>0.97972603190872654</v>
      </c>
      <c r="P8">
        <v>0.72119432687759399</v>
      </c>
      <c r="Q8">
        <v>0.72738325595855713</v>
      </c>
      <c r="R8">
        <v>0.71378451585769653</v>
      </c>
      <c r="S8">
        <v>0.2</v>
      </c>
      <c r="T8">
        <v>1</v>
      </c>
      <c r="U8">
        <v>7.8358101844787598</v>
      </c>
      <c r="V8">
        <v>3332</v>
      </c>
      <c r="W8">
        <v>50</v>
      </c>
      <c r="X8">
        <v>3382</v>
      </c>
      <c r="Y8">
        <v>0</v>
      </c>
      <c r="Z8">
        <v>5</v>
      </c>
      <c r="AA8">
        <v>7.8358101844787598</v>
      </c>
    </row>
    <row r="9" spans="1:27" ht="409.5" x14ac:dyDescent="0.25">
      <c r="A9">
        <v>34</v>
      </c>
      <c r="B9" t="s">
        <v>40</v>
      </c>
      <c r="C9" t="s">
        <v>1</v>
      </c>
      <c r="D9" s="1" t="s">
        <v>46</v>
      </c>
      <c r="E9" s="1" t="s">
        <v>47</v>
      </c>
      <c r="F9" s="1" t="s">
        <v>48</v>
      </c>
      <c r="G9" s="1" t="s">
        <v>49</v>
      </c>
      <c r="H9" t="s">
        <v>50</v>
      </c>
      <c r="I9" t="s">
        <v>7</v>
      </c>
      <c r="J9" s="2">
        <v>0.8</v>
      </c>
      <c r="K9">
        <v>0</v>
      </c>
      <c r="L9">
        <v>0</v>
      </c>
      <c r="M9">
        <v>0.69279487089104497</v>
      </c>
      <c r="N9">
        <v>0</v>
      </c>
      <c r="O9">
        <v>0.95611528337324803</v>
      </c>
      <c r="P9">
        <v>0.12964971363544461</v>
      </c>
      <c r="Q9">
        <v>1.2952046468853951E-2</v>
      </c>
      <c r="R9">
        <v>0.24758535623550421</v>
      </c>
      <c r="S9">
        <v>0.33333333333333331</v>
      </c>
      <c r="T9">
        <v>1</v>
      </c>
      <c r="U9">
        <v>21.815482139587399</v>
      </c>
      <c r="V9">
        <v>2946</v>
      </c>
      <c r="W9">
        <v>324</v>
      </c>
      <c r="X9">
        <v>3270</v>
      </c>
      <c r="Y9">
        <v>0</v>
      </c>
      <c r="Z9">
        <v>5</v>
      </c>
      <c r="AA9">
        <v>21.815482139587399</v>
      </c>
    </row>
    <row r="10" spans="1:27" ht="409.5" x14ac:dyDescent="0.25">
      <c r="A10">
        <v>64</v>
      </c>
      <c r="B10" t="s">
        <v>51</v>
      </c>
      <c r="C10" t="s">
        <v>1</v>
      </c>
      <c r="D10" s="1" t="s">
        <v>52</v>
      </c>
      <c r="E10" s="1" t="s">
        <v>53</v>
      </c>
      <c r="F10" s="1" t="s">
        <v>54</v>
      </c>
      <c r="G10" s="1" t="s">
        <v>55</v>
      </c>
      <c r="H10" t="s">
        <v>56</v>
      </c>
      <c r="I10" t="s">
        <v>57</v>
      </c>
      <c r="J10" s="3">
        <v>0.14285714285714279</v>
      </c>
      <c r="K10">
        <v>0</v>
      </c>
      <c r="L10">
        <v>0</v>
      </c>
      <c r="M10">
        <v>0.74945960717485527</v>
      </c>
      <c r="N10">
        <v>0</v>
      </c>
      <c r="O10">
        <v>0</v>
      </c>
      <c r="P10">
        <v>0.1269007325172424</v>
      </c>
      <c r="Q10">
        <v>0.21425299346446991</v>
      </c>
      <c r="R10">
        <v>3.8587123155593872E-2</v>
      </c>
      <c r="S10">
        <v>0</v>
      </c>
      <c r="T10">
        <v>0</v>
      </c>
      <c r="U10">
        <v>13.684484720230101</v>
      </c>
      <c r="V10">
        <v>3525</v>
      </c>
      <c r="W10">
        <v>146</v>
      </c>
      <c r="X10">
        <v>3671</v>
      </c>
      <c r="Y10">
        <v>0</v>
      </c>
      <c r="Z10">
        <v>5</v>
      </c>
      <c r="AA10">
        <v>13.684484720230101</v>
      </c>
    </row>
    <row r="11" spans="1:27" ht="409.5" x14ac:dyDescent="0.25">
      <c r="A11">
        <v>65</v>
      </c>
      <c r="B11" t="s">
        <v>51</v>
      </c>
      <c r="C11" t="s">
        <v>8</v>
      </c>
      <c r="D11" s="1" t="s">
        <v>58</v>
      </c>
      <c r="E11" s="1" t="s">
        <v>59</v>
      </c>
      <c r="F11" s="1" t="s">
        <v>60</v>
      </c>
      <c r="G11" s="1" t="s">
        <v>61</v>
      </c>
      <c r="H11" t="s">
        <v>62</v>
      </c>
      <c r="I11" t="s">
        <v>29</v>
      </c>
      <c r="J11" s="2">
        <v>1</v>
      </c>
      <c r="K11">
        <v>0.5625</v>
      </c>
      <c r="L11">
        <v>0.41666666664583329</v>
      </c>
      <c r="M11">
        <v>0.87847315384683133</v>
      </c>
      <c r="N11">
        <v>0.1714285713795918</v>
      </c>
      <c r="O11">
        <v>0.81441973633465181</v>
      </c>
      <c r="P11">
        <v>0.34514245390892029</v>
      </c>
      <c r="Q11">
        <v>0.49244293570518488</v>
      </c>
      <c r="R11">
        <v>0.20252743363380429</v>
      </c>
      <c r="S11">
        <v>0.33333333333333331</v>
      </c>
      <c r="T11">
        <v>1</v>
      </c>
      <c r="U11">
        <v>18.666863441467289</v>
      </c>
      <c r="V11">
        <v>3190</v>
      </c>
      <c r="W11">
        <v>294</v>
      </c>
      <c r="X11">
        <v>3484</v>
      </c>
      <c r="Y11">
        <v>0</v>
      </c>
      <c r="Z11">
        <v>5</v>
      </c>
      <c r="AA11">
        <v>18.666863441467289</v>
      </c>
    </row>
    <row r="12" spans="1:27" ht="409.5" x14ac:dyDescent="0.25">
      <c r="A12">
        <v>84</v>
      </c>
      <c r="B12" t="s">
        <v>40</v>
      </c>
      <c r="C12" t="s">
        <v>1</v>
      </c>
      <c r="D12" s="1" t="s">
        <v>63</v>
      </c>
      <c r="E12" s="1" t="s">
        <v>64</v>
      </c>
      <c r="F12" s="1" t="s">
        <v>65</v>
      </c>
      <c r="G12" s="1" t="s">
        <v>66</v>
      </c>
      <c r="H12" t="s">
        <v>67</v>
      </c>
      <c r="I12" t="s">
        <v>29</v>
      </c>
      <c r="J12" s="8">
        <v>0.68</v>
      </c>
      <c r="K12">
        <v>0.2</v>
      </c>
      <c r="L12">
        <v>0.99999999989999999</v>
      </c>
      <c r="M12">
        <v>0.72677234807661806</v>
      </c>
      <c r="N12">
        <v>0</v>
      </c>
      <c r="O12">
        <v>0.89803945757788683</v>
      </c>
      <c r="P12">
        <v>8.3757057785987854E-2</v>
      </c>
      <c r="Q12">
        <v>2.40654032677412E-2</v>
      </c>
      <c r="R12">
        <v>0.14063943922519681</v>
      </c>
      <c r="S12">
        <v>0</v>
      </c>
      <c r="T12">
        <v>0</v>
      </c>
      <c r="U12">
        <v>34.379329442977912</v>
      </c>
      <c r="V12">
        <v>2757</v>
      </c>
      <c r="W12">
        <v>396</v>
      </c>
      <c r="X12">
        <v>3153</v>
      </c>
      <c r="Y12">
        <v>0</v>
      </c>
      <c r="Z12">
        <v>5</v>
      </c>
      <c r="AA12">
        <v>34.379329442977912</v>
      </c>
    </row>
    <row r="13" spans="1:27" ht="409.5" x14ac:dyDescent="0.25">
      <c r="A13">
        <v>89</v>
      </c>
      <c r="B13" t="s">
        <v>68</v>
      </c>
      <c r="C13" t="s">
        <v>23</v>
      </c>
      <c r="D13" s="1" t="s">
        <v>69</v>
      </c>
      <c r="E13" s="1" t="s">
        <v>70</v>
      </c>
      <c r="F13" s="1" t="s">
        <v>71</v>
      </c>
      <c r="G13" s="1" t="s">
        <v>72</v>
      </c>
      <c r="H13" t="s">
        <v>73</v>
      </c>
      <c r="I13" t="s">
        <v>57</v>
      </c>
      <c r="J13" s="3">
        <v>0.1111111111111111</v>
      </c>
      <c r="K13">
        <v>0</v>
      </c>
      <c r="L13">
        <v>0</v>
      </c>
      <c r="M13">
        <v>0.67919298340505307</v>
      </c>
      <c r="N13">
        <v>0.249999999375</v>
      </c>
      <c r="O13">
        <v>0</v>
      </c>
      <c r="P13">
        <v>0.25057855248451227</v>
      </c>
      <c r="Q13">
        <v>0.13420434296131131</v>
      </c>
      <c r="R13">
        <v>0.36860477924346918</v>
      </c>
      <c r="S13">
        <v>0</v>
      </c>
      <c r="T13">
        <v>0</v>
      </c>
      <c r="U13">
        <v>15.13997530937195</v>
      </c>
      <c r="V13">
        <v>3371</v>
      </c>
      <c r="W13">
        <v>212</v>
      </c>
      <c r="X13">
        <v>3583</v>
      </c>
      <c r="Y13">
        <v>0</v>
      </c>
      <c r="Z13">
        <v>5</v>
      </c>
      <c r="AA13">
        <v>15.13997530937195</v>
      </c>
    </row>
    <row r="14" spans="1:27" ht="409.5" x14ac:dyDescent="0.25">
      <c r="A14">
        <v>91</v>
      </c>
      <c r="B14" t="s">
        <v>68</v>
      </c>
      <c r="C14" t="s">
        <v>8</v>
      </c>
      <c r="D14" s="1" t="s">
        <v>74</v>
      </c>
      <c r="E14" s="1" t="s">
        <v>75</v>
      </c>
      <c r="F14" s="1" t="s">
        <v>76</v>
      </c>
      <c r="G14" s="1" t="s">
        <v>77</v>
      </c>
      <c r="H14" t="s">
        <v>78</v>
      </c>
      <c r="I14" t="s">
        <v>29</v>
      </c>
      <c r="J14" s="8">
        <v>0.66666666666666663</v>
      </c>
      <c r="K14">
        <v>0.2</v>
      </c>
      <c r="L14">
        <v>0.249999999975</v>
      </c>
      <c r="M14">
        <v>0.77755782471851909</v>
      </c>
      <c r="N14">
        <v>0.19047619038548749</v>
      </c>
      <c r="O14">
        <v>0.90659628579465046</v>
      </c>
      <c r="P14">
        <v>0.13806608319282529</v>
      </c>
      <c r="Q14">
        <v>0.1143933683633804</v>
      </c>
      <c r="R14">
        <v>0.1580808907747269</v>
      </c>
      <c r="S14">
        <v>0</v>
      </c>
      <c r="T14">
        <v>0</v>
      </c>
      <c r="U14">
        <v>24.012253999710079</v>
      </c>
      <c r="V14">
        <v>3542</v>
      </c>
      <c r="W14">
        <v>371</v>
      </c>
      <c r="X14">
        <v>3913</v>
      </c>
      <c r="Y14">
        <v>0</v>
      </c>
      <c r="Z14">
        <v>5</v>
      </c>
      <c r="AA14">
        <v>24.012253999710079</v>
      </c>
    </row>
    <row r="15" spans="1:27" ht="409.5" x14ac:dyDescent="0.25">
      <c r="A15">
        <v>97</v>
      </c>
      <c r="B15" t="s">
        <v>68</v>
      </c>
      <c r="C15" t="s">
        <v>8</v>
      </c>
      <c r="D15" s="1" t="s">
        <v>79</v>
      </c>
      <c r="E15" s="1" t="s">
        <v>80</v>
      </c>
      <c r="F15" s="1" t="s">
        <v>81</v>
      </c>
      <c r="G15" s="1" t="s">
        <v>82</v>
      </c>
      <c r="H15" t="s">
        <v>83</v>
      </c>
      <c r="I15" t="s">
        <v>84</v>
      </c>
      <c r="J15" s="2">
        <v>0.8</v>
      </c>
      <c r="K15">
        <v>0.25</v>
      </c>
      <c r="L15">
        <v>0.53333333331555555</v>
      </c>
      <c r="M15">
        <v>0.85774195143187781</v>
      </c>
      <c r="N15">
        <v>0.16666666638888891</v>
      </c>
      <c r="O15">
        <v>0.97365735505048001</v>
      </c>
      <c r="P15">
        <v>0.36052891612052917</v>
      </c>
      <c r="Q15">
        <v>0.3206789493560791</v>
      </c>
      <c r="R15">
        <v>0.39806205034255981</v>
      </c>
      <c r="S15">
        <v>0</v>
      </c>
      <c r="T15">
        <v>0</v>
      </c>
      <c r="U15">
        <v>17.3415093421936</v>
      </c>
      <c r="V15">
        <v>3595</v>
      </c>
      <c r="W15">
        <v>212</v>
      </c>
      <c r="X15">
        <v>3807</v>
      </c>
      <c r="Y15">
        <v>0</v>
      </c>
      <c r="Z15">
        <v>5</v>
      </c>
      <c r="AA15">
        <v>17.3415093421936</v>
      </c>
    </row>
    <row r="16" spans="1:27" ht="409.5" x14ac:dyDescent="0.25">
      <c r="A16">
        <v>110</v>
      </c>
      <c r="B16" t="s">
        <v>68</v>
      </c>
      <c r="C16" t="s">
        <v>23</v>
      </c>
      <c r="D16" s="1" t="s">
        <v>85</v>
      </c>
      <c r="E16" s="1" t="s">
        <v>86</v>
      </c>
      <c r="F16" s="1" t="s">
        <v>87</v>
      </c>
      <c r="G16" s="1" t="s">
        <v>88</v>
      </c>
      <c r="H16" t="s">
        <v>89</v>
      </c>
      <c r="I16" t="s">
        <v>90</v>
      </c>
      <c r="J16" s="8">
        <v>0.76470588235294112</v>
      </c>
      <c r="K16">
        <v>0</v>
      </c>
      <c r="L16">
        <v>0.49999999995</v>
      </c>
      <c r="M16">
        <v>0.76590273052317648</v>
      </c>
      <c r="N16">
        <v>0.1111111110493827</v>
      </c>
      <c r="O16">
        <v>0.98859379695686511</v>
      </c>
      <c r="P16">
        <v>0.1127152293920517</v>
      </c>
      <c r="Q16">
        <v>6.1601307243108749E-2</v>
      </c>
      <c r="R16">
        <v>0.16079370677471161</v>
      </c>
      <c r="S16">
        <v>0</v>
      </c>
      <c r="T16">
        <v>0</v>
      </c>
      <c r="U16">
        <v>21.333811283111569</v>
      </c>
      <c r="V16">
        <v>3471</v>
      </c>
      <c r="W16">
        <v>347</v>
      </c>
      <c r="X16">
        <v>3818</v>
      </c>
      <c r="Y16">
        <v>0</v>
      </c>
      <c r="Z16">
        <v>5</v>
      </c>
      <c r="AA16">
        <v>21.333811283111569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Human Details</vt:lpstr>
      <vt:lpstr>Human Erläuterungen</vt:lpstr>
      <vt:lpstr>Ränge</vt:lpstr>
      <vt:lpstr>Korrelation</vt:lpstr>
      <vt:lpstr>Metriken</vt:lpstr>
      <vt:lpstr>Qwen</vt:lpstr>
      <vt:lpstr>GPT-4.1-mini</vt:lpstr>
      <vt:lpstr>GPT-5.2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Mager</dc:creator>
  <cp:lastModifiedBy>Pascal Mager</cp:lastModifiedBy>
  <dcterms:created xsi:type="dcterms:W3CDTF">2015-06-05T18:19:34Z</dcterms:created>
  <dcterms:modified xsi:type="dcterms:W3CDTF">2026-04-14T14:52:34Z</dcterms:modified>
</cp:coreProperties>
</file>