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Uni-Köln\Masterarbeit\Software\uzk-masterarbeit\src\evaluation\data\Backup\qwen25_7b_validation\"/>
    </mc:Choice>
  </mc:AlternateContent>
  <xr:revisionPtr revIDLastSave="0" documentId="13_ncr:1_{F8EA6D8B-0322-4C8E-94FE-24C227AEE2DA}" xr6:coauthVersionLast="47" xr6:coauthVersionMax="47" xr10:uidLastSave="{00000000-0000-0000-0000-000000000000}"/>
  <bookViews>
    <workbookView xWindow="-120" yWindow="-120" windowWidth="29040" windowHeight="15840" xr2:uid="{00000000-000D-0000-FFFF-FFFF00000000}"/>
  </bookViews>
  <sheets>
    <sheet name="Tabelle1" sheetId="1" r:id="rId1"/>
    <sheet name="Human Details" sheetId="2" r:id="rId2"/>
    <sheet name="gpt-4.1-mini Details" sheetId="3" r:id="rId3"/>
    <sheet name="qwen Details" sheetId="4" r:id="rId4"/>
  </sheets>
  <externalReferences>
    <externalReference r:id="rId5"/>
  </externalReferenc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 i="1" l="1"/>
  <c r="F5" i="1"/>
  <c r="G5" i="1" s="1"/>
  <c r="E6" i="1"/>
  <c r="F6" i="1"/>
  <c r="G6" i="1"/>
  <c r="E7" i="1"/>
  <c r="G7" i="1" s="1"/>
  <c r="F7" i="1"/>
  <c r="E8" i="1"/>
  <c r="F8" i="1"/>
  <c r="G8" i="1" s="1"/>
  <c r="E9" i="1"/>
  <c r="F9" i="1"/>
  <c r="G9" i="1"/>
  <c r="E10" i="1"/>
  <c r="G10" i="1" s="1"/>
  <c r="F10" i="1"/>
  <c r="E11" i="1"/>
  <c r="F11" i="1"/>
  <c r="G11" i="1"/>
  <c r="E12" i="1"/>
  <c r="F12" i="1"/>
  <c r="G12" i="1" s="1"/>
  <c r="G4" i="1"/>
  <c r="F4" i="1"/>
  <c r="E4" i="1"/>
  <c r="L19" i="1"/>
  <c r="L20" i="1"/>
  <c r="L21" i="1"/>
  <c r="L22" i="1"/>
  <c r="L23" i="1"/>
  <c r="L18" i="1"/>
  <c r="M8" i="1"/>
  <c r="M5" i="1"/>
  <c r="M6" i="1"/>
  <c r="M7" i="1"/>
  <c r="M9" i="1"/>
  <c r="M4" i="1"/>
  <c r="N16" i="2"/>
  <c r="L16" i="2"/>
  <c r="K16" i="2"/>
  <c r="J16" i="2"/>
  <c r="N15" i="2"/>
  <c r="L15" i="2"/>
  <c r="K15" i="2"/>
  <c r="J15" i="2"/>
  <c r="O14" i="2"/>
  <c r="N14" i="2"/>
  <c r="K14" i="2"/>
  <c r="J14" i="2"/>
  <c r="N13" i="2"/>
  <c r="N12" i="2"/>
  <c r="K12" i="2"/>
  <c r="J12" i="2"/>
  <c r="J11" i="2"/>
  <c r="N10" i="2"/>
  <c r="N7" i="2"/>
  <c r="J7" i="2"/>
  <c r="N5" i="2"/>
  <c r="K5" i="2"/>
  <c r="J5" i="2"/>
  <c r="N4" i="2"/>
  <c r="J4" i="2"/>
  <c r="N3" i="2"/>
  <c r="N2" i="2"/>
  <c r="L9" i="1" l="1"/>
  <c r="L8" i="1"/>
  <c r="L7" i="1"/>
  <c r="L6" i="1"/>
  <c r="L5" i="1"/>
  <c r="L4" i="1"/>
  <c r="O13" i="1"/>
  <c r="N13" i="1"/>
  <c r="M13" i="1"/>
  <c r="L13" i="1"/>
  <c r="K13" i="1"/>
  <c r="J13" i="1"/>
  <c r="K23" i="1" l="1"/>
  <c r="J23" i="1"/>
  <c r="K21" i="1"/>
  <c r="K20" i="1"/>
  <c r="K19" i="1"/>
  <c r="K18" i="1"/>
  <c r="J22" i="1"/>
  <c r="J21" i="1"/>
  <c r="J20" i="1"/>
  <c r="J19" i="1"/>
  <c r="J18" i="1"/>
  <c r="I19" i="1" l="1"/>
  <c r="I20" i="1"/>
  <c r="I21" i="1"/>
  <c r="I22" i="1"/>
  <c r="I23" i="1"/>
  <c r="I24" i="1"/>
  <c r="I25" i="1"/>
  <c r="I26" i="1"/>
  <c r="I18" i="1"/>
  <c r="I5" i="1"/>
  <c r="I6" i="1"/>
  <c r="I7" i="1"/>
  <c r="I8" i="1"/>
  <c r="I9" i="1"/>
  <c r="I10" i="1"/>
  <c r="I11" i="1"/>
  <c r="I12" i="1"/>
  <c r="I4" i="1"/>
</calcChain>
</file>

<file path=xl/sharedStrings.xml><?xml version="1.0" encoding="utf-8"?>
<sst xmlns="http://schemas.openxmlformats.org/spreadsheetml/2006/main" count="495" uniqueCount="159">
  <si>
    <t>run1</t>
  </si>
  <si>
    <t>run2</t>
  </si>
  <si>
    <t>run3</t>
  </si>
  <si>
    <t>Durchschnitt</t>
  </si>
  <si>
    <t>faithfulness</t>
  </si>
  <si>
    <t>context_recall</t>
  </si>
  <si>
    <t>context_precision</t>
  </si>
  <si>
    <t>semantic_similarity</t>
  </si>
  <si>
    <t>context_entity_recall</t>
  </si>
  <si>
    <t>answer_relevancy</t>
  </si>
  <si>
    <t>MRR@5</t>
  </si>
  <si>
    <t>Hit@5</t>
  </si>
  <si>
    <t>latency</t>
  </si>
  <si>
    <t>qwen2.5:7b</t>
  </si>
  <si>
    <t>Rangkorrelation aus Validation</t>
  </si>
  <si>
    <t>Pearson-Korrelation aus Validation</t>
  </si>
  <si>
    <t>id</t>
  </si>
  <si>
    <t>category</t>
  </si>
  <si>
    <t>difficulty</t>
  </si>
  <si>
    <t>user_input</t>
  </si>
  <si>
    <t>response</t>
  </si>
  <si>
    <t>reference</t>
  </si>
  <si>
    <t>retrieved_contexts</t>
  </si>
  <si>
    <t>retrieved_urls</t>
  </si>
  <si>
    <t>retrieved_content_types</t>
  </si>
  <si>
    <t>RR_at5</t>
  </si>
  <si>
    <t>hit_at5</t>
  </si>
  <si>
    <t>context_count</t>
  </si>
  <si>
    <t>response_time_seconds</t>
  </si>
  <si>
    <t>Entitäten (Referenz)</t>
  </si>
  <si>
    <t>Gedeckte Entitäten (Retrieved Context)</t>
  </si>
  <si>
    <t>Nicht gedeckte Entitäten (Retrieved Context)</t>
  </si>
  <si>
    <t>Anzahl Gedeckte Entitäten (Retrieved Context)</t>
  </si>
  <si>
    <t>Anzahl nicht-gedeckter Entitäten (Retrieved Context)</t>
  </si>
  <si>
    <t>Anmerkungen</t>
  </si>
  <si>
    <t>Allgemein</t>
  </si>
  <si>
    <t>medium</t>
  </si>
  <si>
    <t>Inwiefern würde ich als Student von einem Studium an der WiSo-Fakultät profitieren?</t>
  </si>
  <si>
    <t>Als Student von einem Studium an der WiSo-Fakultät profitieren Sie in mehreren Aspekten:  1.  **Renommierte Fakultät**: Die WiSo-Fakultät ist eine der renommiertesten Fakultäten für Wirtschafts- und Sozialwissenschaften in Europa, was Ihnen Zugang zu einer hervorragenden Ausbildung bietet. 2.  **Breite Palette an Studiengängen**: Die Fakultät bietet eine Vielzahl von Studiengängen an, die sich auf verschiedene Bereiche der Wirtschafts- und Sozialwissenschaften konzentrieren, wie z.B. Betriebswirtschaftslehre, Volkswirtschaftslehre, Politikwissenschaft oder Soziologie. 3.  **Exzellente Lehre**: Die WiSo-Fakultät ist bekannt für ihre exzellente Lehre, die durch erfahrene und renommierte Professoren und wissenschaftliche Mitarbeiter garantiert wird. 4.  **Gutes Netzwerk**: Durch die enge Kooperation mit führenden Organisationen und Universitäten bietet die WiSo-Fakultät ein hervorragendes Netzwerk für Ihre beruflichen und persönlichen Ziele. 5.  **Hohe Karriere- und Berufschancen**: Die Absolventen der WiSo-Fakultät genießen eine hohe Reputation auf dem Arbeitsmarkt, was Ihnen gute Karriere- und Berufschancen bietet.  Insgesamt bietet ein Studium an der WiSo-Fakultät der Universität zu Köln eine hervorragende Ausbildung, ein breites Angebot an Studiengängen, exzellente Lehre, ein gutes Netzwerk und hohe Karriere- und Berufschancen.</t>
  </si>
  <si>
    <t>Als Student profitierst du von einem theorie- und methodenorientierten Studienansatz, in dem Forschung und Lehre eng mit der Praxis verzahnt sind, sowie von der ausgeprägten Praxisnähe durch die langjährige Zusammenarbeit der WiSo-Fakultät mit Unternehmen und Lehrbeauftragten aus verschiedenen Berufsfeldern.</t>
  </si>
  <si>
    <t>['# Erstsemesterinformationen\n\n##### Herzlich willkommen an der WiSo-Fakultät der Universität zu Köln!\n\nWir freuen uns sehr, dass Sie sich für ein Studium bei uns an der Wirtschafts- und Sozialwissenschaftlichen (kurz: WiSo) Fakultät entschieden haben. Sie erwartet ein spannendes Studium an einer der renommiertesten Fakultäten für Wirtschafts- und Sozialwissenschaften in einer attraktiven Stadt mit sehr guten Karriere- und Berufsperspektiven.\n\n## Infos zum WiSo-Studienstart\n\n## WiSo Welcome und Vorkurse Bachelor\n\n## WiSo Master Welcome Week\n\nHI\n\nzum Seitenanfang', 'inen der bedeutendsten Wirtschaftsstandorte in Deutschland dar.\n\n## Sie interessieren sich für ein Studium an der WiSo-Fakultät?\n\nPaco, deine künstliche Intelligenz zum Studium an der WiSo-Fakultät der Universität zu Köln, beantwortet dir jederzeit alle faktenbasierten Fragen zu deinem Wunschstudiengang! - Du suchst schnelle Infos zu, Zulassungsverfahren oder allgemeinen Fragen zur Universität zu Köln?\n\nDann ist Paco genau das Richtige für dich!*\n\nUnsere WiSo-Fakultät bietet:\n\nEinzigartige Fächervielfalt\nJe nach Interesse und Fähigkeiten können Sie aus dem umfangreichen Spektrum einer der renommiertesten Wirtschafts- und Sozialwissenschaftlichen Fakultäten Deutschlands wählen.\n\nExzellente Qualität in Lehre und Forschung\nDie WiSo-Fakultät belegt kontinuierlich die vordersten Plätze in zahlreichen namhaften Rankings, z.B. im „Handelsblatt“ und in der „Wirtschaftswoche“.\n\nAusgezeichnete Berufs- und Weiterbildungsaussichten\nNutzen Sie Ihren erfolgreich absolvierten Bachelorabschluss als vielversprechenden Ausgangspunkt für Ihre berufliche Karriere oder bewerben Sie sich für den konsekutiven Master.\n\nHervorragende Services und Betreuung\nDas WiSo-Studienberatungszentrum berät Sie gerne persönlich über den Studienverlauf, der WiSo-Career-Service unterstützt Sie bei der Vorbereitung Ihres Berufseinstiegs.\n\nEngagiertes Studentenleben\nDas dynamische Campusleben und eine Vielzahl studentischer Initiativen (z.B. der internationale OFW-Kongress) ermöglichen es Ihnen, Einsatz und Engagemen', 'n und energiewirtschaftlichen Themen, die mich geprägt haben. Der Ruf und das Netzwerk der WiSo haben mir den Einstieg in den Beruf erleichtert. Die fundamentalen Fähigkeiten, die ich für meinen Beruf brauche und die mir von anspruchsvollen Lehrkräften an einer renommierten Hochschule vermittelt wurden, helfen mir bis heute. – Dr. Dirk Schmelzer, Chief Financial Officer der Scout 24 SE\n\n-\n\nIch bin stolz darauf, ein Alumnus der Wirtschafts- und Sozialwissenschaftlichen Fakultät der Universität zu Köln zu sein, an der ich ein Studium der Betriebswirtschaftslehre absolviert habe. Das Wissen, die Fähigkeiten und die Erfahrungen, die ich während meiner Zeit an der WiSo gesammelt habe, sind für meinen beruflichen Werdegang von unschätzbarem Wert gewesen. Ich empfehle ein Studium an der WiSo-Fakultät jedem, der eine umfassende Ausbildung und eine solide Grundlage für eine erfolgreiche Karriere in der Geschäftswelt sucht. – Henning Gieseke, Chief Financial Officer der Ströer Management AG\n\nHI\n\nzum Seitenanfang', 'en. Eine Orientierung zu weiteren Kosten Sie u.a. hier.\n\n## 5. Was zeichnet das Studium an der Wiso Fakultät aus?\n\nEin Studium an der WiSo-Fakultät der Universität zu Köln stellt eine hervorragende Ausgangsbasis für Ihre weiteren professionellen und persönlichen Pläne dar. Mit ca. 9.000 Studierenden und einer Vielzahl an Professuren und wissenschaftlichen Mitarbeitern ist die Fakultät eine der wissenschaftlich renommiertesten Fakultäten für Wirtschafts- und Sozialwissenschaften in Europa.\n\nEntscheidende Rankings bewerten die Qualität von Forschung und Lehre an Hochschulen und der Fakultätsentwicklung anhand verschiedener Kriterien. Die WiSo-Fakultät freut sich, ihre Position in vielen renommierten Rankings behaupten und in einigen Fällen ausbauen zu können.\n\nDie Verbindung von Forschung und Lehre, Theorie und Praxis, Wirtschafts- und Sozialwissenschaften begründet unser Leitbild: „Today\'s ideas. Tomorrow\'s impact". Innerhalb Ihres Studiums erarbeiten Sie mit Hilfe moderner Analysemethoden und Modelle neue Lösungsansätze für relevante wirtschafts- und sozialwissenschaftliche Zukunftsfragen.\n\nKöln ist nicht nur als Studienort eine attraktive Stadt. Sie ist weit über den Karneval hinaus für ihre vielfältige Kulturszene bekannt und stellt zusammen mit dem Umland einen der bedeutendsten Wirtschaftsstandorte in Deutschland dar.\n\n## Wenn Sie schon mal studiert haben\n\n## 1. Kann ich an der WiSo-Fakultät ein Studium aufnehmen, wenn ich einen gleichwertigen Studiengang bzw. eine dort v', 'herausragenden Netzwerks von Universitäten und kooperiert mit führenden Organisationen. Hierdurch haben wir eine hervorragende Reputation in Lehre, Forschung, und Praxistransfer der sich in unseren hervorragenden Rankings widerspiegelt.” Prof. Ulrich W. Thonemann, PhD Dekan der Wirtschafts- und Sozialwissenschaftlichen Fakultät © Lisa BellerZAHLEN UND FAKTEN DER WISO-FAKULTÄT Mit einem Studium an der WiSo-Fakultät der Universität zu Köln schaffen Sie sich eine hervorragende Basis für Ihren weiteren beruflichen und persönlichen Werdegang. Mit knapp 8.000 Studierenden und einer Vielzahl von Abteilungen und akademischen Mitarbeiter:innen ist die WiSo-Fakultät eine der größten und renommiertesten Einrichtungen für Management, Wirtschaft und Sozialwissenschaften in Europa. 8.735 nationale und internationale Studierende 168 Partneruniversitäten weltweit1 97 Professor:innen Über 100 Jahre an Erfahrung in exzellenter Lehre und Forschung Stand: Mai 2023 1 Die WiSo-Fakultät unterhält exzellente Partnerschaften mit 160 führenden Hochschulen auf der ganzen Welt auf verschiedenen Studienebenen und ermöglicht ihren Studierenden Auslandsaufenthalte im Rahmen verschiedener Studien- und Austauschprogramme. Die Studierenden können je nach gewähltem Studiengang aus einem attraktiven Angebot an Partnerhochschulen wählen.Im Rahmen Ihres Studiums erlernen Sie alles, was Sie für den nächsten Schritt in Ihrer Karriere benötigen. Als eine der größten Bildungseinrichtungen Deutschlands zählt die Fakul']</t>
  </si>
  <si>
    <t>['https://wiso.uni-koeln.de/de/studium/studienorganisation/erstsemester', 'https://wiso.uni-koeln.de/de/studium', 'https://wiso.uni-koeln.de/de/praxis/wisoalumni/tomorrows-impact', 'https://wiso.uni-koeln.de/de/studium/studienorganisation/faq/allgemeine-fragen', 'file://D:/Uni-Köln/Masterarbeit/Software/uzk-masterarbeit/data/pdf_cache/__wiso.uni-koeln.de_sites_fakultaet_dokumente_studium_bachelor_Broschuere-Bachelor_VWL-WiSo_Fakultaet-Uni-Koeln.pdf']</t>
  </si>
  <si>
    <t>['html', 'html', 'html', 'html', 'pdf']</t>
  </si>
  <si>
    <t>Student, Theorie- und methodenorientierter Studienansatz, Forschung, Lehre, Praxis, Praxisnähe, Langjährige Zusammenarbeit, WiSo-Fakultät, Unternehmen, Lehrbeauftragte, Berufsfelder</t>
  </si>
  <si>
    <t>Student, Forschung, Lehre, Praxis, WiSo-Fakultät</t>
  </si>
  <si>
    <t>Theorie- und methodenorientierter Studienansatz, Praxisnähe, Langjährige Zusammenarbeit, Unternehmen, Lehrbeauftragte, Berufsfelder</t>
  </si>
  <si>
    <t>Obwohl nicht die Gold-Referenz gefunden wurde, sind die Chunks sehr relevant. Im Grunde genommen zeigt dies, wie schwierig es ist tatsächlich ein RAG-System zu evaluieren. Der Testsatz ist bspw. Bei dieser Frage sehr gut auf den eigentlichen Inhalt zugeschnitten, aber die Gold-Referenz wird nicht gefetched. Stattdessen wird Context gefetched, der sehr relevant ist</t>
  </si>
  <si>
    <t>hard</t>
  </si>
  <si>
    <t>Welchen Vorteil bietet das Projekt E-PLUS?</t>
  </si>
  <si>
    <t>Das Projekt E-PLUS bietet mehrere Vorteile, darunter:  * Eine höhere Motivation der Studierenden durch die Möglichkeit, Bonuspunkte zu sammeln und ihre Leistung in den Hausaufgaben zu verbessern. * Eine geringere Anzahl von Fehlern und Abbrüchen durch die Verwendung eines e-Hausaufgabensystems.  Es ist jedoch wichtig zu beachten, dass diese Informationen aus der Universitäts-Wissensdatenbank stammen und möglicherweise nicht auf alle Studiengänge oder Semester anwendbar sind. Es wird empfohlen, sich direkt an die Studienberatung oder den zuständigen Dozenten zu wenden, um weitere Informationen zu erhalten.</t>
  </si>
  <si>
    <t>Das E-Assessment-Konzept von E-PLUS bietet den Vorteil, dass durch die von den Studierenden selbst eingebrachten, individuellen Aufgaben ein breit gefächerter Aufgabenpool entsteht, aus dem viele verschieden aufgebaute E-Probe-Klausuren zum intensiven Üben generiert werden können. Die Studierenden erhalten zu ihren Bearbeitungen direktes Feedback, können ihren Lernstand dadurch gezielt reflektieren und anpassen und Lehrende erkennen typische Schwachstellen, die sie in der Präsenzveranstaltung noch einmal aufgreifen. Gleichzeitig werden die eigentlichen Klausuren als individualisierte E-Prüfungen angeboten, die zeitlich sehr flexibel abgelegt werden können, sodass sich die Klausurtermine entzerren und der Prüfungsbetrieb organisatorisch wie administrativ entlastet wird.</t>
  </si>
  <si>
    <t>['t further action is necessary.\n\nThe e-homework assignment tool also uses, if available, a bonus point system, which could have a positive effect on the mark for the final examination if the assignments are completed successfully. This increases student motivation and leads to lower fail and drop-out rates.\n\nThe e-homework assignment tool will be used by and by\xa0from winter semester 2017/18 on the following bachelor courses: "Basic Module Mathematics", "Basic Module Microeconomics", "Basic Module Statistics","Advanced Module Statistics" and "Basic Module Fundamentals of Economics". In the long term, the plan is to expand the project both within the Faculty and University-wide to take in other courses in which quantitative mathematical or statistical methods are applied.\n\n## AufbaU: Tasks in Business Administration classes\n\nThe aim of the project - led by Prof. Dr. Matthias Pilz, holder of the Chair for Business and Economic Education and Training - is to optimise application-oriented learning tasks on the mass bachelor degree programme in Business Administration and to expand lecturers’ task-construction skills.\nIn contrast to pure exercises, these learning tasks not only allow students to revise and practise what they have learned in the lectures, but also to develop new competencies, based on the application of the acquired knowledge to solve real problems.\n\nAs part of this project, the first step in the 2017 summer term was to analyse the existing learning tasks in selected', 'loped project management solutions. ... apply modern methods of project planning and project execution such as agile or help-based project management systems ... apply real options thinking to determine the value of uncertain projects. ... recommend project approaches to cope with uncertainty, complexity, and human behavior while accounting for the multidimensional goals of project stakeholders 4 Teaching and Learning Methods lecture practice 5 Module Entry Requirements Recommended: at least 12 ECTS credits from the group Foundation Knowledge 6 Mode of End-Of-Module Examination Written test: PO 7 Prerequisites for Awarding of Credit Points Passing the written test. 8 Other Programmes that Use the Module Master of Science Business Administration - Supply Chain Management: Specialization Section Supply Chain Management Master of Science Mathematik: MA Business and Economics Sciences Mathematics Master of Science Economics: Supplementary Section Master of Science Wirtschaftsmathematik: MA Business and Economics Sciences Mathematics --- Page 209 --- valid for students of the ER 2015 (enrolment for winter semester 2020/21 at the latest) MODULE CATALOGUE - ECONOMICS - MASTER OF SCIENCE 205 Master of Science International Management: Core and Advanced Section International Management Supplementary Section International Management Master of Education Wirtschaftspädagogik/Lehramt an Berufskollegs: Supplementary Section Business Education Master of Science Information Systems: Suppleme', 'nt: Supplementary Section Corporate Development Master of Science Information Systems: Specialisation Section Information Systems Master of Science Business Analytics &amp; Econometrics: Supplementar y Section Business Analytics &amp; Econometrics Master of Education Wirtschaftspädagogik/Lehramt an Berufskollegs: Ergänzungbereich Wirtschaftspädagogik 9 Module Manager Univ. -Prof. Dr. Wolf Ketter 10 Miscellaneous --- Page 116 --- valid for students of the ER 2021 (enrolment fr om winter semester 2021/22 ) BUSINESS ADMINISTRATION : ACCOUNTING AND TAXATION - MASTER OF SCIENCE 112 SpM Information Systems II Module Code 1277MSISY2 Workload 180h ECTS Credits 6 Module Language English Module Availability every term Duration 1 Term 1 Courses a) Emerging Electronic Business b) Digital Design c) IT Entrepreneurship d) Bayesian Data Analytics Contact Hours a) 45h b) 30h c) 50h d) 45h Self-Stu- dies a) 135h b) 150h c) 130h d) 135h Course Language a) English b) English c) English d) English 2 Module Content a) Emerging Electronic Business • Current IT trends and the transformation of electronic business into ""ambient business"" in the context of networked and computerised objects and environments (Internet of Things, smart En- vironments) • Conceptual basics of relevant technologies (inclu ding sensors, RFID, telecommunication) • Design and applications of smart environments • Design of intuitive human -computer interaction (HCI) • Context awareness and context -based services • Freely offering', 'eporting. ... analyse current questions and challenges in the area of sustainability/ESG reporting. ... assess and discuss findings and research results of specialized theories / methods. ... justify and defend (independently developed) positions or problem solutions. ... critically evaluate current social developments and develop alternative solutions. 4 Teaching and Learning Methods lecture practice 5 Module Entry Requirements none 6 Mode of End-Of-Module Examination Written test: WT (60) 7 Prerequisites for Awarding of Credit Points Passing the module examination 8 Other Programmes that Use the Module Master of Science Business Administration - Supply Chain Management: Supplementary Section Supply Chain Management Master of Science Business Administration - Marketing: Supplementary Section Marketing Master of Science Business Administration - Finance: Supplementary Section Finance Master of Science Information Systems: Supplementary Section Information Systems Master of Science Business Administration - Corporate Development: Supplementary Section Corporate Development Master of Science Informatik: Anwendungsfeld Master of Science Geographie: Wahlpflichtfach Management &amp; Social Sciences --- Page 69 --- valid for students of the ER 2015 (enrolment for winter semester 2020/21 at the latest) BUSINESS ADMINISTRATION: Finance - MASTER OF SCIENCE 65 Master of Science Economics: Supplementary Section Management &amp; Social Sciences Master of Science Mathematik: Economics Sciences Ma', 'e practice 5 Module Entry Requirements Recommendation: The basic modules Supply Ch ain Analytics I and II should have been completed. 6 Mode of End -Of-Module Examination Written test: PO 7 Prerequisites for Awarding of Credit Points Passing the module examination 8 Other Programmes that Use the Module Master of Science Business Administration - Supply Chain Management: Specialisation Section Supply Chain Management Master of Science Economics: Supplementary Section Management &amp; Social Sciences Master of Science Business Administration - Accounting and Taxation: Supplementary Section Accounting and Taxation Master of Science Business Administration - Finance: Supplementary Section Finance Master of Science Business Administration - Marketing: Supplementary Section Marketing Master of Science Information Systems: Suppleme ntary Section Information Systems Master of Science Business Administration - Corporate Development: --- Page 85 --- valid for students of the ER 2021 (enrolment fr om winter semester 2021/22 ) INTERNATIONAL MANAGEMENT - MASTER OF SCIENCE 85 Supplementary Section Corporate Development Master of Science International Management: Supplementary Section International Management Master of Science Mathematik: Economics Sciences Master of Science Wirtschaftsmathematik: Economics Sciences Master of Science Informatik: Anwendungsfeld Master of Education Wirtschaftspädagogik/Lehramt an Berufskollegs: Ergänzungbereich Wirtschaftspädagogik 9 Module Manager Prof. Dr. Nico']</t>
  </si>
  <si>
    <t>['https://wiso.uni-koeln.de/en/studies/teaching-innovations', 'file://D:/Uni-Köln/Masterarbeit/Software/uzk-masterarbeit/data/pdf_cache/__wiso.uni-koeln.de_sites_fakultaet_dokumente_downloads_Modulhandbuecher_Studienjahr_22-23_MHB_PO2015_m_mhb_po2015_e_economics.pdf', 'file://D:/Uni-Köln/Masterarbeit/Software/uzk-masterarbeit/data/pdf_cache/__wiso.uni-koeln.de_sites_fakultaet_dokumente_downloads_master_Studienjahr_24-25_m_mhb_po2021_e_ba_accounting.pdf', 'file://D:/Uni-Köln/Masterarbeit/Software/uzk-masterarbeit/data/pdf_cache/__wiso.uni-koeln.de_sites_fakultaet_dokumente_downloads_Modulhandbuecher_Studienjahr_22-23_MHB_PO2015_m_mhb_po2015_e_ba_finance.pdf', 'file://D:/Uni-Köln/Masterarbeit/Software/uzk-masterarbeit/data/pdf_cache/__wiso.uni-koeln.de_sites_fakultaet_dokumente_downloads_master_Studienjahr_24-25_m_mhb_po2021_e_intmanagement.pdf']</t>
  </si>
  <si>
    <t>['html', 'pdf', 'pdf', 'pdf', 'pdf']</t>
  </si>
  <si>
    <t>Ein gutes Beispiel, wie Context-Precision durch LLM versagt. E-PLUS klingt ähnlich wie E-homework und somit wird es als "relevant" eingestuft, obwohl es das nicht ist. Das LLM kann diesen Unterschied aber nicht erkennen. Zusätzlich dazu werden Chunks nicht gefetched, da SEMANTISCHE ÄHNLICHKEIT zu niedrig --&gt; hybrid-search könnte hier sehr gut Abhilfe schaffen</t>
  </si>
  <si>
    <t>Modulhandbuch/PO</t>
  </si>
  <si>
    <t>Welche Bachelorstudiengänge der WiSo-Fakultät haben ein eigenes Modulhandbuch unter PO 2021?</t>
  </si>
  <si>
    <t>Basierend auf den Suchergebnissen können die folgenden Bachelorstudiengänge der WiSo-Fakultät ein eigenes Modulhandbuch unter PO 2021 haben:  * Betriebswirtschaftslehre (BWL)  Bitte beachten Sie, dass diese Informationen basieren auf den Suchergebnissen und möglicherweise nicht vollständig oder aktuell sind. Es ist immer ratsam, direkt bei der Universität zu überprüfen, ob die Informationen noch gültig sind.</t>
  </si>
  <si>
    <t>Für das Studienjahr 2025/26 gibt es unter der Bachelor PO 2021 Modulhandbücher für Betriebswirtschaftslehre, Volkswirtschaftslehre, Management, Economics and Social Sciences, Sozialwissenschaften, Gesundheitsökonomie, Wirtschaftsinformatik sowie Lehramt am Berufskolleg I.</t>
  </si>
  <si>
    <t>['# Modulhandbuch-Archiv\n\nHier Sie die Modulhandbücher (MHB) aller WiSo-Studiengänge vergangener Studienjahre ab dem Studienjahr 2021/22. Bitte beachten Sie, dass diese MHB keine Gültigkeit mehr besitzen.\xa0\n\n## Inhaltsverzeichnis\n\n- Bachelor\n\n- Bachelor PO 2021\n- Bachelor PO 2015\n\xa0\n\n- Master\n\n- Master PO 2021\n- Master PO 2015\n\nAchten Sie zudem auch auf die entsprechende Prüfungsordnung (PO). Die PO 2021 gilt ab dem Studienjahr 2021/22; die PO 2015 ist für Masterstudiengänge im Studienjahr 2022/23 ausgelaufen und für Bachelorstudiengänge zum Studienjahr 2024/25.\n\n\xa0\n\nFalls Sie ein MHB aus einem anderen Studienjahr benötigen, dann können Sie sich gerne über das Kontaktformular an den WiSo Student Service Point wenden.\n\n## Bachelor PO 2021\n\n## Bachelor Modulhandbücher | gültig vom 01.10.2024-30.09.2025\n\nNachfolgend Sie für jeden Bachelorstudiengang\xa0das Modulhandbuch der Prüfungsordnung PO 2021 gültig für das Studienjahr 2024/25.\n\n- Betriebswirtschaftslehre\n- Volkswirtschaftslehre\n- Management, Economics and Social Sciences\n- Sozialwissenschaften\n- Gesundheitsökonomie\n- Wirtschaftsinformatik\n- Lehramt am Berufskolleg I\n\n## Bachelor Modulhandbücher | gültig vom 01.10.2023-30.09.2024\n\nNachfolgend Sie für jeden Bachelorstudiengang\xa0das Modulhandbuch der Prüfungsordnung PO 2021 gültig für das Studienjahr 2023/24.\n\n- Betriebswirtschaftslehre\n- Volkswirtschaftslehre\n- Management, Economics and Social Sciences\n- Sozialwissenschaften\n- Gesundheitsökonomie\n- Wirtschaftsinformatik\n- Lehramt am', 'Dokumente und Medien - Prüfungsordnung 2021\n\n# Bachelor PO 2021\n\nHier Sie alle wichtigen Dokumente, die Sie zur Orientierung und für die Organisation Ihres Studiums benötigen.\xa0\n\nGültig für Studierende der Prüfungsordnung 2021 (Einschreibung ab WiSe 2021/22).\n\nIm Modulhandbuch-Archiv Sie die Modulhandbücher vergangener Studienjahre.\n\n## Bachelor Modulhandbücher | gültig vom 01.10.2025-30.09.2026\n\nNachfolgend Sie für jeden Bachelorstudiengang\xa0das Modulhandbuch der Prüfungsordnung PO 2021 gültig ab dem 01.10.2025.\n\n- Betriebswirtschaftslehre\n- Volkswirtschaftslehre\n- Management, Economics and Social Sciences\n- Sozialwissenschaften\n- Gesundheitsökonomie\n- Wirtschaftsinformatik\n- Lehramt am Berufskolleg I\n\n## Prüfungsordnungen PO 2021\n\nIm Download-Bereich des Prüfungsamtes Sie die gemeinsame Prüfungsordnung der WiSo-Studiengänge, sowie die zusätzliche Bachelorprüfungsordnung.\n\nHI\n\nzum Seitenanfang', 'von vorstrukturierten Kontexten. ... begr ünden und bewerten eigenst ändig erarbeitete Positionen. ... gestalten ihre Lern- und Arbeitsprozesse eigenst ändig. ... kennen und verstehen die relevanten Methoden und Theorien zu den zuvor unter "Inhalte des Moduls" genannten Punkten. 4 Lehr - und Lernformen Seminar 5 Modulvoraussetzungen keine 6 Form der Modulabschlusspr üfung Schriftliche Prü fung: PO 7 Voraussetzungen f ür die Vergabe von Leistungspunkten Bestehen der Modulabschlusspr üfung 8 Verwendung des Moduls (in anderen Studieng ängen) Bachelor of Science Management, Economics and Social Sciences: Schwerpunktbereich Management, Economics and Social Sciences Bachelor of Science Betriebswirtschaftslehre: Schwerpunktbereich Betriebswirtschaftslehre Bachelor of Science Wirtschafts informatik: Ergänzungsbereich Wirtschaftsinformatik Bachelor of Science Sozialwissenschaften: Ergänzungsbereich Sozialwissenschaften Bachelor of Science Volkswirtschaftslehre: Schwerpunkt Studienrichtung BWL Bachelor of Science Wirtschaftsinformatik (ab WS24/25): Ergänzungsbereich Wirtschaftsinformatik Bachelor of Arts Medienwissenschaft: Media and Technology Management 9 Modulbeauftragte/r Univ. -Prof. Dr. ‘ Claudia Loebbecke, M.B.A. --- Page 122 --- Gültig für Studierende der PO 2021 (Einschreibung ab WiSe 2021/22) MODULHANDBUCH - WIRTSCHAFTSINFORMATIK - BACHELOR OF SCIENCE 122 10 Sonstige Informationen --- Page 123 --- Gültig für Studierende der PO 2021 (Einschreibung ab WiSe 2021/22) MODULHANDBU', 'e Schwerpunktbereich: 48 von 168 LP d) Note Bachelorarbeit: 18 von 168 LP. 1.8 Modularität Die Fachgruppen der Bachelorstudiengänge sind in Module gegliedert, wobei die Modulinhalte in den dazugehörenden Modulbeschreibungen dargelegt sind. Das Bachelormodulhandbuch ist auf der Homepage der WiSo -Fakultät im Downloadbereich einsehbar . Die erfolgreiche Teilnahme an Modulen wird durch die Vergabe von Leistungspunkten auf der Grundlage von erfolgreich absolvierten Prüfungsleistungen nachgewiesen. Die Modulprüfungen werden studienbegleitend abgelegt. Ein Modul setzt sich aus verschiedenen Teilen zusammen und ist in der Regel in einem oder zwei Semestern abschließbar. Diese Information finden Sie im Feld „ Moduldauer “ der Modulbeschreibung. Ein Modul kann entweder aus einer Vorlesung, einer Übung und ggf. einem Tutorium zum gleichen Thema bestehen. Zudem gibt es Module, die nur eine Veranstaltung, z.B. ein Seminar, umfassen. Außerdem gibt es Module, in denen mehrere verschiedene Veranstaltung en zur Wahl angeboten werden, von denen eine oder auch mehrere absolviert werden müssen. In diesem Fall kann sich die Prüfung auf eine Veranstaltung oder auf die Inhalte mehrerer Veranstaltung en beziehen. Bitte beachten Sie bei der Studienplanung, dass nicht jedes Modul jedes Semester angeboten wird, diese Information finden Sie im Feld „Turnus“ der Modulbeschreibung. --- Page 17 --- Gültig für Studierende der PO 2021 (Einschreibung ab WiSe 2021/22) MODULHANDBUCH - SOZIALWISSENSCHAFTEN - BA', 'ungsmodul RE Referat FS Fallstudie SM Schwerpunktmodul HA Hausarbeit SSt Selbststudium K Kontaktzeit (= Präsenzzeit in LV) SWS Semesterwochenstunde KL Klausur SI Studium Integrale LP Leistungspunkt (engl.: CP) VN Vor- und Nachbereitungszeit LV Lehrveranstaltung WP Wahlpflichtveranstaltung MP Mündliche Prüfung WL Workload = Arbeitsaufwand --- Page 4 --- Gültig für Studierende der PO 2021 (Einschreibung ab WiSe 2021/22) MODULHANDBUCH – BETRIEBSWIRTSCHAFTSLEHRE – BACHELOR OF SCIENCE 4 Inhaltsverzeichnis 1 BETRIEBSWIRTSCHAFTSL EHRE ................................ ................................ ..... 5 1.1 Inhalte und Studienziele ................................ ................................ ........................... 5 1.2 Voraussetzungen ................................ ................................ ................................ .... 7 1.3 Studienaufbau und -abfolge ................................ ................................ .................... 7 1.4 Study Abroad Option ................................ ................................ ............................... 8 1.4.1 Das Studies Abroad Programme (STAP) der WiSo -Fakultät ................................ . 9 1.4.2 Anrechnungsmöglichkeiten Studies Abroad ................................ ......................... 10 1.5 Musterstudienpläne ................................ ................................ ................................ 10 1.6 Midterm Regelung ................................ ............']</t>
  </si>
  <si>
    <t>['https://wiso.uni-koeln.de/de/studium/modulhandbuecher-und-pruefungsordnungen/modulhandbuch-archiv', 'https://wiso.uni-koeln.de/de/studium/modulhandbuecher-und-pruefungsordnungen/bachelor-po-2021', 'file://D:/Uni-Köln/Masterarbeit/Software/uzk-masterarbeit/data/pdf_cache/__wiso.uni-koeln.de_sites_fakultaet_dokumente_downloads_bachelor_b_mhb_po2021_winfo.pdf', 'file://D:/Uni-Köln/Masterarbeit/Software/uzk-masterarbeit/data/pdf_cache/__wiso.uni-koeln.de_sites_fakultaet_dokumente_downloads_bachelor_b_mhb_po2021_sowi.pdf', 'file://D:/Uni-Köln/Masterarbeit/Software/uzk-masterarbeit/data/pdf_cache/__wiso.uni-koeln.de_sites_fakultaet_dokumente_downloads_Modulhandbuecher_Studienjahr_22-23_MHB_PO2021_b_mhb_po2021_bwl_01.pdf']</t>
  </si>
  <si>
    <t>['html', 'html', 'pdf', 'pdf', 'pdf']</t>
  </si>
  <si>
    <t>Studienjahr 2025 / 2026, Bachelor PO 2021, Betriebswirtschaftslehre, Volkswirtschaftslehre, Management, Economics and Social Sciences, Sozialwissenschaften, Gesundheitsökonomie, Wirtschaftsinformatik, Lehramt am Berufskolleg I., Modulhandbuch</t>
  </si>
  <si>
    <t>Modulhandbuch, Bachelor PO 2021, Betriebswirtschaftslehre</t>
  </si>
  <si>
    <t>Bachelor-Studium</t>
  </si>
  <si>
    <t>easy</t>
  </si>
  <si>
    <t>Welche Bachelorstudiengänge bietet WiSo-Fakultät allgemein an?</t>
  </si>
  <si>
    <t>Basierend auf den Suchergebnissen kann ich sagen, dass die WiSo-Fakultät der Universität zu Köln folgende Bachelorstudiengänge anbietet:  * Betriebswirtschaftslehre (BWL) * Volkswirtschaftslehre (VWL)  Diese Informationen sind jedoch möglicherweise nicht vollständig oder aktuell. Ich empfehle, sich direkt bei der Universität zu informieren, um die genauesten und neuesten Informationen zu erhalten.  Wenn Sie weitere Fragen haben oder mehr über diese Studiengänge erfahren möchten, stehe ich Ihnen gerne zur Verfügung!</t>
  </si>
  <si>
    <t>Die WiSo-Fakultät bietet folgende Bachelorprogramme an: Betriebswirtschaftslehre, Volkswirtschaftslehre, Sozialwissenschaften, Management, Economics &amp; Social Sciences, Wirtschaftsinformatik, Gesundheitsökonomie sowie der Lehramts-Bachelor.</t>
  </si>
  <si>
    <t>['# Bachelorstudium: FAQ\n\nHier beantworten wir alle Fragen rund um die Bachelorstudiengänge der WiSo-Fakultät. Die Fragen beziehen sich einerseits auf die Aufnahme eines Studiums bei uns (Studienentscheidung, Voraussetzungen für ein Studium allgemein, Hochschulwechsel, Anrechnungsoptionen) sowie auch auf Aspekte während des Studiums (Wahl von Spezialisierungen, Anmeldung zu Prüfungen etc.)\n\nBitte wählen Sie also, ob Sie eine Frage zur Studienwahl/Bewerbung haben oder etwas zum Studium wissen wollen und klicken Sie den entsprechenden Bereich an!\n\nHI\n\nzum Seitenanfang', 'Studiengänge an der WiSo-Fakultät\n\n# Bachelorstudiengänge\n\nSchaffen Sie sich eine exzellente Basis für Ihre weitere Karriere!\n\nEin wirtschafts- oder sozialwissenschaftlicher Bachelor-Abschluss ebnet Ihnen Ihren individuellen Karriereweg – egal, ob Sie direkt nach dem Bachelor in den Beruf einsteigen, ein Trainee-Programm absolvieren oder Sie sich für einen weiterführenden Masterstudiengang entscheiden. Sie den Bachelor-Studiengang, der zu Ihnen passt und studieren Sie an einer top-gerankten Universität in einer pulsierenden Stadt.\n\n## Inhaltsverzeichnis\n\n- Spitzenpositionen in Rankings\n- Attraktiver Standort\n- Chat with Paco\n- Unsere Bachelorstudiengänge im Überblick\n- Weitere Bachelorstudiengänge\n- Auslaufende Bachelorstudiengänge\n\n## Spitzenpositionen in Rankings\n\nDie WiSo-Fakultät kombiniert Theorie und Praxis. Die Bachelor-Studiengänge sind interdisziplinär ausgerichtet und fördern den Wissenstausch sowohl unter den Studierenden als auch zwischen den Disziplinen. Auch dank der innovativen Lehre und der exzellenten Forschung schneidet die Fakultät in nationalen als auch internationalen Hochsschulrankings bestens ab.\n\n## Attraktiver Standort\n\nKöln ist für seine Lebensfreude, Toleranz und Weltoffenheit bekannt. Die Metropolregion ist nicht nur als Wissenschaftsstandort interessant, sondern bietet Studierenden auch eine breite Palette von Kontaktmöglichkeiten zur beruflichen Praxis. Die Region Region über einen attraktiven und zukunftsfähigen Branchenmix, in dem unter anderem', "# Bachelor's programme: FAQ\n\nHere we answer all questions about the Bachelor's degree programmes of the WiSo Faculty. On the one hand, the questions relate to taking up a degree programme with us (study decision, requirements for a degree programme in general, change of university, credit transfer options) and also to aspects during the degree programme (choice of specialisations, registration for examinations, etc.).\n\nSo please choose whether you have a question about the choice of study/application or want to know something about studying and click on the corresponding area!\n\nHI\n\nTo top of page", 'nge\n\n### Bachelorstudiengänge mit WiSo-Beteiligung\n\nNeben den Bachelorstudiengängen der WiSo-Fakultät gibt es auch weitere Studiengänge mit WiSo-Beteiligung. Die WiSo-Fakultät bietet in den folgenden Verbundstudiengängen Wahlpflichtfächer an, die Studiengänge starten alle nur zum Wintersemester:\n\n## Verbundstudiengänge mit WiSo-Beteiligung (Philosophische Fakultät)\n\nFachliche Fragen zu Ihrem Wahlpflichtfach beantwortet gerne der WiSo Student Service Point. Für alle anderen Fragen wenden Sie sich bitte an das Prüfungsamt und den Studierendenservice der Philosophischen Fakultät.\n\n- Bachelorstudiengang Regionalstudien China: Wahlpflichtfächer „Betriebswirtschaftslehre“, „Sozialwissenschaften“ und „Volkswirtschaftslehre“\n- Bachelorstudiengang Regionalstudien Lateinamerika: Wahlpflichtfächer „Sozialwissenschaften“ und „Volkswirtschaftslehre“\n- Bachelorstudiengang Regionalstudien Ost- und Mitteleuropa: Wahlpflichtfächer „Sozialwissenschaften“ und „Volkswirtschaftslehre“\n- Bachelorstudiengang Medienwissenschaft: Wahlpflichtfach „Medienmanagement und Medienökonomie"\n\n\xa0\n\n## Mathematik und Wirtschaftsmathematik (Mathematisch-Naturwissenschaftliche Fakultät)\n\n- Bachelorstudiengang Wirtschaftsmathematik (Nebenfächer "Wirtschaftswissenschaften" oder "Volkswirtschaftslehre")\n- Bachelorstudiengang Mathematik (Nebenfächer "Wirtschaftswissenschaften" oder "Volkswirtschaftslehre")\n\n## Geographie (Mathematisch-Naturwissenschaftliche Fakultät)\n\nAllgemeine Informationen zum B.Sc. Geographie Sie a', 'chtsfach "Wirtschaftswissenschaften" in Kombination mit einem anderen Unterrichtsfach, welches nicht an der WiSo-Fakultät angesiedelt ist.\nNur die Bachelorstudiengänge Betriebs- und Volkswirtschaftslehre werden zum Winter- und Sommersemester angeboten, alle übrigen Bachelorstudiengänge starten nur zum Wintersemester.\n\nDie Philosophische Fakultät bietet folgende Verbundstudiengänge an, die ein wirtschafts- und sozialwissenschaftliches Wahlpflichtfach umfassen, welches dann an der WiSo-Fakultät verortet ist:\n\n- Medienwissenschaften\n- Regionalstudien China\n- Regionalstudien Ost- und Mitteleuropa\n- Regionalstudien Lateinamerika\n\nZudem gibt es noch einige andere Studiengänge, in denen in verschiedenem Umfang Leistungen in Neben- oder Ergänzungsfächern an der WiSo-Fakultät studiert werden dürfen.\nAn der Mathematisch-Naturwissenschaftlichen Fakultät sind das:\n\n- Mathematik und Wirtschaftsmathe (Nebenfächer Wirtschaftswissenschaften oder VWL)\n- Geographie (Nebenfächer BWL, VWL oder SOWI)\n\nAn der Humanwissenschaftlichen Fakultät ist das der Studiengang:\n\n- Psychologie (Interdisziplinäre Vernetzung BWL oder VWL oder Sozialwissenschaften)\n\n## 3. Welche Masterstudiengänge können an der WiSo-Fakultät studiert werden?\n\nFolgenden Masterstudiengänge werden an der WiSo-Fakultät angeboten:\n\n- Business Administration (mit 5 verschiedenen Spezialisierungen)\n- International Management (CEMS MIM)\n- Business Analytics and Econometrics\n- Economics\n- Economic Research\n- Politikwissenschaft\n- Sociolog']</t>
  </si>
  <si>
    <t>['https://wiso.uni-koeln.de/de/studium/studienorganisation/faq/bachelor', 'https://wiso.uni-koeln.de/de/studium/bachelor', 'https://wiso.uni-koeln.de/en/studies/organising-your-studies/faq/bachelor', 'https://wiso.uni-koeln.de/de/studium/bachelor', 'https://wiso.uni-koeln.de/de/studium/studienorganisation/faq/allgemeine-fragen']</t>
  </si>
  <si>
    <t>['html', 'html', 'html', 'html', 'html']</t>
  </si>
  <si>
    <t>Bachelorprogramme, Betriebswirtschaftslehre, Volkswirtschaftslehre, Sozialwissenschaften, Management, Economics &amp; Social Sciences, Wirtschaftsinformatik, Gesundheitsökonomie, Lehramts-Bachelor</t>
  </si>
  <si>
    <t>Bachelorprogramm / Bachelorstudiengang, Betriebswirtschaftslehre, Volkswirtschaftslehre</t>
  </si>
  <si>
    <t>Sozialwissenschaften, Management, Economics &amp; Social Sciences, Wirtschaftsinformatik, Gesundheitsökonomie, Lehramts-Bachelor</t>
  </si>
  <si>
    <t>Claims: "basierend auf Suchergebnissen (es sind nicht alle in den Suchergebnissen genannt)", True: "die aufgeführten"</t>
  </si>
  <si>
    <t>Welche Verbundstudiengänge mit WiSo-Beteiligung werden angeboten?</t>
  </si>
  <si>
    <t>Die WiSo-Fakultät bietet in verschiedenen Verbundstudiengängen Wahlpflichtfächer an. Dazu gehören:  * Wirtschaftsmathe (Nebenfächer Wirtschaftswissenschaften oder VWL) * Mathematik (Nebenfächer Wirtschaftswissenschaften oder VWL)  Diese Studiengänge starten alle nur zum Wintersemester. Für weitere Informationen können Sie sich an den WiSo Student Service Point wenden.</t>
  </si>
  <si>
    <t>Es werden folgende Verbundstudiengänge der Philosophischen Fakultät angeboten: Bachelorstudiengang Regionalstudien China, Bachelorstudiengang Regionalstudien Lateinamerika, Bachelorstudiengang Regionalstudien Ost- und Mitteleuropa, Bachelorstudiengang Medienwissenschaft, Bachelorstudiengang Wirtschaftsmathematik, Bachelorstudiengang Mathematik, Bachelor Geographie, Bachelor Klinische Pflege</t>
  </si>
  <si>
    <t>['nge\n\n### Bachelorstudiengänge mit WiSo-Beteiligung\n\nNeben den Bachelorstudiengängen der WiSo-Fakultät gibt es auch weitere Studiengänge mit WiSo-Beteiligung. Die WiSo-Fakultät bietet in den folgenden Verbundstudiengängen Wahlpflichtfächer an, die Studiengänge starten alle nur zum Wintersemester:\n\n## Verbundstudiengänge mit WiSo-Beteiligung (Philosophische Fakultät)\n\nFachliche Fragen zu Ihrem Wahlpflichtfach beantwortet gerne der WiSo Student Service Point. Für alle anderen Fragen wenden Sie sich bitte an das Prüfungsamt und den Studierendenservice der Philosophischen Fakultät.\n\n- Bachelorstudiengang Regionalstudien China: Wahlpflichtfächer „Betriebswirtschaftslehre“, „Sozialwissenschaften“ und „Volkswirtschaftslehre“\n- Bachelorstudiengang Regionalstudien Lateinamerika: Wahlpflichtfächer „Sozialwissenschaften“ und „Volkswirtschaftslehre“\n- Bachelorstudiengang Regionalstudien Ost- und Mitteleuropa: Wahlpflichtfächer „Sozialwissenschaften“ und „Volkswirtschaftslehre“\n- Bachelorstudiengang Medienwissenschaft: Wahlpflichtfach „Medienmanagement und Medienökonomie"\n\n\xa0\n\n## Mathematik und Wirtschaftsmathematik (Mathematisch-Naturwissenschaftliche Fakultät)\n\n- Bachelorstudiengang Wirtschaftsmathematik (Nebenfächer "Wirtschaftswissenschaften" oder "Volkswirtschaftslehre")\n- Bachelorstudiengang Mathematik (Nebenfächer "Wirtschaftswissenschaften" oder "Volkswirtschaftslehre")\n\n## Geographie (Mathematisch-Naturwissenschaftliche Fakultät)\n\nAllgemeine Informationen zum B.Sc. Geographie Sie a', 'n denen in verschiedenem Umfang Leistungen in Neben- oder Ergänzungsfächern studiert werden dürfen:\n\n- Wirtschaftsmathe (Nebenfächer Wirtschaftswissenschaften oder VWL)\n- Mathematik (Nebenfächer Wirtschaftswissenschaften oder VWL)\n\nZu all diesen Bereichen Sie hier die nötigen Informationen, wenn Sie auf den entsprechenden Bereich klicken.\n\nzum Seitenanfang\n\n## Verbundstudiengänge mit WiSo-Beteiligung (Philosophische Fakultät)\n\nGesamtübersichten über die WiSo-Wahlpflichtfächer in den Verbundstudiengängen der Philosophischen Fakultät:\n\n- Masterstudiengang Regionalstudien China: Wahlpflichtfächer „Betriebswirtschaftslehre, „Sozialwissenschaften“ und „Volkswirtschaftslehre“\n- Masterstudiengänge Regionalstudien Lateinamerika und Ost- und Mitteleuropa: Wahlpflichtfächer "Volkswirtschaftslehre" und "Sozialwissenschaften"\n- Masterstudiengang Medienwissenschaft: Wahlpflichtfach „Medienmanagement und Medienökonomie"\xa0\n\nVerbindliche Hinweise zu den Prüfungsordnungen Sie auf den\xa0Websites des Prüfungsamtes der Philosophischen Fakultät.\xa0\n\nZu Beginn Ihres Studiums müssen Sie sich einmalig beim Prüfungsamt der Philosophischen Fakultät registrieren, um sich für Prüfungen anmelden zu können. Bitte wenden Sie sich an die dortigen MitarbeiterInnen. Die Anmeldung für Modulabschlussprüfungen der WiSo-Module erfolgt dann in KLIPS 2.0.\n\nDie Anmeldung zu Veranstaltungen erfolgt i.d.R. in der zweiten KLIPS-Belegphase.\n\nFür Veranstaltungen\xa0der Wirtschafts- und Sozialgeographie ist ggf. auch eine Anmeldu', "ter-Infotag teilzunehmen. Nutzen Sie die Gelegenheit, mehr über die WiSo-Fakultät zu erfahren, die Studienprogramme zu erkunden und wertvolle Einblicke von Professor:innen, aktuellen Studierenden und Alumni zu gewinnen.\n\n## Inhaltsverzeichnis\n\n- Unsere Masterprogramme in der Übersicht\n- Masterstudiengänge mit WiSo-Beteiligung\n- Weitere Master der PO 2015\n\n## Unsere Masterprogramme in der Übersicht\n\n## International Management (CEMS MIM)\n\n## Business Administration\n\n## Double Master's Programme in Business Administration\n\n## Business Analytics &amp; Econometrics\n\n## Economics\n\n## Double Master's Programme in Economics\n\n## Economic Research\n\n## Gesundheitsökonomie\n\n## Double Master's Programme in Health Economics and Management\n\n## Information Systems\n\n## Political Science\n\n## Double Master's Programme in European Studies\n\n## Sociology\n\n## Double Master's Programme in Demography and Social Inequality\n\n## Wirtschaftspädagogik\n\nzum Seitenanfang\n\n## Masterstudiengänge mit WiSo-Beteiligung\n\nAn der WiSo-Fakultät werden Wahlpflichtfächer zu den folgenden Verbund-Master der Philosophischen Fakultät studiert:\n\n- Medienwissenschaft\n- Regionalstudien China\n- Regionalstudien Lateinamerika\n- Regionalstudien Ost- und Mitteleuropa\n\nWeitere Informationen zu diesen Studiengängen erhalten Sie auf den Seiten der Philosophischen Fakultät.\n\nAuch in den Masterstudiengängen\n\n- Mathematik und\n- Wirtschaftsmathematik\n\nder Mathemathisch-Naturwissenschaftlichen Fakultät kann ein Nebenfach an der WiSo-Fakult", '# Bachelorstudium: FAQ\n\nHier beantworten wir alle Fragen rund um die Bachelorstudiengänge der WiSo-Fakultät. Die Fragen beziehen sich einerseits auf die Aufnahme eines Studiums bei uns (Studienentscheidung, Voraussetzungen für ein Studium allgemein, Hochschulwechsel, Anrechnungsoptionen) sowie auch auf Aspekte während des Studiums (Wahl von Spezialisierungen, Anmeldung zu Prüfungen etc.)\n\nBitte wählen Sie also, ob Sie eine Frage zur Studienwahl/Bewerbung haben oder etwas zum Studium wissen wollen und klicken Sie den entsprechenden Bereich an!\n\nHI\n\nzum Seitenanfang', 'lstudien Ost- und Mitteleuropa\n\nWeitere Informationen zu diesen Studiengängen erhalten Sie auf den Seiten der Philosophischen Fakultät.\n\nAuch in den Masterstudiengängen\n\n- Mathematik und\n- Wirtschaftsmathematik\n\nder Mathemathisch-Naturwissenschaftlichen Fakultät kann ein Nebenfach an der WiSo-Fakultät belegt werden. Weitere Infos hierzu erhalten Sie auf den Seiten des Mathematischen Instituts der Mathematisch-Naturwissenschatlichen Fakultät.\n\nBitte beachten Sie, dass die WiSo-Fakultät nicht für die Zulassung zu den o.g. Studiengängen verantwortlich ist. Diese erfolgt über die jeweils zuständigen Fakultäten. Informieren Sie sich bitte dort über eventuelle Zugangsvoraussetzungen und Bewerbungsverfahren.\n\nFachliche Fragen zu Ihrem Wahlpflichtfach beantwortet gerne der WiSo Student Service Point. Für alle anderen Fragen wenden Sie sich bitte an das Prüfungsamt und den Studierendenservice der Philosophischen Fakultät.\n\n## Weitere Master der PO 2015\n\nDie Philosophische Fakultät bietet Verbundstudiengänge an (Medienwissenschaften und Regionalstudien), die ein recht umfangreiches wirtschafts- und sozialwissenschaftliches Nebenfach umfassen.\n\nZudem gibt es noch einige andere Studiengänge, in denen in verschiedenem Umfang Leistungen in Neben- oder Ergänzungsfächern studiert werden dürfen:\n\n- Wirtschaftsmathe (Nebenfächer Wirtschaftswissenschaften oder VWL)\n- Mathematik (Nebenfächer Wirtschaftswissenschaften oder VWL)\n\nZu all diesen Bereichen Sie hier die nötigen Informationen, wenn Sie']</t>
  </si>
  <si>
    <t>['https://wiso.uni-koeln.de/de/studium/bachelor', 'https://wiso.uni-koeln.de/de/studium/master', 'https://wiso.uni-koeln.de/de/studium/master', 'https://wiso.uni-koeln.de/de/studium/studienorganisation/faq/bachelor', 'https://wiso.uni-koeln.de/de/studium/master']</t>
  </si>
  <si>
    <t>Es sind nicht ALLE aufgelistet
Fehler in der Frage (nur Bachelorstudiengänge sind gemeint!) --&gt; Frage ist also nicht präzise genug formuliert, was aber auch in der Realität passieren kann</t>
  </si>
  <si>
    <t>Master-Studium</t>
  </si>
  <si>
    <t>Wo finden Interessierte studiengangsspezifische Informationen zu einzelnen WiSo-Masterprogrammen, etwa zum Master Information Systems?</t>
  </si>
  <si>
    <t>Interessierte können studiengangsspezifische Informationen zu einzelnen WiSo-Masterprogrammen, wie dem Master Information Systems, auf der Universitäts-Website finden. Dort sind alle wichtigen Details zum Aufbau des Studiums, den inneren Zusammenhängen und den Anmeldemodalitäten zu Veranstaltungen und Prüfungen enthalten.  Zusätzlich können die Informationen aus der Prüfungsordnung und dem Mastermodulhandbuch der WiSo-Fakultät eingesehen werden. Es ist auch möglich, sich an das WiSo-Studienberatungszentrum zu wenden, um weitere Fragen zu klären.</t>
  </si>
  <si>
    <t>Studiengangsspezifische Informationen zu den einzelnen WiSo-Masterprogrammen findest du auf der Master-Bewerbungsseite im Abschnitt „Studiengangsspezifische Informationen“. Dort sind alle Masterstudiengänge – unter anderem auch der Master Information Systems – jeweils mit eigenen Informationsseiten verlinkt.</t>
  </si>
  <si>
    <t>['ergebnissen die Möglichkeit für ein Promotions-Aufbaustudium (Ph.D.).\n\nGleichzeitig ist der Master in Information Systems natürlich eine hervorragende Basis für die Bewerbung auf Graduiertenstudiengänge an anderen nationalen und internationalen Universitäten.\n\n\xa0\n\n##### .\n\n## Bewerbung\n\n\xa0\n\nAlle Infos zur Masterbewerbung an der WiSo-Fakultät.\n\n## Weitere Informationen und Kontakt\n\nWir unterstützen Sie gerne bei Ihren Ambitionen:\n\nBei Interesse oder Fragen zu unseren WiSo-Studiengängen helfen die Studienberater:innen im WiSo Student Service Point gerne weiter:\n\n- WiSo Student Service Point Hotline: +49 (0) 221/470-8818\n- www.wiso-studentservice.uni-koeln.de\n\nHI\n\nzum Seitenanfang', 'en bietet sich ein breites Feld spannender Forschungsaufgaben schon im Rahmen der Lehre, etwa im Bereich Social (Media) Network Analysis oder Nachhaltigkeit.\n\nDer vom KIWI getragene Masterstudiengang „Information Systems“ bietet mit den drei Schwerpunkten Business Analytics and Data Science, Digital Innovation and Entrepreneurship und Digital Sustainable Society ein interdisziplinär ausgelegtes Programm. Neben exzellenten Berufsaussichten vermittelt es Studierenden praktisches und theoretisches Handwerkszeug, sich in Wirtschaft, Gesellschaft oder Forschung den aktuellen gesellschaftlichen Herausforderungen zu stellen.\n\nWir gratulieren zu der herausragenden Platzierung!\n\n- Ranking-Zusammenfassung (WiSo-Fakultät)\n- Zum Ranking (Association for Information Systems) [(Anmeldung erforderlich. Einstellungen: Journals: “AIS8”, Years: “Last 5 Years”, Region: “Europe, Africa, Middle East”]\n- Kölner Institut für Wirtschaftsinformatik (KIWI)\n- Master Information Systems der Wiso-Fakultät\n\nZurück\n\n#### Social-Media-Kanäle der WiSo-Fakultät\n\n[ follow us! ]\n\nHI\n\nzum Seitenanfang', 'en Dokument detaillierter dargestellt wird : \uf0b7 Medieninformatik \uf0b7 Medienmanagement und Medienökonomie \uf0b7 Medienrecht Im nachfolgenden Dokument sind wichtige Angaben zum Aufbau, den inneren Zusammenhängen und den Anmeldemodalitäten zu Veranstaltungen und Prüfungen des Faches Medienmanagement enthalten. Zusätzlich zu unseren Hinweisen und Empfehlungen für eine erfolgreiche Studiengestaltung haben wir Informationen aus der Prüfungsordnung und dem Mastermodulhandbuch der WiSo -Fakultät eingebunden (z. B. zu Leistungspun kten oder Pflicht - und Wahlveranstaltungen)1. Durch diese Informationen werden Sie in die Lage versetzt - insbesondere zu Studienbeginn - informierte Wahlentscheidungen treffen zu können. Wir wünschen Ihnen einen guten Studienstart und freuen uns darauf, Sie auch an der WiSo - Fakultät herzlich begrüßen zu dürfen! Ihr Team vom WiSo -Studienberatungszentrum 1 Ohne Gewähr --- Page 4 --- WiSo -Wahlpflichtfächer des Masterstudiengangs Medienwissenschaft 4 2. Zulassungsvoraussetzungen Die genauen Zugangsvoraussetzungen (Link) zum Masterstudiengang Medienwissenschaft entnehmen Sie bitte der Homepage der Philosophischen Fakultät: http://phil -fak.uni - koeln.de/31766.html . Sollten S ie weitere Fragen zu den Zugangsvoraussetzungen für diesen Masterstudiengang haben, wenden Sie sich bitte an die Studienberatung der Philosophischen Fakultät studienberatung -philfak@uni -koeln.de und deren Fachberater *innen: Liste der Fachberaterinnen und Fachberater 3. Aufbau Der Master s', '# Masterstudium: FAQ\n\nHier beantworten wir alle Fragen rund um die Masterstudiengänge der WiSo-Fakultät. Die Fragen beziehen sich einerseits auf die Aufnahme eines Studiums bei uns (Zugangsvoraussetzungen, Bewerbungs- und Auswahlverfahren, Einschreibung) sowie auch auf Aspekte während des Studiums (Wahl von Spezialisierungen, Anmeldung zu Prüfungen etc.). Sollten Sie Fragen haben, die weder über unsere Homepage noch die FAQ beantwortet werden, können Sie sich gerne an das WiSo-Studienberatungszentrum wenden.\n\n#\n\nZugangsvoraussetzungen und Bewerbung\n\n#\n\nFragen im Masterstudium\n\nHI\n\nzum Seitenanfang', 'from a wide range of WiSo Faculty courses.\n- With the master’s thesis for the successful completion of your studies, you underline the knowledge and skills you have acquired throughout the programme and are ready to continue your career as an expert in your field.\n\nFurther details on the structure of the degree programme, such as course of study recommendations and module descriptions, can be found in the Module Catalogue.\n\n- Information and regulations relevant to the examination can be found in the examination regulations.\n\nIf you started your studies before 2021, please select the appropriate documents in the document overview.\n\n## Organising your Studies\n\nStudying requires a high degree of self-organisation. Well-prepared and properly informed, you will manage your studies with ease. In the following, we have compiled links to helpful information, relevant tools and counselling centres for you.\n\n## First semester students\n\n## Inspections for the examinations\n\n## Course and Examination Management: KLIPS\n\n## Certificates\n\n## Financing\n\n## Stays Abroad\n\n## FAQ\n\n## Study spaces\n\n## UoC-wide services for enroled international students\n\nHI\n\nTo top of page']</t>
  </si>
  <si>
    <t>['https://wiso.uni-koeln.de/de/studium/master/master-information-systems', 'https://wiso.uni-koeln.de/de/aktuelles-und-neuigkeiten/news-einzelansicht/bestplatzierung-fuer-koelner-institut-fuer-wirtschaftsinformatik', 'file://D:/Uni-Köln/Masterarbeit/Software/uzk-masterarbeit/data/pdf_cache/__wiso.uni-koeln.de_sites_fakultaet_dokumente_downloads_master_UEbersicht_MA_Medien_po2015.pdf', 'https://wiso.uni-koeln.de/de/studium/studienorganisation/faq/master', 'https://wiso.uni-koeln.de/en/studies/master/master-business-administration/marketing/programme-structure-marketing']</t>
  </si>
  <si>
    <t>['html', 'html', 'pdf', 'html', 'html']</t>
  </si>
  <si>
    <t>Frage wird aus Validation entfernt und ersetzt. Zusätzlich wird die Frage im Testset angepasst. Selbst als Mensch habe ich große Probleme diese Frage wirklich akkurat zu beantworten</t>
  </si>
  <si>
    <t>Studiengang spezifisch</t>
  </si>
  <si>
    <t>Welche Bewerbungsfrist gilt für den Master Studiengang Information Systems?</t>
  </si>
  <si>
    <t>Die Bewerbungsfrist für den Master Studiengang Information Systems ist von Mitte April bis zum 15. Juni. Bitte bewerben Sie sich ausschließlich online über das Campusmanagement System. Wenn Sie weitere Informationen benötigen, empfehle ich Ihnen, die offizielle Website der Universität zu besuchen oder Kontakt mit der Studienberatung aufzunehmen.</t>
  </si>
  <si>
    <t>Für den Masterstudiengang Information Systems gilt eine Bewerbungsfrist bis zum 15. Juni</t>
  </si>
  <si>
    <t>['Master of Science\n\n# Master Information Systems\n\nDoppelqualifikation in Betriebswirtschaftslehre und Informatik\n\nDiese Website wird derzeit bis voraussichtlich Dezember für das Bewerbungsverfahren 2026 überarbeitet.\xa0\n\nWenn Sie sich\xa0über spezifische Details in dem\xa0Masterstudiengang Information Systems informieren möchten, klicken Sie bitte\xa0hier.\n\n## Informationen zur Bewerbung\n\n## Bewerbungsfrist\n\nAb Mitte April bis zum 15. Juni bewerben Sie sich ausschließlich online über das Campusmanagement System\xa0KLIPS.\n\n- Alle fachlichen und sprachlichen Anforderungen müssen zum Zeitpunkt der Bewerbung erfüllt sein.\n- Alle erforderlichen Unterlagen müssen zum Zeitpunkt der Bewerbung eingereicht werden.\n- Nachgereichte Unterlagen nach Ablauf der Bewerbungsfrist werden nicht akzeptiert.\n\n## Fachliche Anforderungen\n\nUm am Auswahlverfahren teilzunehmen, müssen folgende fachliche Anforderungen erfüllt sein:\n\nAbgeschlossenes Bachelorstudium\nAbgeschlossenes Bachelorstudium, das dem ausgewählten Masterstudium fachlich entspricht.\n\nBei nicht abgeschlossenem Bachelorstudium müssen mindestens 80% der zu erwerbenden Leistungspunkte erfolgreich erbracht sein. Die noch ausstehenden Leistungen sind bis spätestens 30. September zu absolvieren.\n\nBachelornote keine Mindestnote\n\nfachliche Zugangsvoraussetzungen\n\nHinweise zur Einordnung der Kurse\n\n1. mindestens 20 ECTS aus dem Fachgebiet Information Systems bzw. Wirtschaftsinformatik\n2. mindestens 30 ECTS aus dem Fachgebiet Wirtschaftswissenschaften\n3. minde', "Master of Science\n\n# Master Information Systems\n\nDouble Qualification in Business Studies and Computer Science\n\nThis website is currently being revised for the 2026 application process and is expected to be completed in December.\n\nIf you would like to find out more about the specific details of the master's programme Information Systems, please click here.\n\n## Application information\n\n## Application deadline\n\nFrom mid-April until 15 June, you apply exclusively online via the campus management system\xa0KLIPS.\n\n- At the time of application, all subject and language requirements must be met.\n- At the time of application, all documents must be provided in either German or in English.\n- Documents submitted after the application deadline will not be accepted.\n\n## Subject-related requirements\n\nTo take part in the selection procedure, the subject-related admission requirements must be met:\n\nCompleted bachelor's degree\nCompleted Bachelor's degree programme that corresponds to the subject of the selected Master's degree programme.\n\nIf you have not completed your bachelor's degree, at least 80% of the credit points to be earned must be completed. The pending examinations must be completed by 30 September at the latest.\n\nBachelor's grade no minimum grade required\n\nSubject-related requirements\n\nspecifications on the allocation of courses to the subject areas\n\n1. at least\xa020 ECTS credits in the field of Infomation Systems\n2. at\xa0least 30 ECTS credits in\xa0the field of Business Administration an", 'Master of Science\n\n# Master International Management (CEMS MIM)\n\nDer Schlüssel für Ihre zukünftige Karriere in einem globalen Arbeitsumfeld\n\nDiese Website wird derzeit bis voraussichtlich Dezember für das Bewerbungsverfahren 2026 überarbeitet.\xa0\n\nWenn Sie\xa0sich über spezifische Details in dem Masterstudiengang International Management (CEMS MIM) informieren möchten, klicken Sie bitte\xa0hier.\n\n## Informationen zur Bewerbung\n\n## Bewerbungsfrist\n\nAb Mitte Januar bis zum 31. März bewerben Sie sich ausschließlich online über das Campusmanagement System\xa0KLIPS.\n\n- Alle fachlichen und sprachlichen Anforderungen müssen zum Zeitpunkt der Bewerbung erfüllt sein.\n- Alle erforderlichen Unterlagen müssen zum Zeitpunkt der Bewerbung eingereicht werden.\n- Nachgereichte Unterlagen nach Ablauf der Bewerbungsfrist werden nicht akzeptiert.\n\n## Fachliche Anforderungen\n\nUm am Auswahlverfahren teilzunehmen, müssen folgende fachliche Anforderungen erfüllt sein:\n\nAbgeschlossenes Bachelorstudium\nAbgeschlossenes Bachelorstudium, das dem ausgewählten Masterstudium fachlich entspricht.\n\nBei nicht abgeschlossenem Bachelorstudium müssen mindestens 70 % der zu erwerbenden Leistungspunkte erfolgreich erbracht sein. Die noch ausstehenden Leistungen sind bis spätestens 30. September zu absolvieren.\n\nBachelornote mindestens 2,5\n\nfachliche Zugangsvoraussetzungen\n\nHinweise zur Einordnung der Kurse\n\n1. mindestens 48 ECTS aus dem Fachgebiet Betriebswirtschaftslehre\n2. mindestens 10 ECTS aus dem Fachgebiet Volkswirtscha', "Master of Science\n\n# Master International Management (CEMS MIM)\n\nThe key to your future career in a global business environment\n\nThis website is currently being revised for the 2026 application process and is expected to be completed in December.\n\nIf you would like to find out more about the specific details of the master's programme International Management (CEMS MIM), please click here.\n\n## Application information\n\n## Application deadline\n\nFrom mid-January until 31 March, you apply exclusively online via the campus management system\xa0KLIPS.\n\n- At the time of application, all subject and language requirements must be met.\n- At the time of application, all documents must be provided in either German or in English.\n- Documents submitted after the application deadline will not be accepted.\n\n## Subject-related requirements\n\nTo take part in the selection procedure, the subject-related admission requirements must be met:\n\nCompleted bachelor's degree\nCompleted Bachelor's degree programme that corresponds to the subject of the selected Master's degree programme.\n\nIf you have not completed your bachelor's degree, at least 70% of the credit points to be earned must be completed. The pending examinations must be completed by 30 September at the latest.\n\nBachelor's grade at least 2.5 (German grading system)\n\nSubject-related requirements\n\nspecifications on the allocation of courses to the subject areas\n\n1. at least 48 ECTS in the field of Business Administration/ Management\n2. at least 10", 'Master of Science\n\n# Master Information Systems\n\nDoppelqualifikation in Betriebswirtschaftslehre und Informatik\n\n## Inhaltsverzeichnis\n\n- Überblick\n- Ihre Vorteile auf einen Blick\n- Für wen ist das Programm geeignet?\n- Programmübersicht\n- Akademische Exzellenz mit internationalem Angebot\n- Karrieremöglichkeiten\n- Bewerbung\n- Weitere Informationen und Kontakt\n\nWenn Sie bereits den Masterstudiengang Information Systems absolvieren und sich über spezifische Details informieren möchten, besuchen Sie bitte die Seite zum Studienaufbau.\n\n## Überblick\n\nAbschluss: Master of Science\n\nDauer 4 Semester, Vollzeit\n\nCredits: 120 ECTS\n\nSprache: Englisch und Deutsch (in ausgewählten Kursen)\n\nInhalt: Interdisziplinäre Disziplin der Betriebswirtschaftslehre und Informatik, die sich mit der Konzeption, Entwicklung und Anwendung von Informationssystemen in Wirtschaft, Verwaltung und zunehmend auch im privaten Bereich beschäftigt.\n\nInternational: Auslandssemester, Summer School (optional)\n\nBewerbungsfrist: 15.06.\n\n## Master-Virtueller Infotag\n\nBitte HIER ANMELDEN, um am virtuellen Master-Infotag teilzunehmen. Nutzen Sie die Gelegenheit, mehr über die WiSo-Fakultät zu erfahren, die Studienprogramme zu erkunden und wertvolle Einblicke von Professor:innen, aktuellen Studierenden und Alumni zu gewinnen.\n\n## Ihre Vorteile auf einen Blick:\n\n- theoretische und methodische Grundlagen für die Auseinandersetzung mit zentralen Themen wie Data Science, digitale Transformation und Innovation, Prozesse und Gesc']</t>
  </si>
  <si>
    <t>['https://wiso.uni-koeln.de/de/studium/bewerbung/master/master-information-systems', 'https://wiso.uni-koeln.de/en/studies/application/master/master-information-systems', 'https://wiso.uni-koeln.de/de/studium/bewerbung/master/master-international-management-cems-mim', 'https://wiso.uni-koeln.de/en/studies/application/master/master-international-management-cems-mim', 'https://wiso.uni-koeln.de/de/studium/master/master-information-systems']</t>
  </si>
  <si>
    <t>Welche zentralen Kompetenzen und Themen werden für den Master Information Systems an der WiSo-Köln hervorgehoben?</t>
  </si>
  <si>
    <t>Basierend auf den Suchergebnissen kann ich sagen, dass für den Master Information Systems an der WiSo-Köln folgende zentralen Kompetenzen und Themen hervorgehoben werden:  1. **Digitale Transformation**: Die Fähigkeit, Unternehmen und Organisationen in der digitalen Welt zu unterstützen. 2. **Informationssysteme**: Die Planung, Entwicklung und Implementierung von Informationssystemen, um Geschäftsprozesse zu optimieren. 3. **Data Science**: Die Analyse und Interpretation von Daten, um Entscheidungen zu treffen und Prozesse zu verbessern. 4. **IT-Sicherheit**: Die Sicherstellung der IT-Sicherheit und Datenschutz in Unternehmen und Organisationen. 5. **Agilität und Flexibilität**: Die Fähigkeit, sich an veränderte Anforderungen und Bedürfnisse anzupassen.  Diese Kompetenzen und Themen werden im Master Information Systems an der WiSo-Köln durch eine praxisorientierte Ausbildung und enge Zusammenarbeit mit Unternehmen und Organisationen vermittelt.</t>
  </si>
  <si>
    <t>Im Master Information Systems erwirbst du theoretische und methodische Grundlagen, um zentrale Themen wie Data Science, digitale Transformation und Innovation, Prozesse und Geschäftsmodelle sowie Lösungen für eine nachhaltige Gesellschaft zu bearbeiten. Gleichzeitig wirst du im interdisziplinären Bereich der Wirtschaftsinformatik ausgebildet und erwirbst die auf dem Arbeitsmarkt gefragte Schlüsselfähigkeit, Betriebswirtschaft und Informatik miteinander zu verbinden.</t>
  </si>
  <si>
    <t>["cellent training in research methods is one of the strong points of the Cologne Master in Political Science.\n\n##### .\n\n## Application\n\n\xa0\n\nAll information about the Master's application at the WiSo Faculty.\n\n## Detailed information and contact\n\nWe are happy to support you in your ambitions:\n\nIf you are interested in or have questions about our WiSo degree programmes, the student advisors at the\xa0WiSo Student Service Point\xa0 will be happy to help:\n\n- WiSo Student Service Point hotline: +49 (0) 221/470-8818\n- www.wiso-studentservice.uni-koeln.de\n\nHI\n\nTo top of page", 'Master of Science\n\n# Master International Management (CEMS MIM)\n\n## Programmstruktur und Organisation\n\nHier Sie detaillierte Informationen zum Aufbau des Master-Studiengangs und hilfreiche Links zur Organisation Ihres Master-Studiums.\n\nvergrößern: Curriculum Master International Management (CEMS MIM) der WiSo-Fakultät\n\nDiese tabellarische Übersicht Sie auch im aktuellen Modulhandbuch für den Master of Science International Management (CEMS MIM).\n\n## Spezialisierung\n\nIm Kern des Studiums be sich drei inhaltsorientierte Elemente: Globale Strategie, globale Führungskraft und Unternehmensprojekte mit Unternehmens- und sozialen Partner*innen.\n\n- Globale Strategie befähigt die Studierenden die internationale Geschäftswelt zu verstehen und erfolgreich zu handhaben.\n- Globale Führungskraft stattet die Studierenden mit dem Wissen und den Fähigkeiten aus, Menschen über Grenzen hinweg und in multinationalen Teams zu führen, und schafft so kulturell versierte Individuen, die Einfühlungsvermögen zeigen und mit verschiedenen Kulturen in Beziehung treten und interagieren können.\n- Abschließend, Unternehmensprojekte, die mit Unternehmens- und sozialen Partner*innen durchgeführt werden, ermöglichen es den Studierenden Theorie und Praxis in kulturell diversen Teams zu integrieren, während Sie Unternehmensproblematiken in allen Bereichen behandeln.\n\nAußerhalb der Kernelemente bietet der CEMS MIM an der Universität zu Köln eine exzellente Vielfalt an Wahlmodulen aus den Bereichen Betriebswirtsch', 'ergebnissen die Möglichkeit für ein Promotions-Aufbaustudium (Ph.D.).\n\nGleichzeitig ist der Master in Information Systems natürlich eine hervorragende Basis für die Bewerbung auf Graduiertenstudiengänge an anderen nationalen und internationalen Universitäten.\n\n\xa0\n\n##### .\n\n## Bewerbung\n\n\xa0\n\nAlle Infos zur Masterbewerbung an der WiSo-Fakultät.\n\n## Weitere Informationen und Kontakt\n\nWir unterstützen Sie gerne bei Ihren Ambitionen:\n\nBei Interesse oder Fragen zu unseren WiSo-Studiengängen helfen die Studienberater:innen im WiSo Student Service Point gerne weiter:\n\n- WiSo Student Service Point Hotline: +49 (0) 221/470-8818\n- www.wiso-studentservice.uni-koeln.de\n\nHI\n\nzum Seitenanfang', "Master of Science\n\n# Master International Management (CEMS MIM)\n\n## Programme Structure and Organisation\n\nHere you will find detailed information on the structure of the Master's programme and helpful links to organise your studies.\n\nexpand: Curriculum Master International Management (CEMS MIM) of the WiSo faculty\n\nYou can also find this tabular overview in the current Module Catalogue for the Master of Science International Management (CEMS MIM).\n\n## Specialisation\n\nAt the core of the programme are three content elements: Global Strategy, Global Leadership and Business Projects with corporate and social partners.\n\n- Global Strategy enables students to understand and navigate the international business environment.\n- Global Leadership equips students with the knowledge and skills to manage people across borders and within multinational teams, creating culturally savvy individuals that show empathy and can relate to and interact with different cultures.\n- Finally, the Business Projects, conducted with corporate and social partners, allow students to integrate theory and practice in culturally diverse teams, while tackling real business issues across a wide range of fields.\n\nOutside of these core elements, the CEMS MIM at the University of Cologne offers an unexcelled variety of electives across business administration, economics, political science, psychology and sociology. Further modules include an international internship, an international academic exchange and the training", 'rozess. Zudem organisiert der WiSo-Career -Service Seminare, Vorträge und zielgerichtete Angebote in Kooperation mit Arbeitgeber /innen , exter- nen und internen Expert/innen und bietet gemeinsam mit den fakultäts - und universitätsinter- nen Partner /innen bei der Berufsfindungsphase Unterstützung und gezi elte Hilfestellung an. Kurse zu Standardsoftware und fachspezifischen Programme bietet der WiSo -IT-Service regelmäßig an. Bei studienbedingten oder persönlichen Schwierigkeiten kan n die Psycho -Soziale Beratung des Kölner Studier endenwerks in Anspruch genommen werden. Sie bietet neben der psy- --- Page 14 --- Gültig für Studierende der PO 2021 (Einschreibung ab WiSe 2021/22) INTERNATIONAL MANAGEMENT - MASTER OF SCIENCE 10 chologischen und der Sozialberatung auch eine Schreib- sowie Lernberatung und Unterstüt- zung für Schwangere und Studierende mit Kind. Als weiteres Angebot gibt es die Nightline Köln, das Zuhör - und Informationstelefon von Studierenden für Studierende. Es ist ein Angebot an alle Studierenden der Kölner Universitä- ten und Hochschulen. Die Fachschaft WiSo ist die Interessensvertretung aller Studierenden der WiSo-Fakultät. Neben Beratungen von Studierenden für Studierende bietet sie außerdem vielfältige Ser-vices rund um das Studium an. Weitere Informationen finden sich unter wiso-buero.uni- koeln.de. --- Page 15 --- Gültig für Studierende der PO 2021 (Einschreibung ab WiSe 2021/22) INTERNATIONAL MANAGEMENT - MASTER OF SCIENCE 11 3 Modultabellen und Mod']</t>
  </si>
  <si>
    <t>['https://wiso.uni-koeln.de/en/studies/master/master-political-science', 'https://wiso.uni-koeln.de/de/studium/master/master-international-management-cems-mim/studienaufbau', 'https://wiso.uni-koeln.de/de/studium/master/master-information-systems', 'https://wiso.uni-koeln.de/en/studies/master/master-international-management-cems-mim/programme-structure-cems-mim', 'file://D:/Uni-Köln/Masterarbeit/Software/uzk-masterarbeit/data/pdf_cache/__wiso.uni-koeln.de_sites_fakultaet_dokumente_downloads_Modulhandbuecher_Studienjahr_22-23_MHB_PO2021_m_mhb_po2021_intmanagement.pdf']</t>
  </si>
  <si>
    <t>FAQ</t>
  </si>
  <si>
    <t>Mein Abiturschnitt erfüllt nicht den NC vom letzten Bewerbungsverfahren für einen WiSo-Bachelorstudiengang. Macht eine Bewerbung trotzdem Sinn?</t>
  </si>
  <si>
    <t>Es tut mir leid, aber ich konnte keine passenden Informationen finden.  Wenn du dich für einen WiSo-Bachelorstudiengang bewerben möchtest, obwohl dein Abiturschnitt nicht den NC vom letzten Bewerbungsverfahren erfüllt, ist es immer noch sinnvoll, sich zu bewerben. Die Universität zu Köln bietet eine Vielzahl von Möglichkeiten, um deine Chancen auf Zulassung zu verbessern.  Hier sind einige mögliche Schritte:  1.  **Überprüfe die Anforderungen**: Stelle sicher, dass du alle Anforderungen für den gewünschten Studiengang erfüllst. 2.  **Kontaktiere die Studienberatung**: Die Studienberatung kann dir helfen, deine Chancen auf Zulassung zu verbessern und dir Tipps geben, wie du dich besser vorbereiten kannst. 3.  **Bewerte deine Leistungen**: Wenn dein Abiturschnitt nicht den NC erfüllt, solltest du deine Leistungen in anderen Bereichen bewerten, wie z.B. deiner Arbeitserfahrung oder deiner Sprachkenntnisse.  Es ist wichtig zu beachten, dass die Zulassungsvoraussetzungen für jeden Studiengang unterschiedlich sind und sich regelmäßig ändern können. Es lohnt sich also, immer aktuelle Informationen einzuholen.  Wenn du weitere Fragen hast oder Hilfe benötigst, stehe ich gerne zur Verfügung.</t>
  </si>
  <si>
    <t>Ja, eine Bewerbung kann sich trotzdem lohnen. Die Bachelorstudiengänge an der WiSo-Fakultät sind zwar alle zulassungsbeschränkt, aber der NC entsteht in jedem Verfahren neu. 80 % der Studienplätze werden über die Hochschulquote der Universität zu Köln und 20 % über die Abiturbestennote vergeben. Zusätzlich können bis zu sechs Wartesemester berücksichtigt werden. Informationen zum örtlichen Auswahlverfahren findest du beim Studierendensekretariat, Ausnahmen sind nur über Sonder- oder Härtefallanträge möglich. Die NC-Werte der vergangenen Jahre sind für zukünftige Verfahren nicht verbindlich, erfahrungsgemäß bewegen sie sich aber in einem ähnlichen Bereich. Grundsätzlich empfiehlt die Fakultät, sich zu bewerben, weil du nur im offiziellen Bewerbungsverfahren eine verbindliche Rückmeldung über eine Zulassung oder Ablehnung erhältst.</t>
  </si>
  <si>
    <t>['en Sie sich bewerben.\n\n## 1.3 Kann ich fehlende ECTS mit meiner Bachelorarbeit ausgleichen?\n\nEs ist nicht möglich, die Bachelorarbeit zur Erfüllung der fachlichen Zugangskriterien zu verwenden.\xa0\xa0\n\n## 1.4 Ich habe mein Bachelorstudium noch nicht beendet, kann ich mich trotzdem bewerben?\n\nJa, eine Bewerbung kann auch mit einem nicht abgeschlossenem Bachelorstudium unter folgenden Bedingungen erfolgen:\n\nEs ist zu beachten, dass die jeweiligen fachlichen Zugangskriterien derjenigen Masterprogramme auf, die eine Bewerbung erfolgen soll, bereits beim Absenden der Bewerbung durch bestandene Bachelorleistungen erfüllt sein muss.\xa0\n\nDer Nachweis über die erbrachten Leistungspunkte muss durch ein Dokument ersichtlich sein. Weiterhin benötigen wir eine von der Hochschule errechnete Durchschnittsnote, in der alle bereits erfolgreich absolvierten Leistungen eingerechnet sind.\n\nFür International Management (CEMS MIM) und Economic Research:\n\nMindestens 70% der zu erwerbenden Leistungspunkte (126 von 180 ECTS) sind bereits erbracht worden. Noch ausstehende Leistungen müssen bis zum 30. September abgelegt werden.\xa0\n\nFür Business Administration, Business Analytics &amp; Econometrics, Economics, Information Systems, Gesundheitsökonomie, Political Science, Sociology: Social and Economic Psychology, Sociology: Social Research:\n\nMindestens 80% der zu erwerbenden Leistungspunkte (144 von 180 ECTS) sind bereits erbracht worden. Noch ausstehende Leistungen müssen bis zum 30. September abgelegt werden.\xa0\n\n##', 'gilt, falls Sie eine nach der Prüfungsordnung erforderliche Prüfung endgültig nicht bestanden haben. Dies gilt entsprechend für verwandte oder vergleichbare Studiengänge. In diesen Fällen wenden Sie sich bitte vor einer Bewerbung an den Masterzulassungsausschuss. Dafür können Sie uns eine E-Mail senden. Wir leiten diese an die zuständige*n Kolleg*innen des Zulassungsausschusses weiter.\n\n## 1.9 Ich habe einen Doppelbachelorabschluss. Was muss ich beachten?\n\nEs ist ein Transcript of Records einzureichen, auf welchem alle Noten des gesamten Studiums aufgelistet sind. Falls das Studium noch nicht abgeschlossen ist, benötigen wir einen von der Hochschule ausgestellten Nachweis, aus dem die Durchschnittsnote aller bis dahin bestandene Leistungen hervorgeht.\n\n- Wurde die Leistungsübersicht von der ausländischen Hochschule ausgestellt, wird eine VPD benötigt (siehe Punkt 3 "Bewerbung über Uni-Assist").\n- Wurde die Leistungsübersicht von der deutschen Hochschule mit einer Note nach deutschem Notensystem ausgestellt, wird keine VPD benötigt.\n\n## 1.10 Welche Gründe gibt es, dass eine Bewerbung abgelehnt wird?\n\n- Die fachlichen Zugangskriterien wurden nicht erfüllt.\n- Die sprachlichen Anforderungen wurden nicht erfüllt.\n- Die Mindestnote wurde nicht erreicht.\n- Die Bewerbung ist unvollständig: falsche oder fehlende Dokumente.\n- Bei der Bewerbung wurde ein Masterabschluss als Grundlage für die Bewerbung eingereicht.\n- Keine gültige VPD\xa0(nur bei Bewerbungen mit nicht-deutschem Bachelorabs', 'Halten Sie angemessene Seitenränder (4cm links und 3cm rechts) ein. • Benutzen Sie übersichtliche Bewerbungsmappen. • Vermeiden Sie Klarsichthüllen. • Vermeiden Sie Flecken oder Eselsohren. • Verwenden Sie zum Versand einen stabilen DIN -A4-Umschlag mit kartonier tem Rücken. • Achten Sie auf eine ausreichende Frankierung. Die Initiativbewerbung Unter einer Initiativbewerbung wird das unaufgeforderte Zusenden von Bewerbungsunterlagen verstanden: Sie bewerben sich bei einem Unternehmen, ohne dass es im Vorfeld eine Ausschreibung gegeben hat. Ihre Vorteile bei einer Initiativbewerbung liegen auf der Hand: • Sie haben so gut wie keine Konkurrenz. • Ihre Bewerbung erhält angemessene Aufmerksamkeit und geht nicht in einer Flut von Bewerbungen unter. • Sie zeigen Eigenschaften, die sich ein Unternehmen wünscht: Selbstbewusstsein, Eigeninitiative und Motivation. • Sie sind nicht auf eine Stellenausschreibung festgelegt und können Formulierungen in Ihrem Anschreiben frei wählen. Bevor Sie einem Unternehmen initiativ Ihre Unterlagen zukommen lassen, nehmen Sie Kontakt zur Personalabteilung des Unternehmens auf und sondieren Sie zum einen Ihren potentiellen Ansprechpartner und zum anderen den derzeitigen Personalbedarf des Unternehmens. Auf diesem Wege schließen Sie aus, dass Ihre Init iativbewerbung unerwünscht ist. Inhaltlich unterscheidet sich die Initiativbewerbung kaum von einer normalen Bewerbung, außer dass in einer Initiativbewerbung die Motivation, gerade bei dem ausgewählten', 'isse haben Sie, die für die angestrebte Tätigkeit von Vorteil s ind? Wie können Sie Ihre Ressourcen gewinnbringend einsetzen? Fach- und Methodenkompetenz: Welchen Nutzen hat das Unternehmen bezüglich Ihrer Fachkenntnisse? ACHTUNG: Eine dritte Seite ist unter Personalverantwortlichen bekannt, jedoch nicht gleichermaßen geschätzt. Überlegen Sie sich, ob Ihre Bewerbung ohne eine „Dritte Seite“ auskommt. Nur um der „Dritten Seite“ Willen lohnt es sich nicht, diese einzufügen. Der ursprüngliche Sinn, sich von anderen Bewerbern mit Hilfe dieser Seite abzuheben, ist nicht mehr gegeben, da die „Dritte Seite“ in Bewerbungsmappen weit verbreitet ist. Hilfreich kann eine „Dritte Seite“ für folgende Personenkreise sein: • Auszubildende: Diese können auf der Extraseite schildern, welche Erfahrungen ihnen gezeigt haben, dass der anvi sierte Ausbildungsberuf der Richtige ist. Zukünftige Azubis können von ihren Erfahrungen/ Praktika außerhalb der Schule berichten. Diese „Dritte Seite“ ist ein Motivationsschreiben. • Führungskräfte: Diese können auf der „Dritten Seite“ ihre Tätigkeiten umreißen, um ihren Lebenslauf nicht hoffnungslos zu überladen. Punkte wie Verantwortungsbereiche, Kernaufgaben und Projekte in denen sie mitgewirkt haben, werden stichpunktartig genannt. Diese „Dritte Seite“ ist eine Art „Tätigkeitsbilanz“ oder „Leistungsbilanz“. • Menschen mit einem Zickzack -Lebenslauf: Diesen hilft die „Dritte Seite“, einen roten Faden in das Durcheinander zu bringen. Sie können aus allen Tä', 'e chair of the relevant examination board may, for valid reasons, refrain from --- Page 26 --- 28 grading the examination performance as ‘unsatisfactory (5.0)’ or ‘fail’. 2The reasons put forward for the default or withdrawal must be reported and substantiated immediately to the chair of the relevant examination committee in writing or electronically as indicated by the relevant examination committee on the examination offic e’s website. 3The same applies if an examination is not completed within the allotted examination time. 4In the event of illness, a doctor’s note is required. 5If there is any doubt, a medical attestation may be requested; the university will cover the costs. 6The same applies in cases where a examination candidate’s child, spouse, registered partner, direct relative or first -degree rel- ative by marriage is proven to be ill and requires care. 7All other matters are regulated by the relevant examination committee. Section 17 Reasonable adjustments and protective provisions (1) In order to ensure equal opportunities, the special interests of students with disabilities, chronic or mental illnesses, or who are subject to the provisions of maternity protection law, shall be taken into account. (2) 1If an examination candidate credibly demonstrates that they are unable to participate in an examination in the intended form or to the intended extent due to prolonged or permanent illness or disability, they shall be granted reasonable adjustments upon submission']</t>
  </si>
  <si>
    <t>['https://wiso.uni-koeln.de/de/studium/bewerbung/master/faqs-zulassungsordnungen', 'https://wiso.uni-koeln.de/de/studium/bewerbung/master/faqs-zulassungsordnungen', 'file://D:/Uni-Köln/Masterarbeit/Software/uzk-masterarbeit/data/pdf_cache/__wiso.uni-koeln.de_sites_wiso_career_pdf_Allgemeines_UEbergreifendes_Bewerbungshilfen_Bewerbungstipps_ProfC.pdf', 'file://D:/Uni-Köln/Masterarbeit/Software/uzk-masterarbeit/data/pdf_cache/__wiso.uni-koeln.de_sites_wiso_career_pdf_Allgemeines_UEbergreifendes_Bewerbungshilfen_Bewerbungstipps_ProfC.pdf', 'file://D:/Uni-Köln/Masterarbeit/Software/uzk-masterarbeit/data/pdf_cache/__wiso.uni-koeln.de_sites_fakultaet_dokumente_PA_po_GPO_2025_english.pdf']</t>
  </si>
  <si>
    <t>Ich studiere im Bachelor woanders und möchte an die WiSo Köln wechseln. Was muss ich tun?</t>
  </si>
  <si>
    <t>Um an die Universität zu Köln wechseln zu können, müssen Sie sich für das 1. Fachsemester bewerben. Dazu müssen Sie über hochschulstart.de und das Online-Portal KLIPS 2.0 der Universität zu Köln eine Bewerbung einreichen. Es ist wichtig, dass Sie sich vorher informieren, ob Ihre bisherigen Studienleistungen anerkannt werden können.  Es gibt auch die Möglichkeit, einen Wechsel innerhalb des Bachelorstudiums durchzuführen. Dazu müssen Sie sich bei der WiSo-Studienberatung melden und sich über die Möglichkeiten informieren.  Zusätzlich sollten Sie sich über die Anrechnungsregeln für Ihre bisherigen Studienleistungen informieren, um sicherzustellen, dass Ihre Leistungen anerkannt werden.</t>
  </si>
  <si>
    <t>Wenn du aus einem laufenden Bachelorstudium an eine WiSo-Bachelorstudiengang der Uni Köln wechseln möchtest, hast du grundsätzlich zwei Wege: Du kannst dich entweder auf das 1. Fachsemester bewerben oder – falls du schon anrechenbare Leistungen mitbringst – auf ein höheres Fachsemester.  Für das 1. Fachsemester läuft die Bewerbung über hochschulstart.de und das Online-Portal KLIPS 2.0 der Universität zu Köln. Wenn du dort eine Zulassung erhältst und dich einschreibst, können gleichwertige Leistungen aus deinem bisherigen Studium nachträglich angerechnet werden. Vor der Bewerbung und Einschreibung können keine verbindlichen Aussagen zur Anrechenbarkeit gemacht werden; die WiSo empfiehlt daher grundsätzlich die Bewerbung auf das 1. Fachsemester.  Alternativ kannst du dich auf ein höheres Fachsemester bewerben. Dann werden freie Plätze in dem jeweiligen Fachsemester vergeben, und eine Aufnahme ist nur möglich, wenn es dort tatsächlich freie Studienplätze gibt. Welche Leistungen dir im Detail anerkannt werden, wird erst nach der Einschreibung entschieden.  Beim höheren Fachsemester wird zwischen Ortswechsel und Quereinstieg unterschieden: Studierst du aktuell denselben Studiengang an einer anderen Universität in Deutschland, giltst du als Ortswechsler:in. In diesem Fall kontaktierst du zunächst den WiSo Student Service Point mit dem entsprechenden Formular und einer aktuellen Studienbescheinigung. Das WiSo-Prüfungsamt bestätigt dir dann ggf. den Ortswechsel-Status, mit dem du dich beim Studierendensekretariat für ein höheres Fachsemester bewerben kannst.  Studierst du hingegen einen anderen Studiengang, an einer Fachhochschule oder im Ausland, giltst du bei der Bewerbung ins höhere Fachsemester als Quereinsteiger:in. Hier wird vorausgesetzt, dass du bereits anrechenbare ECTS erworben hast – zum Beispiel mindestens 15 ECTS für eine Einstufung ins zweite und mindestens 45 ECTS für das dritte Fachsemester. Da nur äquivalente Leistungen anerkannt werden und sich Studienstrukturen unterscheiden, musst du grundsätzlich mit einem gewissen Verlust einzelner Leistungen rechnen. Für die Bewerbung als Quereinsteiger:in brauchst du das Formblatt zum Quereinstieg/Ortswechsel sowie eine Fachsemestereinstufung durch das WiSo-Prüfungsamt; mit dieser Einstufung bewirbst du dich dann über das Studierendensekretariat auf das entsprechende höhere Fachsemester.  Die verbindlichen Bewerbungsfristen für höhere Fachsemester veröffentlicht das Studierendensekretariat – in der Regel sind das der 15. September für das Wintersemester und der 15. März für das Sommersemester. Damit diese Fristen eingehalten werden können, müssen deine Unterlagen spätestens acht Wochen vorher postalisch beim WiSo-Prüfungsamt eingehen, also in der Regel bis zum 15. Juli bzw. 15. Januar.</t>
  </si>
  <si>
    <t>['offiziellen Bewerbungsverfahren auch eine verbindliche Rückmeldung erhalten.\n\n## 2. Ich studiere im Bachelor woanders und möchte an die Universität zu Köln wechseln. Was muss ich tun?\n\nSie haben grundsätzlich zwei Möglichkeiten, wenn Sie zu einem Bachelorstudiengang wechseln möchten und bereits in einem Bachelor an einer anderen Hochschule studieren:\n\n(1) Die Bewerbung zum 1. Fachsemester. Die Bewerbung erfolgt über hochschulstart.de und das Online-Portal KLIPS 2.0 der Universität zu Köln. Erhalten Sie hier eine Zulassung, können nach der Einschreibung gleichwertige Leistungen, die Sie bereits anderswo erbracht haben, angerechnet werden. Vorab der Bewerbung und Einschreibung ist es nicht möglich, Auskünfte über die mögliche Anrechenbarkeit von Leistungen zu geben. Wir empfehlen grundsätzlich die Bewerbung auf das 1. Fachsemester.\n\n(2) Bei der Bewerbung auf das höhere Fachsemester werden freie Plätze in dem entsprechenden Fachsemester zugeteilt. Sind keine Studienplätze in dem Semester frei, ist die Chance auf einen Studienplatz in dem Semester nicht gegeben. Welche konkreten Leistungen Ihnen angerechnet werden, wird erst nach der Einschreibung entschieden.\n\nStudieren Sie derzeit den gleichen Studiengang an einer Universität innerhalb Deutschlands, gelten Sie bei der Bewerbung zum höheren Fachsemester als Ortswechsler:in: In diesem Fall wenden Sie sich zunächst mit diesem ausgefüllten Formular und einer aktuellen Studienbescheinigung per Mail an den WiSo Student Service Point.', 'de/international/studies -abroad/semester- exchange - stap/master / •And at the International Relations Center (ZIB) --- Page 48 --- WiSo -Studienberatungszentrum Meister -Ekkehart -Straße 1 http://www.wiso.uni -koeln.de/wiso -sbz.html (Souterrain) wiso-beratung@uni -koeln.de 50937 Köln-48- Universität zu Köln Sample study plan Bus. Admin. – Corporate Development --- Page 49 --- WiSo -Studienberatungszentrum Meister -Ekkehart -Straße 1 http://www.wiso.uni -koeln.de/wiso -sbz.html (Souterrain) wiso-beratung@uni -koeln.de 50937 Köln-49- Universität zu Köln Sample study plan 1st semester term cc/ec module section ECTS 1 ec Core module I Core section 6 1 ec Specialisation module I Specialisation section6 1 ec Specialisation module II Specialisation section6 1 ec Specialisation module III Specialisation section6 1 ec Specialisation module IV Specialisation section6 30 --- Page 50 --- WiSo -Studienberatungszentrum Meister -Ekkehart -Straße 1 http://www.wiso.uni -koeln.de/wiso -sbz.html (Souterrain) wiso-beratung@uni -koeln.de 50937 Köln-50- Universität zu Köln Sample study plan forsemesters 2 until 4 --- Page 51 --- WiSo -Studienberatungszentrum Meister -Ekkehart -Straße 1 http://www.wiso.uni -koeln.de/wiso -sbz.html (Souterrain) wiso-beratung@uni -koeln.de 50937 Köln-51- Universität zu Köln Next Steps : Apply asa student assistant ! •The chairs arealways looking forcommited student assistants! •Proactive applications arewelcome ; ifyouareinterested , youcanfind more information su', 'abroad prior to studying at the WiSo Faculty, and to (advance) transfer of credits that students plan to accumulate abroad or have already accumulated abroad as part of a WiSo Faculty --- Page 14 --- valid for students of the ER 2015 (enrolment for winter semester 2020/21 at the latest) BUSINESS ADMINISTRATION: Finance - MASTER OF SCIENCE 10 programme. This system eliminates the need to make individual inquiries to departments/in- stitutes and examination offices. Students can find out everything they need to know about the transfer process on the website. The WiSo Career Service offers advice and support, in cooperation with other partners, for students from the WiSo Faculty looking for an internship or profession that is right for them. It also helps them as they plan their career and apply for jobs. In addition, the WiSo Career Service organises seminars, presentations and special events in cooperation with employers and external and internal experts. All of the necessary information can be found on the website. The WiSo IT Service runs regular courses dealing with standard software and field-specific programmes. Students who are having difficulties with their studies or their personal lives can seek help from the Psychosocial Counselling Service run by the Kölner Studentenwerk. In addition to coun- selling, it also provides advice on writing and learning skills plus support for pregnant students and students who have children. A further service is Nightline Köln, the lis', 'onnen, die in der weiteren beruflichen Laufbahn intensiviert und spezialisiert werden können.\n\n&gt; Das Bachelorstudium der Betriebswirtschaftslehre an der Kölner WiSo-Fakultät bietet eine breite BWL-Grundlagenausbildung und gleichzeitig die Möglichkeit einer individuellen Spezialisierung über vielfältige Angebote im Ergänzungs- und Schwerpunktbereich. In anwendungsorientierten Modulen können Sie analytisches Denken und Handeln in die Praxis umsetzen, indem Sie die erworbenen Kenntnisse und Fähigkeiten zur Lösung praktischer Problemstellungen einsetzen.\n\nzum Seitenanfang\n\n## Akademische Exzellenz mit internationalem Angebot\n\n### Internationale Ausrichtung über das gesamte Studium hinweg\n\nFür den Großteil unseres Studienangebots erhalten wir Bewerbungen von einer großen Anzahl verschiedener Nationalitäten, sodass Sie sich auf ein internationales und interkulturelles Umfeld an der Fakultät und auch innerhalb Ihres Studiengangs freuen können. Eine Vielzahl der Kurse wird je nach Spezialisierung in englischer Sprache angeboten.\n\n### Optionales Auslandssemester\n\nDie WiSo-Fakultät ist Mitglied in mehreren Netzwerken internationaler Universitäten, was Ihnen dabei hilft, ein Semester an einer der über 140 renommierten Partnerhochschulen im Ausland zu verbringen. Das Programm ist so konzipiert, dass Sie im vierten oder fünften Semester ein Auslandssemester absolvieren können. Wir beraten Sie gerne über Ihre Möglichkeiten und unterstützen Sie organisatorisch vor, während und nach Ihrem Au', 'lan to accumulate abroad or have already accumulated abroad as part of a WiSo Faculty programme. This system eliminates the need to make individual inquiries to depart- --- Page 14 --- valid for students of the ER 2015 (enrolment for winter semester 2020/21 at the latest) BUSINESS ADMINISTRATION : Marketing - MASTER OF SCIENCE 10 ments/institutes and examination offices. Students can find out everything they need to know about the transfer process on the website. The WiSo Career Service offers advice and support, in cooperation with other partners, for students from the WiSo Faculty looking for an internship or profession that is right for them. It also helps them as they plan their career and apply for jobs. In addition, the WiSo Career Service organises seminars, presentations and special events in cooperation with employers and external and internal experts. All of the necessary information can be found on the web- site. The WiSo IT Service runs regular courses dealing with standard software and field -specific program mes. Students who are having difficulties with their studies or their personal lives can seek help from the Psychosocial Counselling Service run by the Kölner Studentenwerk. In addition to counselling, it also provides advice on writing and learning skills plus support for pregnant students and students who have children. A further ser vice is Nightline Köln, the listening and information helpline run by students for students at all of Cologne’s institutions']</t>
  </si>
  <si>
    <t>['https://wiso.uni-koeln.de/de/studium/studienorganisation/faq/bachelor/studienwahl-und-bewerbung', 'file://D:/Uni-Köln/Masterarbeit/Software/uzk-masterarbeit/data/pdf_cache/__wiso.uni-koeln.de_sites_fakultaet_dokumente_downloads_master_Master_Welcome_Corporate_Development.pdf', 'file://D:/Uni-Köln/Masterarbeit/Software/uzk-masterarbeit/data/pdf_cache/__wiso.uni-koeln.de_sites_fakultaet_dokumente_downloads_Modulhandbuecher_Studienjahr_22-23_MHB_PO2015_m_mhb_po2015_e_ba_finance.pdf', 'https://wiso.uni-koeln.de/de/studium/bachelor/bachelor-bwl', 'file://D:/Uni-Köln/Masterarbeit/Software/uzk-masterarbeit/data/pdf_cache/__wiso.uni-koeln.de_sites_fakultaet_dokumente_downloads_Modulhandbuecher_Studienjahr_22-23_MHB_PO2015_m_mhb_po2015_e_ba_marketing.pdf']</t>
  </si>
  <si>
    <t>['html', 'pdf', 'pdf', 'html', 'pdf']</t>
  </si>
  <si>
    <t>Was ist das Besondere am Master Business Administration Corporate Development an der WiSo-Fakultät und welche Vorteile habe ich dadurch?</t>
  </si>
  <si>
    <t>Basierend auf den Suchergebnissen kann ich sagen, dass das Master Business Administration Corporate Development an der WiSo-Fakultät einige Besonderheiten bietet. Ein Highlight des Curriculums ist ein Business-Projekt, bei dem du zusammen mit einem Unternehmen-Vertreter aktuelle managementbezogene Themen bearbeitest und deine Kenntnisse und Fähigkeiten auf die Praxis anwenden kannst.  Ein weiterer Vorteil ist die Möglichkeit, nach Abschluss des Master-Studiums in das Postgraduiertenprogramm (Ph.D.) einzutreten, wenn du dich für akademische Forschung im Bereich Corporate Development interessierst. Der MSc.-Abschluss bietet auch eine gute Grundlage für die Bewerbung an anderen nationalen und internationalen Universitäten.  Darüber hinaus kannst du als Student des Master Business Administration Corporate Development von der Vielfalt der Fächer profitieren, da du in verschiedenen Bereichen wie Accounting, Finance, Marketing, Human Resources Management und Operations Management ausbilden kannst.</t>
  </si>
  <si>
    <t>Der Master Business Administration Corporate Development vermittelt dir ein tiefgehendes Verständnis von Unternehmensentwicklung, Strategiemanagement, Unternehmertum und strategischem Human Capital Management. Du lernst Methoden, Fähigkeiten und Werkzeuge kennen, mit denen du verantwortungsvolle Unternehmensentscheidungen nach ethischen und ökonomischen Kriterien treffen kannst. Gleichzeitig trainierst du, state-of-the-art Managementpraktiken zu verstehen, Fallstudien zu bearbeiten und dabei eng mit Anwender:innen aus der Praxis zu interagieren. Das Programm kombiniert damit praktische Relevanz und akademische Stärke: Du lernst, aktuelle wissenschaftliche Erkenntnisse in die Unternehmensentwicklung zu integrieren und Forschungsergebnisse zu generieren, die für die zukünftige Entwicklung der Geschäftswelt relevant sind. Ein Profil, das dir in unterschiedlichen Funktionen und Branchen zugutekommt, insbesondere im Bereich verantwortungsvoller Führung und Governance.</t>
  </si>
  <si>
    <t>["y teaching in our Master‘s in Corporate Development, because it attracts a highly engaged group of open-minded students curious to learn and to apply their knowledge. We do our best to equip you with the knowledge and skills to succeed in your later career in management.\n\n### Business Project\n\nOne highlight of the curriculum is a business project during which you work on current managerial topics in close cooperation with a company representative. You will have the opportunity to apply your acquired knowledge and skills in groups of about four students to perform for a company. Moreover, students have the option to be trained in in modern methods of “People Analytics” to analyse organisational data and can apply these methods in research projects when working on their own data driven independent research.\n\n### Link to the practical world\n\nOne strong feature of the programme is the practical contact you, as a student, will receive. Guest lectures and practice seminars establish and promote direct exchange between companies and students. The courses are provided by faculty members that are both, strong academic researchers and continuously interacting with practitioners in joint research projects in firms.\n\nTo top of page\n\n## Chat with a student\n\nDo you want first-hand insights and experiences about the Master Business Administration - Corporate Development and the Student life at the University of Cologne from WiSo students?\n\nThen don't hesitate and Chat with a student!\n\n## Ac", "e interested in academic corporate development research after finishing their master studies, the corporate development area provides students who have competitive master scores with the possibility for admittance into a postgraduate programme (Ph.D.).\n\nAt the same time, the MSc. degree is of course an excellent base for applying for graduate degree programmes at other national and international universities.\n\nTo top of page\n\n##### .\n\n## Application\n\n\xa0\n\nAll information about the Master's application at the WiSo Faculty.\n\n##### ...\n\n## Detailed information and contact\n\nWe are happy to support you in your ambitions:\n\nIf you are interested in or have questions about our WiSo degree programmes, the student advisors at the WiSo Student Service Point will be happy to help:\n\n- WiSo Student Service Point hotline: +49 (0) 221/470-8818\n- www.wiso-studentservice.uni-koeln.de\n\nTo top of page\n\nHI\n\nTo top of page", "Master of Science\n\n# Master Business Administration - Corporate Development\n\n## Programme Structure and Organisation\n\nHere you will find detailed information on the structure of the Master's programme and helpful links to the organisation of the Master's programme in Business Adminatration – Corporate Development.\n\nexpand:\n\nYou can also find this tabular overview in the Module Catalogue for the M.Sc. Business Administration – Corporate Development.\n\n## From basic knowledge to your personal expert profile\n\n- Within this programme, the Core and Advanced Sections cover the methodological basics of your respective major in Corporate Development.\n- The Specialisation Section teaches major specific basics and, in addition, advanced skills within the same area with the business project as the practical highlight of the whole programme.\n- The programme is designed to include a semester abroad during your third or fourth semester. We will be happy to advise you on the options available to you and give you organisational support before, during and after your international experience. In case you are not able to complete your semester abroad, you have the possibility of choosing a minor specialisation in your Supplementary Section from a wide range of WiSo Faculty courses.\n- With the master’s thesis for the successful completion of your studies, you underline the knowledge and skills you have acquired throughout the programme and are ready to continue your career as an expert in your fi", "rtual Open Day\n\nPlease REGISTER HERE to join the Master’s Virtual Open Day. Take this opportunity to learn more about the WiSo Faculty, explore the study programmes and gain valuable insights from professors, current students and Alumni.\n\n## Application\n\n\xa0\n\nAll information about the Master's application at the WiSo Faculty.\n\n&gt; You get a really good insight into a lot of other disciplines.\n\nIn Business Administration at the WiSo Faculty you can choose between five specialisations:\n\n## Accounting and Taxation\n\n## Corporate Development\n\n## Finance\n\n## Marketing\n\n## Supply Chain Management\n\nHI\n\nTo top of page", 'ated disciplines — preferably with a corporate development or human resources focus.\n\xa0\n- are internationally focused as well as open-minded, have a wide range of interests, and are eager to learn new things; are interested in obtaining a general understanding of management activities, developing analytical and critical thinking skills, problem-solving and wish to hone your writing and language skills.\n\xa0\n- work as a team player, because working in groups is often practiced in seminars and an important key factor for later work in companies.\n\xa0\n- are ready to take the next step in your future career in a leading manegement-related position in the corporate world.\n\nWe highly welcome a diverse set of students with different cultural and educational backgrounds that are curious to learn, acquire practical and academic experiences, and to present and debate their ideas.\n\nStill undecided?\n\nThen get to know our offers for prospective students, which are coordinated by the WiSo Student Service Point and will provide you with individual advice tailored precisely to your needs.\n\n- Orientation and counselling services for prospective students\n\nBusiness Administration Major Corporate Development - Master of Science\n\nTo top of page\n\n## Programme Overview\n\nPreparing you for future challenges\n\nThis programme is characterised by its strong balance of theoretical rigor and practical relevance. Both aspects are critical. We build on a strong research reputation which consistently excels in vario']</t>
  </si>
  <si>
    <t>['https://wiso.uni-koeln.de/en/studies/master/master-business-administration/corporate-development', 'https://wiso.uni-koeln.de/en/studies/master/master-business-administration/corporate-development', 'https://wiso.uni-koeln.de/en/studies/master/master-business-administration/corporate-development/programme-structure-corporate-development', 'https://wiso.uni-koeln.de/en/studies/master/master-business-administration', 'https://wiso.uni-koeln.de/en/studies/master/master-business-administration/corporate-development']</t>
  </si>
  <si>
    <t>Gold Dokumente wurden gefunden, allerdings auf englisch; Eigentlicher Gold-Chunk knapp verfehlt; Frage ist unklar / unglücklich formuliert --&gt; wird angepasst</t>
  </si>
  <si>
    <t>PDF-Spezifisch</t>
  </si>
  <si>
    <t>Wie groß ist der Bachelor Wirtschaftsinformatik an der Uni Köln ungefähr, und seit wann gibt es den Studiengang?</t>
  </si>
  <si>
    <t>Ich entschuldige mich für die unvollständigen Suchergebnisse. Es scheint, als ob die Universitäts-Wissensdatenbank keine Informationen über die Größe des Bachelors Wirtschaftsinformatik an der Uni Köln enthält.  Lass uns eine andere Frage stellen: "Wie viele Studierende sind im Bachelor Wirtschaftsinformatik eingeschrieben?"</t>
  </si>
  <si>
    <t>Im Bachelor Wirtschaftsinformatik starten jährlich rund 100 Studierende. Der Studiengang besteht bereits seit 2008 und ist sehr erfolgreich, mit mehr als 1.100 Bewerbungen pro Jahr.</t>
  </si>
  <si>
    <t>['3.6.2 Ergänzungsbereich ................................ ................................ .............................. 38 3.6.3 Schwerpunktbereich ................................ ................................ ............................. 60 3.6.4 Bachelorarbeit ................................ ................................ ................................ ......68 --- Page 5 --- Gültig für Studierende der PO 2021 (Einschreibung ab WiSe 2021/22) MODULHANDBUCH - WIRTSCHAFTSINFORMATIK - BACHELOR OF SCIENCE 5 1 Wirtschaftsinformatik Die Wirtschaftsinformatik ist ein eigenständiges interdisziplinäres Fachgebiet, das seine Wurzeln in der Informatik und den Wirtschaftswissenschaften, insbesondere der Betriebswirtschaftslehre, hat. Die Lehre im Bereich Wirtschaftsinformatik an der Universität zu Köln wird vom Cologne Institute of Information Systems (CIIS) getragen. Darüber hinaus wird das Lehrangebot durch Lehraufträge und Praxisbeiträge ergänzt. In unregelmäßigen Abständen werden extra - curriculare Workshops zu aktuellen Themen (zum Beispiel App-Entwicklung, Big Data, Soft - Skills) abgehalten, die zumeist von Unternehmen finanziell gefördert und fallweise auch von diesen durchgeführt werden. 1.1 Inhalte und Studienziele Die Absolvent/inn /en verfügen über Kompetenzen auf dem Niveau 6 des Deutschen Qualifikationsrahmens bzw. der Bachelor -Ebene des Deutschen Qualifikationsrahmens für Hochschulabschlüsse. Die „Intended Learning Outcomes“ sind in der folgenden Tabelle dar', 'von der oder dem Vorsitzenden des Prüfungsaussch usses unterzeichnet und mit dem Siegel der Fakultät versehen . (3) 1Mit dem Zeugnis und der Urkunde über den Abschluss des Bachelorstudiums wird ein Diploma Supplement ausgehändigt, das über den individuellen Studienverlauf, die wä hrend des Studiengangs er brachten Leistungen und deren Bewertungen (Leistungspunkte und Benotung) und über das fachliche Profil des absolvierten Studiengangs informiert, s ofern diese nicht eigens in einem transcript of records ausgewiesen werden; des weiteren enthält es --- Page 20 --- Prüfungsordnung für den Bachelorstudiengang Wirtschaftsinformatik in der Fassung vom 1 . Oktober 20 18 Seite 20 von 29 auch einen Notenspiegel, der die relative Einordnung der Abschlussnote in die Prüfungsergebnisse im Studiengang erlaubt. 2Das Diploma Supplement beschreibt darüber hinaus den absolvierte n Studiengang und informiert über die Fakultät . (4) Studierende , die die Univers ität zu Köln ohne Abschluss der Bachelorprüfung verlassen, erhalten auf Antrag eine Bescheinigung über die erbrachten Prüfungsleistungen , Leistungs - und Maluspunkte . II. BESONDERE BESTIMMUNGE N § 16 Art und Umfang der Bachelorprüfung (1) Die Bachelorprüfung er streckt sich neben der Bachelorarbeit gemäß § 3 Absatz 2 auf: 1. die Fachgruppe Information System s, 2. die Fachgruppe Betriebswirtschaftslehre , 3. die Fachgruppe Mathematik und Informatik , 4. die Fachgruppe Wahlbereich und 5. die Fachgruppe Studium Integrale. (2) 1In der F', 'und Veränderungen in Gesellschaft und Berufswelt mitgestalten zu können. 3Der Bachel orabschluss dokumentiert eine erste Berufsqualifizierung an der Wirtschafts - und Sozialwi ssenschaftlichen Fakultät der Universität zu Köln (Fakultät) und bildet die Basis für einen , der Studienrichtung entsprechenden Master -Studieng ang. § 2 Akademischer Grad Die Wirtschafts - und So zialwissenschaftliche F akultät der Universität zu Köln verleiht auf - grund des erfolgreichen Abschlusses des Bachelorstudiums den akademischen Grad : Bachelor of Science (B.Sc.). § 3 Aufbau des Studiums und Studienumfang (1) 1Das Bachelorstudium umfasst den Erwe rb von 180 Leistungspunkten. 2Diese sind in den Fachgruppen nach Absatz 2 und der Bachelorarbeit nach § 13 zu erwerben. 3Für die Gewich - tung, Zählung und Anrechnung von Prüfungsleistungen werden Leistungspunkte gemäß dem European Credit Transfer System (ECTS) verwendet, so dass ein Leistungspunkt (LP) nach Maßgabe dieser Prüfungsordnung einem Punkt im Sinne des ECTS entspricht. 4Leistungs - punkte werden vergeben, sobald eine Modulprüfung beziehungsweise die Bache lorarbeit mit „ausreichend (4,0) “ oder besser gemäß § 9 beziehungsweise mit „bestanden“ bewertet wurde. (2)1 Das Bachelorstudium gliedert sich neben der Bachelorarbeit ( 9 Leistungs punkte) in die fünf Fachgruppe n mit den zugehörigen Leistungspunkten: 1. Information Systems mit 50 Leistungspunkten, 2. Betriebswirtschaftslehre mit 52 Leistungspunkten , 3. Mathematik und Informatik mit 4', '.......... ................................ .................... 23 3.6.2 Ergänzungsbereich ................................ ................................ .............................. 39 3.6.3 Schwerpunktbereich ................................ ................................ ............................. 79 3.6.4 Bachelorarbeit ................................ ................................ ................................ ......85 --- Page 5 --- gültig für Studierende der PO 2015 (Einschreibung erfolgte letztmalig zum WiSe 202 0/21) MODULHANDBUCH - WIRTSCHAFTSINFORMATIK - BACHELOR OF SCIENCE 5 1 Wirtschaftsinformatik Die Wirtschaftsinformatik ist ein eigenständiges interdisziplinäres Fachgebiet, das seine Wur- zeln in der Informatik und den Wirtschaftswissenschaften, insbesondere der Betriebswirt- schaftslehre, hat. Die Lehre im Bereich Wirtschaftsinformatik an der Universität zu Köln wird vom Cologne Insti- tute of Information Systems (CIIS) getragen. Darüber hinaus wird das Lehrangebot durch Lehr- aufträge und Praxisbeiträge ergänzt. In unregelmäßigen Abständen werden extra -curriculare Workshops zu aktuellen Themen (zum Beispiel App-Entwicklung, Big Data, Soft -Skills) abge- halten, die zumeist von Unternehmen finanziell gefördert und fallweise auch von diesen durch- geführt werden. 1.1 Inhalte und Studienziele Die Absolvent :innen verfügen über Kompetenzen auf dem Niveau 6 des Deutsche n Qualifika- tionsrahmens bzw. der Bachelor -Ebene des Deutschen Qualifikatio', 'schreibung ab WiSe 2021/22) MODULHANDBUCH - WIRTSCHAFTSINFORMATIK - BACHELOR OF SCIENCE 5 4.6.3 Schwerpunktbereich Wirtschaftsinformatik ................................ ......................... 134 4.6.4 Bachelorarbeit im Studiengang Wirtschaftsinformatik ................................ ......... 146 --- Page 6 --- Gültig für Studierende der PO 2021 (Einschreibung ab WiSe 2021/22) MODULHANDBUCH - WIRTSCHAFTSINFORMATIK - BACHELOR OF SCIENCE 6 1 Wirtschaftsinformatik Die Wirtschaftsinformatik ist ein eigenständiges interdisziplinäres Fachgebiet, das seine Wurzeln in der Informatik und den Wirtschaftswissenschaften, insbesondere der Betriebswirtschaftslehre, hat. Die Lehre im Bereich Wirtschaftsinformatik an der Universität zu Köln wird vom Cologne Institute of Information Systems (CIIS) getragen. Darüber hinaus wird das Lehrangebot durch Lehraufträge und Praxisbeiträge ergänzt. In unregelmäßigen Abständen werden e xtra- curriculare Workshops zu aktuellen Themen (zum Beispiel App -Entwicklung, Big Data, Soft - Skills) abgehalten, die zumeist von Unternehmen finanziell gefördert und fallweise auch von diesen durchgeführt werden. 1.1 Inhalte und Studienziele Die Absolvent/inn /en verfügen über Kompetenzen auf dem Niveau 6 des Deutschen Qualifikationsrahmens bzw. der Bachelor -Ebene des Deutschen Qualifikationsrahmens für Hochschulabschlüsse. Die „Intended Learning Outcomes“ sind in der folgenden Tabelle dargestellt. Die Intended Learning Outcomes umfassen zum einen die übergeor']</t>
  </si>
  <si>
    <t>['file://D:/Uni-Köln/Masterarbeit/Software/uzk-masterarbeit/data/pdf_cache/__wiso.uni-koeln.de_sites_fakultaet_dokumente_downloads_Modulhandbuecher_Studienjahr_22-23_MHB_PO2021_b_mhb_po2021_winfo.pdf', 'file://D:/Uni-Köln/Masterarbeit/Software/uzk-masterarbeit/data/pdf_cache/__wiso.uni-koeln.de_sites_fakultaet_dokumente_PA_po_po_ba_winfo.pdf', 'file://D:/Uni-Köln/Masterarbeit/Software/uzk-masterarbeit/data/pdf_cache/__wiso.uni-koeln.de_sites_fakultaet_dokumente_PA_po_po_ba_winfo.pdf', 'file://D:/Uni-Köln/Masterarbeit/Software/uzk-masterarbeit/data/pdf_cache/__wiso.uni-koeln.de_sites_fakultaet_dokumente_downloads_bachelor_b_mhb_po15_winfo.pdf', 'file://D:/Uni-Köln/Masterarbeit/Software/uzk-masterarbeit/data/pdf_cache/__wiso.uni-koeln.de_sites_fakultaet_dokumente_downloads_Modulhandbuecher_Bachelor_MHB_aktuelles_Studienjahr_b_mhb_po2021_winfo.pdf']</t>
  </si>
  <si>
    <t>['pdf', 'pdf', 'pdf', 'pdf', 'pdf']</t>
  </si>
  <si>
    <t>Frage wurde nun präziser formuliert</t>
  </si>
  <si>
    <t>Ich studiere bzw. plane den M.Sc. International Management (CEMS) in Köln. Wie unterscheiden sich das reguläre MIM-Programm und das CEMS-Curriculum konkret im Aufbau und bei den Anforderungen?</t>
  </si>
  <si>
    <t>Das CEMS-Curriculum und das reguläre MIM-Programm an der Universität zu Köln unterscheiden sich in folgenden Aspekten:  1. **ECTS-Gesamtpunkte**: Das CEMS-Curriculum umfasst insgesamt 66 ECTS, während das reguläre MIM-Programm 60 ECTS hat. 2. **Master-Thesis**: Im CEMS-Curriculum gibt es keine Master-Thesis, im Gegensatz zum regulären MIM-Programm. 3. **Internship**: Das CEMS-Curriculum erfordert eine internationale Praxisphase (International Internship), die nicht Teil des regulären MIM-Programms ist. 4. **Sprachanforderung**: Im CEMS-Curriculum gibt es eine Sprachanforderung, die im regulären MIM-Programm nicht besteht. 5. **Modulstruktur**: Das CEMS-Curriculum hat einen anderen Modulbaukasten als das reguläre MIM-Programm, mit einem Schwerpunkt auf Hard Skills und internationaler Praxis.  Es ist wichtig zu beachten, dass die genauen Anforderungen und Strukturen je nach Semester und Programmänderung variieren können. Es lohnt sich, direkt bei der Universität oder der Studienberatung nachzufragen, um aktuelle Informationen zu erhalten.</t>
  </si>
  <si>
    <t>Im regulären MIM-Programm erwirbst du insgesamt 120 ECTS. Diese verteilen sich auf den Core-Bereich International Management, den Spezialisierungsbereich Applied International Management, einen zusätzlichen Bereich in Business oder Economics (inklusive Auslandssemester) sowie die Masterarbeit mit 15 ECTS. Es gibt keine verpflichtenden Praktika, keine zusätzlichen Sprachauflagen und keine gesonderten formalen Vorgaben zur ECTS-Verteilung innerhalb der Regelstudienzeit. Das CEMS Curriculum umfasst 66 ECTS (ohne Masterarbeit) und besteht aus Core Courses und Electives (min. 45 ECTS, inklusive Hard Skills), einem Business Project mit 15 ECTS und Seminaren (6 ECTS). Zusätzlich sind ein internationales Praktikum und der Nachweis einer dritten CEMS-Sprache verpflichtend.</t>
  </si>
  <si>
    <t>['.................... 14 3.3 Supplementary section ............................................................................................ 14 3.4 Extracurricular course programme ........................................................................... 16 3.5 Master’s thesis ......................................................................................................... 17 3.6 Module descriptions ................................................................................................. 18 3.6.1 Core and Advanced Section International Management ....................................... 18 3.6.2 Specialisation Section International Management ................................................. 51 3.6.3 Supplementary Section International Management ............................................... 53 3.6.4 Master Thesis International Management ........................................................... 119 --- Page 5 --- Valid for students of the ER 2015 (enrolment for winter semester 2020/21 at the latest) INERNATIONAL MANAGEMENT (CEM S MIM) - MASTER OF SCIENCE 5 1 Master in International Management (CEMS MIM) The Master in International Management (CEMS MIM) prepares students for the challenges of international competition. The aim of the programme is for students to gradually amass a profound knowledge of the subjects covered as well as acquiring social skills and the ability to seamlessly transfer research findings into practice. Cooperation in and with in', 'ointernship &amp; language requirement •Nofurther requirements regarding ECTS &amp; timeMIM Programme vs. CEMS Curriculum •66 ECTS in total •Nomaster thesis •CEMS requirements (min. ECTS, timing …)Seminars (6 ECTS)Business Project (15 ECTS)Core Courses &amp; Electives (min. 45 ECTS incl. 5 ECTS in Hard Skills) International Internship CEMS Language 3 --- Page 17 --- University ofCologne | Faculty ofManagement, Economics andSocial Sciences Today’s ideas . Tomorrow’s impact . 17 Sample Study Plan --- Page 18 --- University ofCologne | Faculty ofManagement, Economics andSocial Sciences Today’s ideas . Tomorrow’s impact . 18 Sample Study Plan –continued --- Page 19 --- University ofCologne | Faculty ofManagement, Economics andSocial Sciences Today’s ideas . Tomorrow’s impact . 19 The WiSo Faculty offers extracurricular modules for Master students. Participation is optional: https://wiso.uni -koeln.de/en/studies/master/extracurricular -modules The full course programme can be found in KLIPS under "Extracurriculare Angebote " (currently in German only). Note: •these modules do not influence your overall grade. They do, however, appear on your transcript of records •language courses offered here cannot be accredited for CEMS language 3, as they don’t fulfil the requirementsExtracurricular Modules --- Page 20 --- University ofCologne | Faculty ofManagement, Economics andSocial Sciences Today’s ideas . Tomorrow’s impact . 20 CEMS MIM Programme Information CEMS MIM Programme Term Abroad Informatio', '............. 13 3.3 Supplementary section ................................ ................................ ........................... 14 3.4 Extracurricular course programme ................................ ................................ .......... 18 3.5 Master’s thesis ................................ ................................ ................................ .......18 3.6 Modu le descriptions ................................ ................................ ............................... 20 3.6.1 Core Section (CEMS Exclusives) ................................ ................................ ......... 20 3.6.2 Specialisation Section International Management (CEMS Exclusives) ................. 26 3.6.3 Supplementary Section International Management ................................ .............. 33 3.6.4 Master Thesis in International Management ................................ ....................... 186 --- Page 5 --- valid for students of the ER 2021 (enrolment fr om winter semester 2021/22 ) INTERNATIONAL MANAGEMENT - MASTER OF SCIENCE 5 1 Master’s in international management (CEMS MIM) The Master ’s Programme in International Management (CEMS MIM) prepares students for the challenges of international competition. The aim of the programme is for students to gradually amass a profound knowledge of the subjects covered as well as acquiring social skills and the ability to seamlessly transfer research findings into practice. Cooperation in and with intercul- t', '.................... ........ 19 3.5 Master’s Thesis ................................ ................................ ................................ ......19 3.6 Modu le Descriptions ................................ ................................ ............................... 21 3.6.1 Core Section International Management (CEMS Exclusives) ............................... 21 3.6.2 Specialisation Section International Management (CEMS Exclusives) ................. 28 3.6.3 Supplementary Section International Management ................................ .............. 35 3.6.4 Master Thesis in Interna tional Management ................................ ....................... 189 --- Page 5 --- valid for students of the ER 2021 (enrolment fr om winter semester 2021/22 ) INTERNATIONAL MANAGEMENT - MASTER OF SCIENCE 5 1 Master’s in International Management (CEMS MIM) The Master ’s Programme in International Management (CEMS MIM) prepares students for the challenges of international competition. The aim of the programme is for students to gradually amass a profound knowledge of the subjects covered as well as acquiring social skills and the ability to seamlessly transfer research findings into practice. Cooperation in and with intercul- tural teams plays a pivotal role on the programme, and the focus is on a career in a multina- tional or global compan y or institution. In line with these objectives, the programme has an international outlook and places a strong emphasis on ap', 'es) ................................................................. 11 3.3 Ergänzungsbereich ................................................................................................... 12 3.4 Extracurriculare Angebote ........................................................................................ 15 3.5 Masterarbeit ............................................................................................................. 16 3.6 Modulbeschreibungen ............................................................................................. 17 3.6.1 Basisbereich (CEMS Exclusives) .......................................................................... 17 3.6.2 Schwerpunktbereich (CEMS Exclusives) .............................................................. 22 3.6.3 Ergänzungsbereich ................................................................................................ 28 3.6.4 Masterarbeit ......................................................................................................... 175 --- Page 5 --- Gültig für Studierende der PO 2021 (Einschreibung ab WiSe 2021/22) INTERNATIONAL MANAGEMENT - MASTER OF SCIENCE 1 1 Master in International Management (CEMS MIM) Der Master in International Management (CEMS MIM) bereitet Studierende auf die Heraus- forderungen eines internationalen Wettbewerbs vor. Ziel des Studiums ist der konsekutive Aufbau von fundierten wissenschaftlichen Fachkenntnissen in Kombination mit sozialen Kompetenzen un']</t>
  </si>
  <si>
    <t>['file://D:/Uni-Köln/Masterarbeit/Software/uzk-masterarbeit/data/pdf_cache/__wiso.uni-koeln.de_sites_fakultaet_dokumente_downloads_Modulhandbuecher_Studienjahr_22-23_MHB_PO2015_m_mhb_po2015_e_intmanagement.pdf', 'file://D:/Uni-Köln/Masterarbeit/Software/uzk-masterarbeit/data/pdf_cache/__wiso.uni-koeln.de_sites_fakultaet_dokumente_downloads_master_Master_Welcome_MIM.pdf', 'file://D:/Uni-Köln/Masterarbeit/Software/uzk-masterarbeit/data/pdf_cache/__wiso.uni-koeln.de_sites_fakultaet_dokumente_downloads_master_Studienjahr_24-25_m_mhb_po2021_e_intmanagement.pdf', 'file://D:/Uni-Köln/Masterarbeit/Software/uzk-masterarbeit/data/pdf_cache/__wiso.uni-koeln.de_sites_fakultaet_dokumente_downloads_Modulhandbuecher_Master_MHB_aktuelles_Studienjahr_m_module_catalogue_intmanagement_po2021.pdf', 'file://D:/Uni-Köln/Masterarbeit/Software/uzk-masterarbeit/data/pdf_cache/__wiso.uni-koeln.de_sites_fakultaet_dokumente_downloads_Modulhandbuecher_Studienjahr_22-23_MHB_PO2021_m_mhb_po2021_intmanagement.pdf']</t>
  </si>
  <si>
    <t>MIM-Programm
120 ECTS
Core-Bereich
International Management
Spezialisierungsbereich
Applied International Management
Zusätzlicher Bereich
Business
Economics
Auslandssemester
Masterarbeit 15 ECTS
Verpflichtende Praktika
Zusätzliche Sprachauflagen
gesonderte formale Vorgaben
ECTS-Verteilung
Regelstudienzeit
CEMS Curriculum 66 ECTS
Core Courses
Electives 45 ECTS
Hard Skills
Business Project 15 ECTS
Seminare 6 ECTS
Internationales Praktikum
Nachweis Dritte CEMS-Sprache</t>
  </si>
  <si>
    <t>MIM-Programm
Core-Bereich
International Management
Spezialisierungsbereich
Auslandssemester
Masterarbeit
CEMS Curriculum
66 ECTS
Core Courses
Electives
45 ECTS
Hard Skills
Business Project
15 ECTS
Seminare 6 ECTS
Internationales Praktikum
Nachweis Dritte CEMS-Sprache</t>
  </si>
  <si>
    <t>120 ECTS
Spezialisierungsbereich
Economics
Masterarbeit 15 ECTS
Verpflichtende Praktika
Zusätzliche Sprachauflagen
Gesonderte formale Vorgaben
ECTS-Verteilung
Regelstudienzeit</t>
  </si>
  <si>
    <t>Frage wurde nun präziser formuliert; Gold-Chunk teilweise gefunden</t>
  </si>
  <si>
    <t>Was umfasst das Modul „Studies Abroad in Economics III“ im M.Sc. Economics und wie funktioniert die Anerkennung der im Ausland erbrachten Leistungen?</t>
  </si>
  <si>
    <t>Das Modul "Studies Abroad in Economics III" im M.Sc. Economics umfasst die Möglichkeit, an ausländischen Hochschulen Prüfungen abzulegen und somit zusätzliches Wissen zu erwerben. Die Anerkennung der im Ausland erbrachten Leistungen erfolgt durch die Universität zu Köln, wobei individuelle Lerninhalte nur Bestandteile eines der Module Studies Abroad sein können.  Um die Anerkennung der ausländischen Leistungen zu erhalten, müssen Sie sich an die Studienberatung der WiSo-Fakultät wenden. Die Studienberatung wird Ihnen dabei helfen, Ihre Prüfungsleistungen an der ausländischen Hochschule anzuerkennen und in Ihr Studium einzubinden.  Bitte beachten Sie, dass die Anerkennung von Leistungen je nach Kurswahl und Modulvoraussetzungen variieren kann. Es ist daher wichtig, sich vorher mit der Studienberatung in Verbindung zu setzen, um sicherzustellen, dass Ihre ausländischen Prüfungsleistungen anerkannt werden können.  Wenn Sie weitere Fragen haben oder Hilfe benötigen, stehe ich Ihnen gerne zur Verfügung!</t>
  </si>
  <si>
    <t>Im Modul „Studies Abroad in Economics III“ werden Leistungen aus einem Auslandsstudium im Bereich Economics mit 6 ECTS anerkannt. Du belegst an einer ausländischen Hochschule volkswirtschaftliche Veranstaltungen auf Master-Niveau, die entweder das reguläre Modulangebot ergänzen oder das Profil inhaltlich vertiefen. Die Anerkennung erfolgt über das WiSo Credit Transfer Centre (WiSo Anrechnungszentrum), wo du einen Antrag stellen musst. Weitere Informationen zu Fristen und Ablauf erhältst du dort.</t>
  </si>
  <si>
    <t>['ligen Masterstudiengangs hinausgehen und damit zusätzliches Wissen vermitteln, erworbenes Wissen und Fähigkeiten vertiefen, der Spezialisierung oder der individuellen fachlichen Abrundung des Studiums dienen. ... ... Durch das Ablegen von Prüfungen an ausländischen Hochschulen erwerben die Studierenden eine Breite an Kenntnissen und Fähigkeiten außerhalb der Modulstruktur des Curriculums des jeweiligen Studiengangs in den oben genannten Themengebieten. Daher können individuelle Lerninhalte nur Bestandteile eines der Module Studies Abroad sein. 4 Lehr - und Lernformen 5 Modulvoraussetzungen Keine 6 Form der Modulabschlussprüfung je nach Kurswahl 7 Voraussetzungen für die Vergabe von Leistungspunkten je nach Kurswahl 8 Verwendung des Moduls (in anderen Studiengängen) Master of Science Business Administration - Marketing: Ergänzungsbereich Marketing Master of Science Business Administration - Accounting and Taxation: Ergänzungsbereich Accounting and Taxation Master of Science Business Administration - Finance: Ergänzungsbereich Finance Master of Science Business Administration - Supply Chain Management: Ergänzungsbereich Supply Chain Management Master of Science Business Administration - Corporate Development: Ergänzungsbereich Corporate Development 9 Modulbeauftragte/r Programmdirektor:in 10 Sonstige Informationen Sofern die Anerkennung dieses Moduls beantragt werden soll, existiert ein standardisiertes Anerkennungsverfahren. Informationen über die Kursanerkennung (Fristen und', 'r der individuellen fachlichen Abrundung des Studiums dienen. ... ... Durch das Ablegen von Pr üfungen an ausl ändischen Hochschulen erwerben die Studierenden eine Breite an Kenntnis sen und F ähigkeiten au ßerhalb der Modulstruktur des Curriculums des jeweiligen Studiengangs in den oben genannten Themengebieten. Daher k önnen individuelle Lerninhalte nur Bestandteile eines der Module Studies Abroad sein. 4 Lehr - und Lernformen 5 Modul voraussetzungen Keine 6 Form der Modulabschlusspr üfung je nach Kurswahl 7 Voraussetzungen f ür die Vergabe von Leistungspunkten je nach Kurswahl 8 Verwendung des Moduls (in anderen Studieng ängen) Master of Science Economics: Ergänzungsbereich Management &amp; Social Sciences 9 Modulbeauftragte/r Programmdirektor:in 10 Sonstige Informationen Sofern die Anerkennung dieses Moduls beantragt werden soll, existiert ein standardisiertes Anerkennungsverfahren. Informationen über die Kursanerkennung (Fristen und Verfahren) stellt das Anrechnungszentrum zur Verf ügung (WiSo Anrechnungszentrum: https://www.anrechnungwiso.uni - koeln.de/). Dieses Modul kann auch im Rahmen eines von der WiSo -Fakult ät organisierten Academic Short Programmes besucht werden. In diesem Fall muss die vorherige Prüfungsanmeldung entsprechend den Bestimmungen der WiSo -Fakult ät durchgef ührt werden. --- Page 251 --- Gültig für Studierende der PO 2021 (Einschreibung ab WiSe 2021/22) ECONOMICS - MASTER OF SCIENCE 247 Studies Abroad III (Economics) Kennnummer 1289MESAb3 Workload 36', 'ertiefen, der Spezialisierung oder der individuellen fachlichen Abrundung des Studiums dienen. ... ... Durch das Ablegen von Prüfungen an ausländischen Hochschulen erwerben die S tudierenden eine Breite an Kenntnissen und Fähigkeiten außerhalb der Modulstruktur des Curriculums des jeweiligen Studiengangs in den oben genannten Themengebieten. Daher können individuelle Lerninhalte nur Bestandteile eines der Module Studies Abroad sein . 4 Lehr - und Lernformen je nach Kurswahl 5 Modulvoraussetzungen keine 6 Form der Modulabschlussprüfung je nach Kurswahl 7 Voraussetzungen für die Vergabe von Leistungspunkten je nach Kurswahl 8 Verwendung des Moduls (in anderen Studiengängen) Master of Science Business Administration - Marketing: Ergänzungsbereich Marketing Master of Science Business Administration - Accounting and Taxation: Ergänzungsbereich Accounting and Taxation Master of Science Business Administration - Finance: Ergänzungsb ereich Finance Master of Science Business Administration - Supply Chain Management: Ergänzungsbereich Supply Chain Management Master of Science Business Administration - Corporate Development: Ergänzungsbereich Corporate Development 9 Modulbeauftragte /r Programmdirektor:in 10 Sonstige Informationen Sofern die Anerkennung dieses Moduls beantragt werden soll, existiert ein standardisiertes Anerkennungsverfahren. Informationen über die Kursanerkennung (Fristen und Verfahren) stellt das Anrechnungszentr um zur Verfügung (WiSo Anrechnungszentrum: https://www', 'undung des Studiums dienen. ... ... Durch das Ablegen von Prüfungen an ausländischen Hochschulen erwerben die Studierenden eine Breite an Kenntnissen und Fähigkeiten außerhalb der Modulstruktur des Curriculums des jeweiligen Studiengangs in den oben genannten Themengebieten. Daher können individuelle Lerninhalte nur Bestandteile eines der Module Studies Abroad sein. 4 Lehr- und Lernformen 5 Modulvoraussetzungen Keine 6 Form der Modulabschlussprüfung je nach Kurswahl 7 Voraussetzungen für die Vergabe von Leistungspunkten je nach Kurswahl 8 Verwendung des Moduls (in anderen Studiengängen) Master of Science Business Administration - Supply Chain Management: Ergänzungsbereich Supply Chain Management Master of Science Business Administration - Accounting and Taxation: Ergänzungsbereich Accounting and Taxation Master of Science Business Administration - Finance: Ergänzungsbereich Finance Master of Science Business Administration - Marketing: Ergänzungsbereich Marketing Master of Science Business Administration - Corporate Development: Ergänzungsbereich Corporate Development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https://www.anrechnungwiso.uni-koeln.de/). Dieses Modul kann auch im Rahmen eines von der WiSo-Fakult', 'lichen Abrundung des Studiums dienen. ... ... Durch das Ablegen von P rüfungen an ausländischen Hochschulen erwerben die Studierenden eine Breite an Kenntnissen und Fähigkeiten außerhalb der Modulstruktur des Curriculums des jeweiligen Studiengangs in den oben genannten Themengebieten. Daher können individuelle Lerninhalte n ur Bestandteile eines der Module Studies Abroad sein. 4 Lehr - und Lernformen je nach Kurswahl 5 Modulvoraussetzungen Keine 6 Form der Modulabschlussprüfung je nach Kurswahl 7 Voraussetzungen für die Vergabe von Leistungspunkten je nach Kurswahl 8 Verwendung des Moduls (in anderen Studiengängen) Master of Science Business Administration - Marketing: Ergänzungsbereich Marketing Master of Science Business Administration - Accounting and Taxation: Ergänzungsbereich Accounting and Taxation Master of Science Business Administration - Finance: Ergänzungsbereich Finance Master of Science Business Administration - Supply Chain Management: Ergänzungsbereich Supply Chain Management Master of Science Business Administration - Corporate Development: Ergänzungsbereich Corporate Development 9 Modulbeauftragte/r Programmdirektor:in 10 Sonstige Informationen Sofern die Anerkennung dieses Moduls beantragt werden soll, existiert ein standardisiertes Anerkennungsverfahren. Informationen über die Kursanerkennung (Fristen und Verfahren) stellt das Anrechnungszentrum zur Verfügung (WiSo Anrechnungszentrum: https://www.anrechnungwiso.uni - koeln.de/). --- Page 222 --- Gültig fü']</t>
  </si>
  <si>
    <t>['file://D:/Uni-Köln/Masterarbeit/Software/uzk-masterarbeit/data/pdf_cache/__wiso.uni-koeln.de_sites_fakultaet_dokumente_downloads_Modulhandbuecher_Master_MHB_aktuelles_Studienjahr_m_mhb_po2021_ba_marketing.pdf', 'file://D:/Uni-Köln/Masterarbeit/Software/uzk-masterarbeit/data/pdf_cache/__wiso.uni-koeln.de_sites_fakultaet_dokumente_downloads_Modulhandbuecher_Master_MHB_aktuelles_Studienjahr_m_mhb_po2021_economics.pdf', 'file://D:/Uni-Köln/Masterarbeit/Software/uzk-masterarbeit/data/pdf_cache/__wiso.uni-koeln.de_sites_fakultaet_dokumente_downloads_Modulhandbuecher_Master_MHB_aktuelles_Studienjahr_m_mhb_po2021_ba_accounting.pdf', 'file://D:/Uni-Köln/Masterarbeit/Software/uzk-masterarbeit/data/pdf_cache/__wiso.uni-koeln.de_sites_fakultaet_dokumente_downloads_master_Aktuelle_MHB_s_m_mhb_po2021_ba_marketing_2425.pdf', 'file://D:/Uni-Köln/Masterarbeit/Software/uzk-masterarbeit/data/pdf_cache/__wiso.uni-koeln.de_sites_fakultaet_dokumente_downloads_Modulhandbuecher_Master_MHB_aktuelles_Studienjahr_m_mhb_po2021_ba_marketing.pdf']</t>
  </si>
  <si>
    <t>Modul
Studies Abroad
Economics III
Leistungen
Auslandsstudium
6 ECTS
Ausländische Hochschule
Volkswirtschaftliche Veranstaltungen
Master-Niveau
Reguläres Modulangebot
Ergänzen
Profil
Inhaltliche Vertiefung
Anerkennung
WiSo Credit Transfer Centre
WiSo Anrechnungszentrum
Antrag
Weitere Informationen
Fristen
Ablauf</t>
  </si>
  <si>
    <t>Modul
Studies Abroad
Economics III
Leistungen
6 ECTS
Ausländische Hochschule
Anerkennung
WiSo Anrechnungszentrum
Antrag
Weitere Informationen
Fristen
Ablauf</t>
  </si>
  <si>
    <t>Auslandsstudium
Volkswirtschaftliche Veranstaltungen
Master-Niveau
Reguläres Modulangebot
Ergänzen
Profil
Inhaltliche Vertiefung
WiSo Credit Transfer Centre</t>
  </si>
  <si>
    <t>Gold-Referenz nicht gefunden, aber relevantes Dokument</t>
  </si>
  <si>
    <t>Welche Zugangsvoraussetzungen und fachlichen Anforderungen gelten für den Masterstudiengang Business Administration Marketing an der Universität zu Köln?</t>
  </si>
  <si>
    <t>Basierend auf den Suchergebnissen können wir folgende Informationen über die Zugangsvoraussetzungen und fachlichen Anforderungen für den Masterstudiengang Business Administration Marketing an der Universität zu Köln zusammenfassen:  * Der Masterstudiengang Business Administration Marketing ist Teil des Masterprogramms Business Administration, das von der Universität zu Köln angeboten wird. * Die Zugangsvoraussetzungen für den Masterstudiengang Business Administration Marketing sind:  + Ein abgeschlossenes Bachelorstudium in einem wirtschaftswissenschaftlichen oder verwandten Fach  + Eine mindestens zweijährige Berufserfahrung (optional)  + Eine gute Englischkenntnis (TOEFL-Test oder IELTS-Zertifikat) * Die fachlichen Anforderungen für den Masterstudiengang Business Administration Marketing sind:  + Kenntnisse in Marktforschung, Kund/innen- und Markenmanagement  + Verständnis von Unternehmenswerten, Compliance und Social Responsibility  + Fähigkeit zur marktorientierten Unternehmensführung  Es ist wichtig zu beachten, dass die genauen Anforderungen je nach Semester oder Studienjahr variieren können. Es wird empfohlen, sich direkt an der Universität zu wenden oder auf den offiziellen Webseiten der Universität zu informieren.  Ich hoffe, diese Informationen helfen dir weiter! Wenn du weitere Fragen hast, stehe ich gerne zur Verfügung.</t>
  </si>
  <si>
    <t>Für den Masterstudiengang Business Administration – Marketing brauchst du einen Bachelorabschluss oder einen gleichwertigen Abschluss im Umfang von mindestens 180 ECTS in Business Administration oder Economics, eine starke Ausprägung in quantitativen Methoden und eine Abschlussnote von mindestens 2,7 (deutsche Note). Außerdem musst du mindestens 78 ECTS in Business Administration und Economics nachweisen, davon mindestens 48 ECTS in Business Administration und mindestens 18 ECTS in Economics. Zusätzlich werden mindestens 15 ECTS in Statistik und/oder Mathematik sowie Englischkenntnisse auf dem Niveau B2 des Gemeinsamen Europäischen Referenzrahmens verlangt. Die erfolgreiche Teilnahme an einem Zulassungstest (TM-WISO oder GMAT) wird darüber hinaus dringend empfohlen.</t>
  </si>
  <si>
    <t>['…………………………………………… 9 § 6 Zulassungs- / Ablehnungsbescheid ……………………………………………………… 10 § 7 Rücknahme, Widerruf ……………………………………………………………………… 10 § 8 Zulassungsausschuss …………………………………………………………………… ... 11 § 9 Inkrafttreten, Veröffentlichung …………………………………………………………… . 12 Anhang Auswahlkriterien ……………………………………………………………………… 14 --- Page 5 --- 5 § 1 Anwendungsbereich Diese Ordnung regelt den Zugang und die Zulassung zu den Masterstudiengängen Business Administration Accounting and Taxation, Business Administration Finance, Business Administration Corporate Development, Business Administration Marketing, Business Administration Supply Chain Management, Economics, Information Systems, Political Science, Sociology: Social and Economic Psychology, Sociology: Social Research sowie Business Analytics and Econometrics der Wirtschafts- und Sozialwissenschaftlichen Fakultät der Universität zu Köln (im Folgenden: Masterstudiengänge). § 2 Zugangsvoraussetzungen (1) 1Zugangsvoraussetzung für die Masterstudiengänge, auch bei einer Bewerbung in ein höheres Fachsemester, ist ein erster berufsqualifizierender Abschluss in einem dem jeweiligen Masterstudiengang fachlich entsprechenden Bachelorstudiengang im Umfang von mindestens sechs Semestern, in dem mindestens 180 Leistungspunkte erworben wurden, beziehungsweise ein gleichwertiges fachlich einschlägiges abgeschlossenes Studium. 2Im Ausland erworbene Abschlüsse werden vom Zulassungsausschuss anhand der von der Zentralstelle für ausländisches Bildungswesen', 'und gefördert, um den Studierenden die Möglichkeit zu bieten, die im Masterstudium ange- eigneten Fachkenntnisse auch praxisnah umzusetzen. Absolvent/innen besitzen ein außer- gewöhnlich tief erfassendes Fundament von theoretischem W issen und typischen Hand- lungsmustern in den Bereichen der Mark tforschung, des Kund /innen- und Markenmanage- ments. Sie erkennen die Bedeutung von Unternehmenswerten, Compliance und Social Responsibility sowie die Bedeutung der marktorientierten Unternehmensf ührung . Spätere Tätigkeiten liegen bspw. in den Bereichen Customer Relationship Management, Brand Ma- nagement, Channel Management, E -Commerce, Media -Marketing von Unternehmen und öffentlichen Einrichtungen, Unternehmensberatungen und Agenturen vor. 1.2 Vora ussetzungen Zulassungsvoraussetzung für den Masterstudiengang Business Administration in der Studi- enrichtung Marketing ist ein erfolgreich abgeschlossenes Bachelorstudium, in dem mindes- tens 180 Leistungspunkte erworben wurden bzw. ein gleichwertiges, erfolgreich abgeschlos- senes Studium. Erfolgreich abgeschlossen im Sinne der Ordnung über die Zulassung für den Studiengang Business Administration in der Studienrichtung Marketing ist ein Studium, wenn die Gesamtnote mindestens 2,7 beträgt. --- Page 7 --- Gültig für Studierende der PO 2015 (Einschreibung erfolgte letztmalig zum WiSe 2020/21) BUSINESS ADMINISTRATION : MARKETING - MASTER OF SCIENCE 3 Zusätzlich müssen folgende fachlichen Kriterien durch das Bachelorstudium nachgewi', 'mens führung im Sinne einer unternehmerischen Gesamtver antwortung wahrzunehmen als auch fachlich vertiefte und spezialisierte Kompetenzprofile für Funktionsbereiche oder Branchen zu erwerben. 3Damit sollen Studierenden Flexibilität und Vielfalt bei der Ausrichtung und Gestaltung von individuellen Kompetenzprof ilen gewährt werden. 4Zu weiteren beruflichen Perspektiven zählen auch Tätigkeiten in Forschung und akademischer Lehre. 5Studierende erwerben die Kompetenz, Fragen und Probleme in den genannten Tätigkeitsbereichen und Fachgebieten theoriegeleitet zu reflek tieren und methodengeleitet rational begründete, auf individuelle und kollektive Bedürfnisse abgestimmte Konzepte und Lösungen zu entwickeln und umzusetzen. 5Das Studium vermittelt die Fähigkeit und die Bereitschaft, sich durch eigene Weiterbildung den aktuellen Stand der wissenschaftlichen Erkenntnis und berufs praktische V orgehensweisen anzueignen. (2) Die Wirtschafts - und Sozialwissenschaftliche Fakultät der Universität zu Köln verleiht aufgrund des erfolgreichen Abschlusses des Masterstudiums den akade mischen Grad: Master of Science in Business Administration (M.Sc.). § 2 Zulassung zum Studiengang (1) Das Studium kann nur zu Beginn eines Wintersemesters aufgenommen werden. (2) Die Zulassungsvoraussetzungen und das Zulassungsverfahren sind in einer eigenen Ordnung der Wirtschafts - und Sozial wissenschaftlichen F akultät geregelt. § 3 Aufbau des Studiums und Studienumfang (1) 1Das Master studium umfasst den Erw', "on Criteria ................................ ................................ ......................... 11 --- Page 3 --- Page 3 of 11 § 1 Scope of application These regulations govern the access and admission to the m aster's programmes Business Administration Accounting and Taxation (M. Sc.), Business Administration Finance (M. Sc.), Business Administration Corporate Development (M. Sc.), Business Administration Marketing (M. Sc.), Business Administration Supply Chain Management (M. Sc.), Economics (M. Sc.), Political Science (M. A.), Information Systems (M. Sc.), Sociology : Social and Economic Psychology (M. Sc.) , Sociology: Social Research (M. Sc.) and Business Analytics and Econometrics ( M. Sc.) of the Faculty of Man agement, Economics and Social Sciences of the University of Cologne (hereinafter referred to as the master's programme s). § 2 Access requirements (1) 1It is an access requirement for the master's programme , including for applications for admission to a hig her semester, to possess a previous professionally qualifying degree [berufsqualifizierender Abschluss ] in a bachelor's programme corresponding to the respective Master's degree programme with a duration of at least six semesters in which at least 180 credit points were acquired, or to have successfully completed a relevant and equivalent professionally relevant course of study. 2Degrees acquired abroad shall be graded by the Admissions Committee on the basis of the assessment proposals published by", 'Master of Science\n\n# Master Business Administration\n\nSie studieren bereits M. Sc. Business Administration und möchten sich über Einzelheiten Ihres Master-Studiums informieren? Dann geht es auf den Seiten zum Studienaufbau weiter.\xa0\n\nAuf dieser Seite Sie alle Informationen zum Masterstudiengang Business Administration - von einem kurzen Überblick der wählbaren Spezialisierungen bis hin zu den Zugangsvoraussetzungen und dem Auswahlverfahren.\xa0\n\nDer Master in Business Administration an der Universität zu Köln bietet Ihnen ein hochspezialisiertes Programm und starke forschungs- und praxisorientierte Lehrinhalte. Die abschließende Masterarbeit kann deshalb sowohl an Forschung als auch Praxis orientieren und richtet sich so ganz nach Ihren individuellen Wünschen.\n\n## Überblick\n\nAbschluss: Master of Science\n\nDauer 4 Semester, Vollzeit\n\nBeginn: jährlich zum Wintersemester\n\nCredits: 120 ECTS\n\nSprache:\n\n- Spezialisierungen Corporate Development, Finance, Marketing, Supply Chain Management: nur Englisch\n- Spezialisierung Accounting &amp; Taxation: Deutsch und Englisch\n\nGebühren:\nNur Semesterbeitrag (ca. 300€ pro Semester inklusive Ticket für den öffentlichen Nahverkehr, siehe hier für weitere Informationen)\n\nInhalt: Erlernen und Anwenden von Methoden und Techniken moderner Datenanalyse, künstlicher Intelligenz und maschinellem Lernen, um Probleme der Betriebs- und Wirtschaftswissenschaften lösen zu können.\n\nBewerbungsfrist: 15.06. (bitte beachten Sie die abweichenden Fristen für das Double Ma']</t>
  </si>
  <si>
    <t>['file://D:/Uni-Köln/Masterarbeit/Software/uzk-masterarbeit/data/pdf_cache/__wiso.uni-koeln.de_sites_fakultaet_dokumente_downloads_master_Zulassungsordnungen_ZO_WiSoMaster_202223.pdf', 'file://D:/Uni-Köln/Masterarbeit/Software/uzk-masterarbeit/data/pdf_cache/__wiso.uni-koeln.de_sites_fakultaet_dokumente_downloads_Modulhandbuecher_Studienjahr_22-23_MHB_PO2015_m_mhb_po2015_ba_marketing.pdf', 'file://D:/Uni-Köln/Masterarbeit/Software/uzk-masterarbeit/data/pdf_cache/__wiso.uni-koeln.de_sites_fakultaet_dokumente_PA_po_po_m_business_administration.pdf', 'file://D:/Uni-Köln/Masterarbeit/Software/uzk-masterarbeit/data/pdf_cache/__wiso.uni-koeln.de_sites_fakultaet_dokumente_downloads_master_Zulassungsordnungen_ZO_WiSoMaster_E.pdf', 'https://wiso.uni-koeln.de/de/studium/master/master-business-administration']</t>
  </si>
  <si>
    <t>['pdf', 'pdf', 'pdf', 'pdf', 'html']</t>
  </si>
  <si>
    <t>Masterstudiengang
Business Administration Marketing
Bachelorabschluss
gleichertiger Abschluss
Umfang
180 ECTS in Business Administration
Economics
Ausprägung
Quantitative Methoden
Abschlussnote
2,7
Deutsche Note
Mindestens 78 ECTS in Business Administration und Economics
Mindestens 48 ECTS in Business Administration
Mindestens 18 ECTS in Economics
Mindestens 15 ECTS in Statistik und / oder Mathematik
Englischkenntnisse
Niveau B2
Gemeinsamer Europäischer Referenzrahmen
Teilnahme
Zulassungstest
TM-WISO
GMAT</t>
  </si>
  <si>
    <t>Masterstudiengang
Business Administration Marketing
Bachelorabschluss
gleichertiger Abschluss
Abschlussnote 2,7</t>
  </si>
  <si>
    <t>Umfang
180 ECTS in Business Administration oder Economics
Ausprägung in Quantitativen Methoden
Deutsche Note
Mindestens 78 ECTS in Business Administration und Economics
Mindestens 48 ECTS in Business Administration
Mindestens 18 ECTS in Economics
Mindestens 15 ECTS in Statistik und / oder Mathematik
Englischkenntnisse
Niveau B2
Gemeinsamer Europäischer Referenzrahmen
Teilnahme Zulassungstest
TM-WISO
GMAT</t>
  </si>
  <si>
    <t>p-Value</t>
  </si>
  <si>
    <t>gpt-4.1-mini</t>
  </si>
  <si>
    <t>min</t>
  </si>
  <si>
    <t>max</t>
  </si>
  <si>
    <t>Schwankung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</si>
</sst>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3" x14ac:knownFonts="1">
    <font>
      <sz val="11"/>
      <color theme="1"/>
      <name val="Calibri"/>
      <family val="2"/>
      <scheme val="minor"/>
    </font>
    <font>
      <b/>
      <sz val="11"/>
      <color rgb="FFFFFFFF"/>
      <name val="Calibri"/>
      <family val="2"/>
    </font>
    <font>
      <sz val="11"/>
      <color rgb="FF000000"/>
      <name val="Calibri"/>
      <family val="2"/>
      <scheme val="minor"/>
    </font>
  </fonts>
  <fills count="8">
    <fill>
      <patternFill patternType="none"/>
    </fill>
    <fill>
      <patternFill patternType="gray125"/>
    </fill>
    <fill>
      <patternFill patternType="solid">
        <fgColor rgb="FF4472C4"/>
        <bgColor rgb="FF4472C4"/>
      </patternFill>
    </fill>
    <fill>
      <patternFill patternType="solid">
        <fgColor rgb="FFFF0000"/>
        <bgColor indexed="64"/>
      </patternFill>
    </fill>
    <fill>
      <patternFill patternType="solid">
        <fgColor rgb="FF92D050"/>
        <bgColor indexed="64"/>
      </patternFill>
    </fill>
    <fill>
      <patternFill patternType="solid">
        <fgColor rgb="FFC6EFCE"/>
        <bgColor rgb="FFC6EFCE"/>
      </patternFill>
    </fill>
    <fill>
      <patternFill patternType="solid">
        <fgColor rgb="FFFFC7CE"/>
        <bgColor rgb="FFFFC7CE"/>
      </patternFill>
    </fill>
    <fill>
      <patternFill patternType="solid">
        <fgColor rgb="FFFFEB9C"/>
        <bgColor rgb="FFFFEB9C"/>
      </patternFill>
    </fill>
  </fills>
  <borders count="1">
    <border>
      <left/>
      <right/>
      <top/>
      <bottom/>
      <diagonal/>
    </border>
  </borders>
  <cellStyleXfs count="1">
    <xf numFmtId="0" fontId="0" fillId="0" borderId="0"/>
  </cellStyleXfs>
  <cellXfs count="11">
    <xf numFmtId="0" fontId="0" fillId="0" borderId="0" xfId="0"/>
    <xf numFmtId="164" fontId="0" fillId="0" borderId="0" xfId="0" applyNumberFormat="1"/>
    <xf numFmtId="0" fontId="1" fillId="2" borderId="0" xfId="0" applyFont="1" applyFill="1" applyAlignment="1">
      <alignment horizontal="center" vertical="center" wrapText="1"/>
    </xf>
    <xf numFmtId="0" fontId="0" fillId="0" borderId="0" xfId="0" applyAlignment="1">
      <alignment vertical="top" wrapText="1"/>
    </xf>
    <xf numFmtId="0" fontId="2" fillId="0" borderId="0" xfId="0" applyFont="1"/>
    <xf numFmtId="0" fontId="0" fillId="0" borderId="0" xfId="0" applyAlignment="1">
      <alignment wrapText="1"/>
    </xf>
    <xf numFmtId="0" fontId="0" fillId="3" borderId="0" xfId="0" applyFill="1"/>
    <xf numFmtId="0" fontId="0" fillId="4" borderId="0" xfId="0" applyFill="1"/>
    <xf numFmtId="164" fontId="0" fillId="5" borderId="0" xfId="0" applyNumberFormat="1" applyFill="1"/>
    <xf numFmtId="164" fontId="0" fillId="6" borderId="0" xfId="0" applyNumberFormat="1" applyFill="1"/>
    <xf numFmtId="164" fontId="0" fillId="7" borderId="0" xfId="0" applyNumberFormat="1" applyFill="1"/>
  </cellXfs>
  <cellStyles count="1">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D:\Uni-K&#246;ln\Masterarbeit\Software\uzk-masterarbeit\src\evaluation\data\Backup\qwen25_7b_validation\human_validation.xlsx" TargetMode="External"/><Relationship Id="rId1" Type="http://schemas.openxmlformats.org/officeDocument/2006/relationships/externalLinkPath" Target="human_validation.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änge"/>
      <sheetName val="Korrelationen"/>
      <sheetName val="Metriken_qwen"/>
      <sheetName val="Metriken_gpt4o-mini"/>
      <sheetName val="Metriken gpt-4.1"/>
      <sheetName val="Metriken gpt-4.1-mini"/>
      <sheetName val="Metriken_gpt5.2"/>
      <sheetName val="Human Details"/>
      <sheetName val="Human Erläuterungen"/>
      <sheetName val="LLM-As-Judge Details"/>
      <sheetName val="GPT4o-mini-Details"/>
      <sheetName val="gpt-4.1-mini-Details"/>
      <sheetName val="gpt-4.1-Details"/>
      <sheetName val="gpt-5.2-Details"/>
      <sheetName val="LLM-As-Judge Zusammenfassung"/>
    </sheetNames>
    <sheetDataSet>
      <sheetData sheetId="0"/>
      <sheetData sheetId="1"/>
      <sheetData sheetId="2"/>
      <sheetData sheetId="3"/>
      <sheetData sheetId="4"/>
      <sheetData sheetId="5"/>
      <sheetData sheetId="6"/>
      <sheetData sheetId="7">
        <row r="2">
          <cell r="J2">
            <v>1</v>
          </cell>
          <cell r="K2">
            <v>1</v>
          </cell>
          <cell r="L2">
            <v>0.68</v>
          </cell>
          <cell r="M2">
            <v>0.75</v>
          </cell>
          <cell r="N2">
            <v>0.45454545454545453</v>
          </cell>
          <cell r="O2">
            <v>1</v>
          </cell>
        </row>
        <row r="3">
          <cell r="J3">
            <v>0.5</v>
          </cell>
          <cell r="K3">
            <v>0</v>
          </cell>
          <cell r="L3">
            <v>1</v>
          </cell>
          <cell r="M3">
            <v>0</v>
          </cell>
          <cell r="N3">
            <v>0</v>
          </cell>
          <cell r="O3">
            <v>0</v>
          </cell>
        </row>
        <row r="4">
          <cell r="J4">
            <v>0.5</v>
          </cell>
          <cell r="K4">
            <v>1</v>
          </cell>
          <cell r="L4">
            <v>1</v>
          </cell>
          <cell r="M4">
            <v>0.5</v>
          </cell>
          <cell r="N4">
            <v>0.27272727272727271</v>
          </cell>
          <cell r="O4">
            <v>0.5</v>
          </cell>
        </row>
        <row r="5">
          <cell r="J5">
            <v>0.66666666666666663</v>
          </cell>
          <cell r="K5">
            <v>0.33333333333333331</v>
          </cell>
          <cell r="L5">
            <v>0.32500000000000001</v>
          </cell>
          <cell r="M5">
            <v>0.5</v>
          </cell>
          <cell r="N5">
            <v>0.33333333333333331</v>
          </cell>
          <cell r="O5">
            <v>0.5</v>
          </cell>
        </row>
        <row r="6">
          <cell r="J6">
            <v>0.9</v>
          </cell>
          <cell r="K6">
            <v>0.75</v>
          </cell>
          <cell r="L6">
            <v>1</v>
          </cell>
          <cell r="M6">
            <v>0.5</v>
          </cell>
          <cell r="N6">
            <v>0.25</v>
          </cell>
          <cell r="O6">
            <v>0.8</v>
          </cell>
        </row>
        <row r="7">
          <cell r="J7">
            <v>0.33333333333333331</v>
          </cell>
          <cell r="K7">
            <v>0</v>
          </cell>
          <cell r="L7">
            <v>0.75</v>
          </cell>
          <cell r="M7">
            <v>0.25</v>
          </cell>
          <cell r="N7">
            <v>0</v>
          </cell>
          <cell r="O7">
            <v>0.25</v>
          </cell>
        </row>
        <row r="8">
          <cell r="J8">
            <v>0.5</v>
          </cell>
          <cell r="K8">
            <v>1</v>
          </cell>
          <cell r="L8">
            <v>0.87</v>
          </cell>
          <cell r="M8">
            <v>0.75</v>
          </cell>
          <cell r="N8">
            <v>1</v>
          </cell>
          <cell r="O8">
            <v>0.75</v>
          </cell>
        </row>
        <row r="9">
          <cell r="J9">
            <v>0</v>
          </cell>
          <cell r="K9">
            <v>0</v>
          </cell>
          <cell r="L9">
            <v>0</v>
          </cell>
          <cell r="M9">
            <v>0.5</v>
          </cell>
          <cell r="N9">
            <v>0</v>
          </cell>
          <cell r="O9">
            <v>1</v>
          </cell>
        </row>
        <row r="10">
          <cell r="J10">
            <v>0</v>
          </cell>
          <cell r="K10">
            <v>0</v>
          </cell>
          <cell r="L10">
            <v>0</v>
          </cell>
          <cell r="M10">
            <v>0</v>
          </cell>
          <cell r="N10">
            <v>0</v>
          </cell>
          <cell r="O10">
            <v>0</v>
          </cell>
        </row>
        <row r="11">
          <cell r="J11">
            <v>0.66666666666666663</v>
          </cell>
          <cell r="K11">
            <v>1</v>
          </cell>
          <cell r="L11">
            <v>1</v>
          </cell>
          <cell r="M11">
            <v>0.5</v>
          </cell>
          <cell r="N11">
            <v>1</v>
          </cell>
          <cell r="O11">
            <v>1</v>
          </cell>
        </row>
        <row r="12">
          <cell r="J12">
            <v>0.7142857142857143</v>
          </cell>
          <cell r="K12">
            <v>0.4</v>
          </cell>
          <cell r="L12">
            <v>1</v>
          </cell>
          <cell r="M12">
            <v>0.5</v>
          </cell>
          <cell r="N12">
            <v>0.11428571428571428</v>
          </cell>
          <cell r="O12">
            <v>1</v>
          </cell>
        </row>
        <row r="13">
          <cell r="J13">
            <v>0</v>
          </cell>
          <cell r="K13">
            <v>0</v>
          </cell>
          <cell r="L13">
            <v>0</v>
          </cell>
          <cell r="M13">
            <v>0</v>
          </cell>
          <cell r="N13">
            <v>0</v>
          </cell>
          <cell r="O13">
            <v>0.2</v>
          </cell>
        </row>
        <row r="14">
          <cell r="J14">
            <v>0.46153846153846156</v>
          </cell>
          <cell r="K14">
            <v>0.42857142857142855</v>
          </cell>
          <cell r="L14">
            <v>0.5</v>
          </cell>
          <cell r="M14">
            <v>0.5</v>
          </cell>
          <cell r="N14">
            <v>0.65384615384615385</v>
          </cell>
          <cell r="O14">
            <v>0.75</v>
          </cell>
        </row>
        <row r="15">
          <cell r="J15">
            <v>0.4</v>
          </cell>
          <cell r="K15">
            <v>0.4</v>
          </cell>
          <cell r="L15">
            <v>0.5</v>
          </cell>
          <cell r="M15">
            <v>0.25</v>
          </cell>
          <cell r="N15">
            <v>0.6</v>
          </cell>
          <cell r="O15">
            <v>0.75</v>
          </cell>
        </row>
        <row r="16">
          <cell r="J16">
            <v>0.25</v>
          </cell>
          <cell r="K16">
            <v>0.3</v>
          </cell>
          <cell r="L16">
            <v>0.91666666666666663</v>
          </cell>
          <cell r="M16">
            <v>0.25</v>
          </cell>
          <cell r="N16">
            <v>0.26315789473684209</v>
          </cell>
          <cell r="O16">
            <v>0.25</v>
          </cell>
        </row>
      </sheetData>
      <sheetData sheetId="8"/>
      <sheetData sheetId="9"/>
      <sheetData sheetId="10"/>
      <sheetData sheetId="11">
        <row r="2">
          <cell r="J2">
            <v>0.94444444444444442</v>
          </cell>
          <cell r="K2">
            <v>1</v>
          </cell>
          <cell r="L2">
            <v>0.47777777776185187</v>
          </cell>
          <cell r="M2">
            <v>0.69174534625042605</v>
          </cell>
          <cell r="N2">
            <v>0.1111111109876543</v>
          </cell>
          <cell r="O2">
            <v>0.84578900131503387</v>
          </cell>
        </row>
        <row r="3">
          <cell r="J3">
            <v>0.5</v>
          </cell>
          <cell r="K3">
            <v>0</v>
          </cell>
          <cell r="L3">
            <v>0</v>
          </cell>
          <cell r="M3">
            <v>0.68219252845269107</v>
          </cell>
          <cell r="N3">
            <v>0</v>
          </cell>
          <cell r="O3">
            <v>0</v>
          </cell>
        </row>
        <row r="4">
          <cell r="J4">
            <v>0.83333333333333337</v>
          </cell>
          <cell r="K4">
            <v>1</v>
          </cell>
          <cell r="L4">
            <v>0.99999999995</v>
          </cell>
          <cell r="M4">
            <v>0.71741346021913099</v>
          </cell>
          <cell r="N4">
            <v>0.79999999919999998</v>
          </cell>
          <cell r="O4">
            <v>0</v>
          </cell>
        </row>
        <row r="5">
          <cell r="J5">
            <v>0.8</v>
          </cell>
          <cell r="K5">
            <v>0</v>
          </cell>
          <cell r="L5">
            <v>0.19999999998000001</v>
          </cell>
          <cell r="M5">
            <v>0.77592699340364291</v>
          </cell>
          <cell r="N5">
            <v>0.44444444395061722</v>
          </cell>
          <cell r="O5">
            <v>0.87199182957967969</v>
          </cell>
        </row>
        <row r="6">
          <cell r="J6">
            <v>0.6</v>
          </cell>
          <cell r="K6">
            <v>0</v>
          </cell>
          <cell r="L6">
            <v>0.99999999989999999</v>
          </cell>
          <cell r="M6">
            <v>0.54732096792325347</v>
          </cell>
          <cell r="N6">
            <v>0.77777777691358019</v>
          </cell>
          <cell r="O6">
            <v>0.79382326567130201</v>
          </cell>
        </row>
        <row r="7">
          <cell r="J7">
            <v>1</v>
          </cell>
          <cell r="K7">
            <v>1</v>
          </cell>
          <cell r="L7">
            <v>0</v>
          </cell>
          <cell r="M7">
            <v>0.86740094111044419</v>
          </cell>
          <cell r="N7">
            <v>0.19999999960000001</v>
          </cell>
          <cell r="O7">
            <v>0.90361799764373485</v>
          </cell>
        </row>
        <row r="8">
          <cell r="J8">
            <v>0.83333333333333337</v>
          </cell>
          <cell r="K8">
            <v>1</v>
          </cell>
          <cell r="L8">
            <v>0.8666666666377778</v>
          </cell>
          <cell r="M8">
            <v>0.88175794034474853</v>
          </cell>
          <cell r="N8">
            <v>0.99999999500000003</v>
          </cell>
          <cell r="O8">
            <v>0.96393741104571706</v>
          </cell>
        </row>
        <row r="9">
          <cell r="J9">
            <v>0</v>
          </cell>
          <cell r="K9">
            <v>0</v>
          </cell>
          <cell r="L9">
            <v>0</v>
          </cell>
          <cell r="M9">
            <v>0.76584728450071693</v>
          </cell>
          <cell r="N9">
            <v>0</v>
          </cell>
          <cell r="O9">
            <v>0.96368457269512253</v>
          </cell>
        </row>
        <row r="10">
          <cell r="J10">
            <v>0</v>
          </cell>
          <cell r="K10">
            <v>0.2857142857142857</v>
          </cell>
          <cell r="L10">
            <v>0</v>
          </cell>
          <cell r="M10">
            <v>0.67507926277689445</v>
          </cell>
          <cell r="N10">
            <v>0</v>
          </cell>
          <cell r="O10">
            <v>0</v>
          </cell>
        </row>
        <row r="11">
          <cell r="J11">
            <v>0.55555555555555558</v>
          </cell>
          <cell r="K11">
            <v>1</v>
          </cell>
          <cell r="L11">
            <v>0.33333333329999998</v>
          </cell>
          <cell r="M11">
            <v>0.85285397946863595</v>
          </cell>
          <cell r="N11">
            <v>0.1249999999479167</v>
          </cell>
          <cell r="O11">
            <v>0</v>
          </cell>
        </row>
        <row r="12">
          <cell r="J12">
            <v>0.9285714285714286</v>
          </cell>
          <cell r="K12">
            <v>0.8</v>
          </cell>
          <cell r="L12">
            <v>0.83333333329166659</v>
          </cell>
          <cell r="M12">
            <v>0.71745191536450648</v>
          </cell>
          <cell r="N12">
            <v>0</v>
          </cell>
          <cell r="O12">
            <v>0.97927291860309695</v>
          </cell>
        </row>
        <row r="13">
          <cell r="J13">
            <v>0</v>
          </cell>
          <cell r="K13">
            <v>0</v>
          </cell>
          <cell r="L13">
            <v>0</v>
          </cell>
          <cell r="M13">
            <v>0.57422403734337246</v>
          </cell>
          <cell r="N13">
            <v>0</v>
          </cell>
          <cell r="O13">
            <v>0</v>
          </cell>
        </row>
        <row r="14">
          <cell r="J14">
            <v>0.53846153846153844</v>
          </cell>
          <cell r="K14">
            <v>0.6</v>
          </cell>
          <cell r="L14">
            <v>0.83333333329166659</v>
          </cell>
          <cell r="M14">
            <v>0.89307463717486524</v>
          </cell>
          <cell r="N14">
            <v>0.21052631567867039</v>
          </cell>
          <cell r="O14">
            <v>0</v>
          </cell>
        </row>
        <row r="15">
          <cell r="J15">
            <v>0.89473684210526316</v>
          </cell>
          <cell r="K15">
            <v>0.66666666666666663</v>
          </cell>
          <cell r="L15">
            <v>0.80555555552870362</v>
          </cell>
          <cell r="M15">
            <v>0.87738409874872403</v>
          </cell>
          <cell r="N15">
            <v>0</v>
          </cell>
          <cell r="O15">
            <v>0</v>
          </cell>
        </row>
        <row r="16">
          <cell r="J16">
            <v>0.2857142857142857</v>
          </cell>
          <cell r="K16">
            <v>1</v>
          </cell>
          <cell r="L16">
            <v>0.47777777776185187</v>
          </cell>
          <cell r="M16">
            <v>0.85351900611722364</v>
          </cell>
          <cell r="N16">
            <v>0.66666666444444445</v>
          </cell>
          <cell r="O16">
            <v>0</v>
          </cell>
        </row>
      </sheetData>
      <sheetData sheetId="12"/>
      <sheetData sheetId="13"/>
      <sheetData sheetId="14"/>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6"/>
  <sheetViews>
    <sheetView tabSelected="1" workbookViewId="0">
      <selection activeCell="H12" sqref="H12"/>
    </sheetView>
  </sheetViews>
  <sheetFormatPr baseColWidth="10" defaultColWidth="9.140625" defaultRowHeight="15" x14ac:dyDescent="0.25"/>
  <cols>
    <col min="1" max="1" width="20" bestFit="1" customWidth="1"/>
    <col min="7" max="7" width="12" bestFit="1" customWidth="1"/>
    <col min="8" max="8" width="12" customWidth="1"/>
    <col min="9" max="9" width="12.140625" bestFit="1" customWidth="1"/>
    <col min="10" max="10" width="28.5703125" bestFit="1" customWidth="1"/>
    <col min="11" max="11" width="32.42578125" bestFit="1" customWidth="1"/>
  </cols>
  <sheetData>
    <row r="1" spans="1:15" x14ac:dyDescent="0.25">
      <c r="A1" t="s">
        <v>155</v>
      </c>
    </row>
    <row r="3" spans="1:15" x14ac:dyDescent="0.25">
      <c r="B3" t="s">
        <v>0</v>
      </c>
      <c r="C3" t="s">
        <v>1</v>
      </c>
      <c r="D3" t="s">
        <v>2</v>
      </c>
      <c r="E3" t="s">
        <v>156</v>
      </c>
      <c r="F3" t="s">
        <v>157</v>
      </c>
      <c r="G3" t="s">
        <v>158</v>
      </c>
      <c r="I3" t="s">
        <v>3</v>
      </c>
      <c r="K3" t="s">
        <v>14</v>
      </c>
      <c r="L3" t="s">
        <v>15</v>
      </c>
      <c r="M3" t="s">
        <v>154</v>
      </c>
    </row>
    <row r="4" spans="1:15" x14ac:dyDescent="0.25">
      <c r="A4" t="s">
        <v>4</v>
      </c>
      <c r="B4">
        <v>0.66156887149880883</v>
      </c>
      <c r="C4">
        <v>0.66799120282793023</v>
      </c>
      <c r="D4">
        <v>0.66501745244038668</v>
      </c>
      <c r="E4">
        <f>MIN(B4:D4)</f>
        <v>0.66156887149880883</v>
      </c>
      <c r="F4">
        <f>MAX(B4:D4)</f>
        <v>0.66799120282793023</v>
      </c>
      <c r="G4">
        <f>(F4-E4)*100</f>
        <v>0.64223313291214001</v>
      </c>
      <c r="I4">
        <f>AVERAGE(B4:D4)</f>
        <v>0.66485917558904195</v>
      </c>
      <c r="J4" t="s">
        <v>4</v>
      </c>
      <c r="K4">
        <v>0.53558362800000003</v>
      </c>
      <c r="L4">
        <f>PEARSON('[1]Human Details'!$J$2:$J$16, '[1]gpt-4.1-mini-Details'!$J$2:$J$16)</f>
        <v>0.73322697783828605</v>
      </c>
      <c r="M4">
        <f>_xlfn.T.TEST('Human Details'!J2:J16, 'gpt-4.1-mini Details'!J2:J16,2,1)</f>
        <v>7.955926097945934E-2</v>
      </c>
    </row>
    <row r="5" spans="1:15" x14ac:dyDescent="0.25">
      <c r="A5" t="s">
        <v>5</v>
      </c>
      <c r="B5">
        <v>0.62444581280788181</v>
      </c>
      <c r="C5">
        <v>0.62875615763546799</v>
      </c>
      <c r="D5">
        <v>0.64269293924466342</v>
      </c>
      <c r="E5">
        <f t="shared" ref="E5:E12" si="0">MIN(B5:D5)</f>
        <v>0.62444581280788181</v>
      </c>
      <c r="F5">
        <f t="shared" ref="F5:F12" si="1">MAX(B5:D5)</f>
        <v>0.64269293924466342</v>
      </c>
      <c r="G5">
        <f t="shared" ref="G5:G12" si="2">(F5-E5)*100</f>
        <v>1.8247126436781613</v>
      </c>
      <c r="I5">
        <f t="shared" ref="I5:I12" si="3">AVERAGE(B5:D5)</f>
        <v>0.63196496989600448</v>
      </c>
      <c r="J5" t="s">
        <v>5</v>
      </c>
      <c r="K5">
        <v>0.58594568300000005</v>
      </c>
      <c r="L5">
        <f>PEARSON('[1]Human Details'!$K$2:$K$16, '[1]gpt-4.1-mini-Details'!$K$2:$K$16)</f>
        <v>0.56215486685579941</v>
      </c>
      <c r="M5">
        <f>_xlfn.T.TEST('Human Details'!K2:K16, 'gpt-4.1-mini Details'!K2:K16,2,1)</f>
        <v>0.28661464799529518</v>
      </c>
    </row>
    <row r="6" spans="1:15" x14ac:dyDescent="0.25">
      <c r="A6" t="s">
        <v>6</v>
      </c>
      <c r="B6">
        <v>0.62411398464630641</v>
      </c>
      <c r="C6">
        <v>0.60958937195351914</v>
      </c>
      <c r="D6">
        <v>0.62180316089191245</v>
      </c>
      <c r="E6">
        <f t="shared" si="0"/>
        <v>0.60958937195351914</v>
      </c>
      <c r="F6">
        <f t="shared" si="1"/>
        <v>0.62411398464630641</v>
      </c>
      <c r="G6">
        <f t="shared" si="2"/>
        <v>1.4524612692787264</v>
      </c>
      <c r="I6">
        <f t="shared" si="3"/>
        <v>0.61850217249724604</v>
      </c>
      <c r="J6" t="s">
        <v>6</v>
      </c>
      <c r="K6">
        <v>0.503276689</v>
      </c>
      <c r="L6">
        <f>PEARSON('[1]Human Details'!$L$2:$L$16, '[1]gpt-4.1-mini-Details'!$L$2:$L$16)</f>
        <v>0.55107579992168187</v>
      </c>
      <c r="M6">
        <f>_xlfn.T.TEST('Human Details'!L2:L16, 'gpt-4.1-mini Details'!L2:L16,2,1)</f>
        <v>8.4748450378080487E-2</v>
      </c>
    </row>
    <row r="7" spans="1:15" x14ac:dyDescent="0.25">
      <c r="A7" t="s">
        <v>7</v>
      </c>
      <c r="B7">
        <v>0.75828297912577958</v>
      </c>
      <c r="C7">
        <v>0.75907000002583747</v>
      </c>
      <c r="D7">
        <v>0.75907000002583747</v>
      </c>
      <c r="E7">
        <f t="shared" si="0"/>
        <v>0.75828297912577958</v>
      </c>
      <c r="F7">
        <f t="shared" si="1"/>
        <v>0.75907000002583747</v>
      </c>
      <c r="G7">
        <f t="shared" si="2"/>
        <v>7.8702090005788872E-2</v>
      </c>
      <c r="I7">
        <f t="shared" si="3"/>
        <v>0.7588076597258181</v>
      </c>
      <c r="J7" t="s">
        <v>7</v>
      </c>
      <c r="K7">
        <v>0.24528230000000001</v>
      </c>
      <c r="L7">
        <f>PEARSON('[1]Human Details'!$M$2:$M$16, '[1]gpt-4.1-mini-Details'!$M$2:$M$16)</f>
        <v>0.26938296177516874</v>
      </c>
      <c r="M7">
        <f>_xlfn.T.TEST('Human Details'!M2:M16, 'gpt-4.1-mini Details'!M2:M16,2,1)</f>
        <v>3.3677965720193662E-5</v>
      </c>
    </row>
    <row r="8" spans="1:15" x14ac:dyDescent="0.25">
      <c r="A8" t="s">
        <v>8</v>
      </c>
      <c r="B8">
        <v>0.27292447328324371</v>
      </c>
      <c r="C8">
        <v>0.27443562678310868</v>
      </c>
      <c r="D8">
        <v>0.26116769857053829</v>
      </c>
      <c r="E8">
        <f t="shared" si="0"/>
        <v>0.26116769857053829</v>
      </c>
      <c r="F8">
        <f t="shared" si="1"/>
        <v>0.27443562678310868</v>
      </c>
      <c r="G8">
        <f t="shared" si="2"/>
        <v>1.326792821257039</v>
      </c>
      <c r="I8">
        <f t="shared" si="3"/>
        <v>0.26950926621229687</v>
      </c>
      <c r="J8" t="s">
        <v>8</v>
      </c>
      <c r="K8">
        <v>0.40351567199999999</v>
      </c>
      <c r="L8">
        <f>PEARSON('[1]Human Details'!$N$2:$N$16, '[1]gpt-4.1-mini-Details'!$N$2:$N$16)</f>
        <v>0.36082995651787875</v>
      </c>
      <c r="M8">
        <f>_xlfn.T.TEST('Human Details'!N2:N16, 'gpt-4.1-mini Details'!N2:N16,2,1)</f>
        <v>0.6988549756964495</v>
      </c>
    </row>
    <row r="9" spans="1:15" x14ac:dyDescent="0.25">
      <c r="A9" t="s">
        <v>9</v>
      </c>
      <c r="B9">
        <v>0.59892572244511921</v>
      </c>
      <c r="C9">
        <v>0.60156607463450995</v>
      </c>
      <c r="D9">
        <v>0.59534114766573121</v>
      </c>
      <c r="E9">
        <f t="shared" si="0"/>
        <v>0.59534114766573121</v>
      </c>
      <c r="F9">
        <f t="shared" si="1"/>
        <v>0.60156607463450995</v>
      </c>
      <c r="G9">
        <f t="shared" si="2"/>
        <v>0.62249269687787434</v>
      </c>
      <c r="I9">
        <f t="shared" si="3"/>
        <v>0.59861098158178683</v>
      </c>
      <c r="J9" t="s">
        <v>9</v>
      </c>
      <c r="K9">
        <v>0.44812488099999997</v>
      </c>
      <c r="L9">
        <f>PEARSON('[1]Human Details'!$O$2:$O$16, '[1]gpt-4.1-mini-Details'!$O$2:$O$16)</f>
        <v>0.46513087562715405</v>
      </c>
      <c r="M9">
        <f>_xlfn.T.TEST('Human Details'!O2:O16, 'gpt-4.1-mini Details'!O2:O16,2,1)</f>
        <v>0.17697202988021674</v>
      </c>
    </row>
    <row r="10" spans="1:15" x14ac:dyDescent="0.25">
      <c r="A10" t="s">
        <v>10</v>
      </c>
      <c r="B10">
        <v>0.3466954022988506</v>
      </c>
      <c r="C10">
        <v>0.3466954022988506</v>
      </c>
      <c r="D10">
        <v>0.3466954022988506</v>
      </c>
      <c r="E10">
        <f t="shared" si="0"/>
        <v>0.3466954022988506</v>
      </c>
      <c r="F10">
        <f t="shared" si="1"/>
        <v>0.3466954022988506</v>
      </c>
      <c r="G10">
        <f t="shared" si="2"/>
        <v>0</v>
      </c>
      <c r="I10">
        <f t="shared" si="3"/>
        <v>0.3466954022988506</v>
      </c>
    </row>
    <row r="11" spans="1:15" x14ac:dyDescent="0.25">
      <c r="A11" t="s">
        <v>11</v>
      </c>
      <c r="B11">
        <v>0.50862068965517238</v>
      </c>
      <c r="C11">
        <v>0.50862068965517238</v>
      </c>
      <c r="D11">
        <v>0.50862068965517238</v>
      </c>
      <c r="E11">
        <f t="shared" si="0"/>
        <v>0.50862068965517238</v>
      </c>
      <c r="F11">
        <f t="shared" si="1"/>
        <v>0.50862068965517238</v>
      </c>
      <c r="G11">
        <f t="shared" si="2"/>
        <v>0</v>
      </c>
      <c r="I11">
        <f t="shared" si="3"/>
        <v>0.50862068965517238</v>
      </c>
    </row>
    <row r="12" spans="1:15" x14ac:dyDescent="0.25">
      <c r="A12" t="s">
        <v>12</v>
      </c>
      <c r="B12">
        <v>12.829803801816089</v>
      </c>
      <c r="C12">
        <v>12.829803801816089</v>
      </c>
      <c r="D12">
        <v>12.829803801816089</v>
      </c>
      <c r="E12">
        <f t="shared" si="0"/>
        <v>12.829803801816089</v>
      </c>
      <c r="F12">
        <f t="shared" si="1"/>
        <v>12.829803801816089</v>
      </c>
      <c r="G12">
        <f t="shared" si="2"/>
        <v>0</v>
      </c>
      <c r="I12">
        <f t="shared" si="3"/>
        <v>12.829803801816089</v>
      </c>
    </row>
    <row r="13" spans="1:15" x14ac:dyDescent="0.25">
      <c r="J13">
        <f>PEARSON('[1]Human Details'!$J$2:$J$16, '[1]gpt-4.1-mini-Details'!$J$2:$J$16)</f>
        <v>0.73322697783828605</v>
      </c>
      <c r="K13">
        <f>PEARSON('[1]Human Details'!$K$2:$K$16, '[1]gpt-4.1-mini-Details'!$K$2:$K$16)</f>
        <v>0.56215486685579941</v>
      </c>
      <c r="L13">
        <f>PEARSON('[1]Human Details'!$L$2:$L$16, '[1]gpt-4.1-mini-Details'!$L$2:$L$16)</f>
        <v>0.55107579992168187</v>
      </c>
      <c r="M13">
        <f>PEARSON('[1]Human Details'!$M$2:$M$16, '[1]gpt-4.1-mini-Details'!$M$2:$M$16)</f>
        <v>0.26938296177516874</v>
      </c>
      <c r="N13">
        <f>PEARSON('[1]Human Details'!$N$2:$N$16, '[1]gpt-4.1-mini-Details'!$N$2:$N$16)</f>
        <v>0.36082995651787875</v>
      </c>
      <c r="O13">
        <f>PEARSON('[1]Human Details'!$O$2:$O$16, '[1]gpt-4.1-mini-Details'!$O$2:$O$16)</f>
        <v>0.46513087562715405</v>
      </c>
    </row>
    <row r="15" spans="1:15" x14ac:dyDescent="0.25">
      <c r="A15" t="s">
        <v>13</v>
      </c>
    </row>
    <row r="17" spans="1:12" x14ac:dyDescent="0.25">
      <c r="B17" t="s">
        <v>0</v>
      </c>
      <c r="C17" t="s">
        <v>1</v>
      </c>
      <c r="D17" t="s">
        <v>2</v>
      </c>
      <c r="I17" t="s">
        <v>3</v>
      </c>
      <c r="J17" t="s">
        <v>14</v>
      </c>
      <c r="K17" t="s">
        <v>15</v>
      </c>
      <c r="L17" t="s">
        <v>154</v>
      </c>
    </row>
    <row r="18" spans="1:12" x14ac:dyDescent="0.25">
      <c r="A18" t="s">
        <v>4</v>
      </c>
      <c r="B18">
        <v>0.64263006338899198</v>
      </c>
      <c r="C18">
        <v>0.6349362780778709</v>
      </c>
      <c r="D18">
        <v>0.63637490981240996</v>
      </c>
      <c r="I18">
        <f>AVERAGE(B18:D18)</f>
        <v>0.63798041709309095</v>
      </c>
      <c r="J18">
        <f>0.57370678</f>
        <v>0.57370677999999997</v>
      </c>
      <c r="K18">
        <f>0.65302115</f>
        <v>0.65302115000000005</v>
      </c>
      <c r="L18">
        <f>_xlfn.T.TEST('Human Details'!J2:J16, 'qwen Details'!J2:J16,2,1)</f>
        <v>0.58633549650252292</v>
      </c>
    </row>
    <row r="19" spans="1:12" x14ac:dyDescent="0.25">
      <c r="A19" t="s">
        <v>5</v>
      </c>
      <c r="B19">
        <v>0.68697722567287778</v>
      </c>
      <c r="C19">
        <v>0.69513546798029557</v>
      </c>
      <c r="D19">
        <v>0.69039408866995067</v>
      </c>
      <c r="I19">
        <f t="shared" ref="I19:I26" si="4">AVERAGE(B19:D19)</f>
        <v>0.69083559410770812</v>
      </c>
      <c r="J19">
        <f>0.74415851</f>
        <v>0.74415851</v>
      </c>
      <c r="K19">
        <f>0.73529279</f>
        <v>0.73529279000000003</v>
      </c>
      <c r="L19">
        <f>_xlfn.T.TEST('Human Details'!K2:K16, 'qwen Details'!K2:K16,2,1)</f>
        <v>0.26913217146835622</v>
      </c>
    </row>
    <row r="20" spans="1:12" x14ac:dyDescent="0.25">
      <c r="A20" t="s">
        <v>6</v>
      </c>
      <c r="B20">
        <v>0.71522946857201253</v>
      </c>
      <c r="C20">
        <v>0.71342193483896665</v>
      </c>
      <c r="D20">
        <v>0.71805555552915978</v>
      </c>
      <c r="I20">
        <f t="shared" si="4"/>
        <v>0.71556898631337962</v>
      </c>
      <c r="J20">
        <f>0.22305764</f>
        <v>0.22305764</v>
      </c>
      <c r="K20">
        <f>0.41218722</f>
        <v>0.41218722000000002</v>
      </c>
      <c r="L20">
        <f>_xlfn.T.TEST('Human Details'!L2:L16, 'qwen Details'!L2:L16,2,1)</f>
        <v>0.27693847083527001</v>
      </c>
    </row>
    <row r="21" spans="1:12" x14ac:dyDescent="0.25">
      <c r="A21" t="s">
        <v>7</v>
      </c>
      <c r="B21">
        <v>0.76445786427386186</v>
      </c>
      <c r="C21">
        <v>0.76511235363239083</v>
      </c>
      <c r="D21">
        <v>0.76511235363239083</v>
      </c>
      <c r="I21">
        <f t="shared" si="4"/>
        <v>0.7648941905128811</v>
      </c>
      <c r="J21">
        <f>0.04769378</f>
        <v>4.7693779999999998E-2</v>
      </c>
      <c r="K21">
        <f>0.14385935</f>
        <v>0.14385935</v>
      </c>
      <c r="L21">
        <f>_xlfn.T.TEST('Human Details'!M2:M16, 'qwen Details'!M2:M16,2,1)</f>
        <v>5.6580739129754563E-5</v>
      </c>
    </row>
    <row r="22" spans="1:12" x14ac:dyDescent="0.25">
      <c r="A22" t="s">
        <v>8</v>
      </c>
      <c r="B22">
        <v>0.112832086749091</v>
      </c>
      <c r="C22">
        <v>0.1131720922855138</v>
      </c>
      <c r="D22">
        <v>0.1134833949669467</v>
      </c>
      <c r="I22">
        <f t="shared" si="4"/>
        <v>0.11316252466718384</v>
      </c>
      <c r="J22">
        <f>0.45819723</f>
        <v>0.45819723000000001</v>
      </c>
      <c r="K22">
        <v>0.16880377899999999</v>
      </c>
      <c r="L22">
        <f>_xlfn.T.TEST('Human Details'!N2:N16, 'qwen Details'!N2:N16,2,1)</f>
        <v>2.8623459880346407E-2</v>
      </c>
    </row>
    <row r="23" spans="1:12" x14ac:dyDescent="0.25">
      <c r="A23" t="s">
        <v>9</v>
      </c>
      <c r="B23">
        <v>0.53499107956067182</v>
      </c>
      <c r="C23">
        <v>0.53717342066995044</v>
      </c>
      <c r="D23">
        <v>0.53762223812016963</v>
      </c>
      <c r="I23">
        <f t="shared" si="4"/>
        <v>0.53659557945026393</v>
      </c>
      <c r="J23">
        <f>-0.14656358</f>
        <v>-0.14656358</v>
      </c>
      <c r="K23">
        <f>0.37830878</f>
        <v>0.37830878000000001</v>
      </c>
      <c r="L23">
        <f>_xlfn.T.TEST('Human Details'!O2:O16, 'qwen Details'!O2:O16,2,1)</f>
        <v>0.26703064066801963</v>
      </c>
    </row>
    <row r="24" spans="1:12" x14ac:dyDescent="0.25">
      <c r="A24" t="s">
        <v>10</v>
      </c>
      <c r="B24">
        <v>0.31057971014492758</v>
      </c>
      <c r="C24">
        <v>0.31652298850574712</v>
      </c>
      <c r="D24">
        <v>0.31652298850574712</v>
      </c>
      <c r="I24">
        <f t="shared" si="4"/>
        <v>0.31454189571880725</v>
      </c>
    </row>
    <row r="25" spans="1:12" x14ac:dyDescent="0.25">
      <c r="A25" t="s">
        <v>11</v>
      </c>
      <c r="B25">
        <v>0.46086956521739131</v>
      </c>
      <c r="C25">
        <v>0.46551724137931028</v>
      </c>
      <c r="D25">
        <v>0.46551724137931028</v>
      </c>
      <c r="I25">
        <f t="shared" si="4"/>
        <v>0.46396801599200393</v>
      </c>
    </row>
    <row r="26" spans="1:12" x14ac:dyDescent="0.25">
      <c r="A26" t="s">
        <v>12</v>
      </c>
      <c r="B26">
        <v>11.52793571223383</v>
      </c>
      <c r="C26">
        <v>11.658797385363741</v>
      </c>
      <c r="D26">
        <v>11.658797385363741</v>
      </c>
      <c r="I26">
        <f t="shared" si="4"/>
        <v>11.615176827653769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60C7C-68E4-49C0-9EBF-53BB29289959}">
  <dimension ref="A1:Z16"/>
  <sheetViews>
    <sheetView topLeftCell="G1" workbookViewId="0">
      <selection activeCell="L2" sqref="L2"/>
    </sheetView>
  </sheetViews>
  <sheetFormatPr baseColWidth="10" defaultRowHeight="15" x14ac:dyDescent="0.25"/>
  <cols>
    <col min="1" max="1" width="8" customWidth="1"/>
    <col min="2" max="2" width="20" customWidth="1"/>
    <col min="3" max="3" width="12" customWidth="1"/>
    <col min="4" max="4" width="50" customWidth="1"/>
    <col min="5" max="5" width="60" customWidth="1"/>
    <col min="6" max="6" width="50" customWidth="1"/>
    <col min="7" max="7" width="40" customWidth="1"/>
    <col min="8" max="8" width="30" customWidth="1"/>
    <col min="9" max="9" width="20" customWidth="1"/>
    <col min="10" max="11" width="13" customWidth="1"/>
    <col min="12" max="12" width="15" customWidth="1"/>
    <col min="13" max="13" width="17" customWidth="1"/>
    <col min="14" max="14" width="20" customWidth="1"/>
    <col min="15" max="15" width="18" customWidth="1"/>
    <col min="16" max="17" width="10" customWidth="1"/>
    <col min="18" max="18" width="12" customWidth="1"/>
    <col min="19" max="19" width="15" customWidth="1"/>
  </cols>
  <sheetData>
    <row r="1" spans="1:26" ht="90" x14ac:dyDescent="0.25">
      <c r="A1" s="2" t="s">
        <v>16</v>
      </c>
      <c r="B1" s="2" t="s">
        <v>17</v>
      </c>
      <c r="C1" s="2" t="s">
        <v>18</v>
      </c>
      <c r="D1" s="2" t="s">
        <v>19</v>
      </c>
      <c r="E1" s="2" t="s">
        <v>20</v>
      </c>
      <c r="F1" s="2" t="s">
        <v>21</v>
      </c>
      <c r="G1" s="2" t="s">
        <v>22</v>
      </c>
      <c r="H1" s="2" t="s">
        <v>23</v>
      </c>
      <c r="I1" s="2" t="s">
        <v>24</v>
      </c>
      <c r="J1" s="2" t="s">
        <v>4</v>
      </c>
      <c r="K1" s="2" t="s">
        <v>5</v>
      </c>
      <c r="L1" s="2" t="s">
        <v>6</v>
      </c>
      <c r="M1" s="2" t="s">
        <v>7</v>
      </c>
      <c r="N1" s="2" t="s">
        <v>8</v>
      </c>
      <c r="O1" s="2" t="s">
        <v>9</v>
      </c>
      <c r="P1" s="2" t="s">
        <v>25</v>
      </c>
      <c r="Q1" s="2" t="s">
        <v>26</v>
      </c>
      <c r="R1" s="2" t="s">
        <v>12</v>
      </c>
      <c r="S1" s="2" t="s">
        <v>27</v>
      </c>
      <c r="T1" s="2" t="s">
        <v>28</v>
      </c>
      <c r="U1" s="2" t="s">
        <v>29</v>
      </c>
      <c r="V1" s="2" t="s">
        <v>30</v>
      </c>
      <c r="W1" s="2" t="s">
        <v>31</v>
      </c>
      <c r="X1" s="2" t="s">
        <v>32</v>
      </c>
      <c r="Y1" s="2" t="s">
        <v>33</v>
      </c>
      <c r="Z1" s="2" t="s">
        <v>34</v>
      </c>
    </row>
    <row r="2" spans="1:26" ht="409.5" x14ac:dyDescent="0.25">
      <c r="A2">
        <v>1</v>
      </c>
      <c r="B2" t="s">
        <v>35</v>
      </c>
      <c r="C2" t="s">
        <v>36</v>
      </c>
      <c r="D2" s="3" t="s">
        <v>37</v>
      </c>
      <c r="E2" s="3" t="s">
        <v>38</v>
      </c>
      <c r="F2" s="3" t="s">
        <v>39</v>
      </c>
      <c r="G2" s="3" t="s">
        <v>40</v>
      </c>
      <c r="H2" t="s">
        <v>41</v>
      </c>
      <c r="I2" t="s">
        <v>42</v>
      </c>
      <c r="J2" s="1">
        <v>1</v>
      </c>
      <c r="K2">
        <v>1</v>
      </c>
      <c r="L2">
        <v>0.68</v>
      </c>
      <c r="M2">
        <v>0.75</v>
      </c>
      <c r="N2">
        <f>IFERROR(X2/(X2+Y2), 0)</f>
        <v>0.45454545454545453</v>
      </c>
      <c r="O2">
        <v>1</v>
      </c>
      <c r="P2">
        <v>0</v>
      </c>
      <c r="Q2">
        <v>0</v>
      </c>
      <c r="R2">
        <v>45.547114849090583</v>
      </c>
      <c r="S2">
        <v>5</v>
      </c>
      <c r="T2">
        <v>45.547114849090583</v>
      </c>
      <c r="U2" t="s">
        <v>43</v>
      </c>
      <c r="V2" t="s">
        <v>44</v>
      </c>
      <c r="W2" t="s">
        <v>45</v>
      </c>
      <c r="X2">
        <v>5</v>
      </c>
      <c r="Y2">
        <v>6</v>
      </c>
      <c r="Z2" t="s">
        <v>46</v>
      </c>
    </row>
    <row r="3" spans="1:26" ht="409.5" x14ac:dyDescent="0.25">
      <c r="A3">
        <v>8</v>
      </c>
      <c r="B3" t="s">
        <v>35</v>
      </c>
      <c r="C3" t="s">
        <v>47</v>
      </c>
      <c r="D3" s="3" t="s">
        <v>48</v>
      </c>
      <c r="E3" s="3" t="s">
        <v>49</v>
      </c>
      <c r="F3" s="3" t="s">
        <v>50</v>
      </c>
      <c r="G3" s="3" t="s">
        <v>51</v>
      </c>
      <c r="H3" t="s">
        <v>52</v>
      </c>
      <c r="I3" t="s">
        <v>53</v>
      </c>
      <c r="J3" s="1">
        <v>0.5</v>
      </c>
      <c r="K3">
        <v>0</v>
      </c>
      <c r="L3">
        <v>1</v>
      </c>
      <c r="M3">
        <v>0</v>
      </c>
      <c r="N3">
        <f t="shared" ref="N3:N16" si="0">IFERROR(X3/(X3+Y3), 0)</f>
        <v>0</v>
      </c>
      <c r="O3">
        <v>0</v>
      </c>
      <c r="P3">
        <v>0</v>
      </c>
      <c r="Q3">
        <v>0</v>
      </c>
      <c r="R3">
        <v>10.010499954223629</v>
      </c>
      <c r="S3">
        <v>5</v>
      </c>
      <c r="T3">
        <v>10.010499954223629</v>
      </c>
      <c r="Z3" t="s">
        <v>54</v>
      </c>
    </row>
    <row r="4" spans="1:26" ht="409.5" x14ac:dyDescent="0.25">
      <c r="A4">
        <v>11</v>
      </c>
      <c r="B4" t="s">
        <v>55</v>
      </c>
      <c r="C4" t="s">
        <v>36</v>
      </c>
      <c r="D4" s="3" t="s">
        <v>56</v>
      </c>
      <c r="E4" s="3" t="s">
        <v>57</v>
      </c>
      <c r="F4" s="3" t="s">
        <v>58</v>
      </c>
      <c r="G4" s="3" t="s">
        <v>59</v>
      </c>
      <c r="H4" t="s">
        <v>60</v>
      </c>
      <c r="I4" t="s">
        <v>61</v>
      </c>
      <c r="J4" s="1">
        <f>0.5</f>
        <v>0.5</v>
      </c>
      <c r="K4">
        <v>1</v>
      </c>
      <c r="L4">
        <v>1</v>
      </c>
      <c r="M4">
        <v>0.5</v>
      </c>
      <c r="N4">
        <f t="shared" si="0"/>
        <v>0.27272727272727271</v>
      </c>
      <c r="O4">
        <v>0.5</v>
      </c>
      <c r="P4">
        <v>0.5</v>
      </c>
      <c r="Q4">
        <v>1</v>
      </c>
      <c r="R4">
        <v>9.4738509654998779</v>
      </c>
      <c r="S4">
        <v>5</v>
      </c>
      <c r="T4">
        <v>9.4738509654998779</v>
      </c>
      <c r="U4" s="4" t="s">
        <v>62</v>
      </c>
      <c r="V4" s="4" t="s">
        <v>63</v>
      </c>
      <c r="X4">
        <v>3</v>
      </c>
      <c r="Y4">
        <v>8</v>
      </c>
    </row>
    <row r="5" spans="1:26" ht="409.5" x14ac:dyDescent="0.25">
      <c r="A5">
        <v>17</v>
      </c>
      <c r="B5" t="s">
        <v>64</v>
      </c>
      <c r="C5" t="s">
        <v>65</v>
      </c>
      <c r="D5" s="3" t="s">
        <v>66</v>
      </c>
      <c r="E5" s="3" t="s">
        <v>67</v>
      </c>
      <c r="F5" s="3" t="s">
        <v>68</v>
      </c>
      <c r="G5" s="3" t="s">
        <v>69</v>
      </c>
      <c r="H5" t="s">
        <v>70</v>
      </c>
      <c r="I5" t="s">
        <v>71</v>
      </c>
      <c r="J5" s="1">
        <f>2/3</f>
        <v>0.66666666666666663</v>
      </c>
      <c r="K5">
        <f>3/9</f>
        <v>0.33333333333333331</v>
      </c>
      <c r="L5">
        <v>0.32500000000000001</v>
      </c>
      <c r="M5">
        <v>0.5</v>
      </c>
      <c r="N5">
        <f t="shared" si="0"/>
        <v>0.33333333333333331</v>
      </c>
      <c r="O5">
        <v>0.5</v>
      </c>
      <c r="P5">
        <v>0.5</v>
      </c>
      <c r="Q5">
        <v>1</v>
      </c>
      <c r="R5">
        <v>7.7230634689331046</v>
      </c>
      <c r="S5">
        <v>5</v>
      </c>
      <c r="T5">
        <v>7.7230634689331046</v>
      </c>
      <c r="U5" t="s">
        <v>72</v>
      </c>
      <c r="V5" t="s">
        <v>73</v>
      </c>
      <c r="W5" t="s">
        <v>74</v>
      </c>
      <c r="X5">
        <v>3</v>
      </c>
      <c r="Y5">
        <v>6</v>
      </c>
      <c r="Z5" t="s">
        <v>75</v>
      </c>
    </row>
    <row r="6" spans="1:26" ht="409.5" x14ac:dyDescent="0.25">
      <c r="A6">
        <v>20</v>
      </c>
      <c r="B6" t="s">
        <v>64</v>
      </c>
      <c r="C6" t="s">
        <v>47</v>
      </c>
      <c r="D6" s="3" t="s">
        <v>76</v>
      </c>
      <c r="E6" s="3" t="s">
        <v>77</v>
      </c>
      <c r="F6" s="3" t="s">
        <v>78</v>
      </c>
      <c r="G6" s="3" t="s">
        <v>79</v>
      </c>
      <c r="H6" t="s">
        <v>80</v>
      </c>
      <c r="I6" t="s">
        <v>71</v>
      </c>
      <c r="J6" s="1">
        <v>0.9</v>
      </c>
      <c r="K6">
        <v>0.75</v>
      </c>
      <c r="L6">
        <v>1</v>
      </c>
      <c r="M6">
        <v>0.5</v>
      </c>
      <c r="N6">
        <v>0.25</v>
      </c>
      <c r="O6">
        <v>0.8</v>
      </c>
      <c r="P6">
        <v>1</v>
      </c>
      <c r="Q6">
        <v>1</v>
      </c>
      <c r="R6">
        <v>8.7654869556427002</v>
      </c>
      <c r="S6">
        <v>5</v>
      </c>
      <c r="T6">
        <v>8.7654869556427002</v>
      </c>
      <c r="Z6" s="5" t="s">
        <v>81</v>
      </c>
    </row>
    <row r="7" spans="1:26" ht="409.5" x14ac:dyDescent="0.25">
      <c r="A7">
        <v>30</v>
      </c>
      <c r="B7" t="s">
        <v>82</v>
      </c>
      <c r="C7" t="s">
        <v>65</v>
      </c>
      <c r="D7" s="3" t="s">
        <v>83</v>
      </c>
      <c r="E7" s="3" t="s">
        <v>84</v>
      </c>
      <c r="F7" s="3" t="s">
        <v>85</v>
      </c>
      <c r="G7" s="3" t="s">
        <v>86</v>
      </c>
      <c r="H7" t="s">
        <v>87</v>
      </c>
      <c r="I7" t="s">
        <v>88</v>
      </c>
      <c r="J7" s="1">
        <f>2/6</f>
        <v>0.33333333333333331</v>
      </c>
      <c r="K7">
        <v>0</v>
      </c>
      <c r="L7">
        <v>0.75</v>
      </c>
      <c r="M7">
        <v>0.25</v>
      </c>
      <c r="N7">
        <f t="shared" si="0"/>
        <v>0</v>
      </c>
      <c r="O7">
        <v>0.25</v>
      </c>
      <c r="P7">
        <v>0</v>
      </c>
      <c r="Q7">
        <v>0</v>
      </c>
      <c r="R7">
        <v>9.9265642166137695</v>
      </c>
      <c r="S7">
        <v>5</v>
      </c>
      <c r="T7">
        <v>9.9265642166137695</v>
      </c>
      <c r="Z7" t="s">
        <v>89</v>
      </c>
    </row>
    <row r="8" spans="1:26" ht="409.5" x14ac:dyDescent="0.25">
      <c r="A8">
        <v>33</v>
      </c>
      <c r="B8" t="s">
        <v>90</v>
      </c>
      <c r="C8" t="s">
        <v>65</v>
      </c>
      <c r="D8" s="3" t="s">
        <v>91</v>
      </c>
      <c r="E8" s="3" t="s">
        <v>92</v>
      </c>
      <c r="F8" s="3" t="s">
        <v>93</v>
      </c>
      <c r="G8" s="3" t="s">
        <v>94</v>
      </c>
      <c r="H8" t="s">
        <v>95</v>
      </c>
      <c r="I8" t="s">
        <v>71</v>
      </c>
      <c r="J8" s="1">
        <v>0.5</v>
      </c>
      <c r="K8">
        <v>1</v>
      </c>
      <c r="L8">
        <v>0.87</v>
      </c>
      <c r="M8">
        <v>0.75</v>
      </c>
      <c r="N8">
        <v>1</v>
      </c>
      <c r="O8">
        <v>0.75</v>
      </c>
      <c r="P8">
        <v>0.2</v>
      </c>
      <c r="Q8">
        <v>1</v>
      </c>
      <c r="R8">
        <v>8.1560134887695313</v>
      </c>
      <c r="S8">
        <v>5</v>
      </c>
      <c r="T8">
        <v>8.1560134887695313</v>
      </c>
    </row>
    <row r="9" spans="1:26" ht="409.5" x14ac:dyDescent="0.25">
      <c r="A9">
        <v>34</v>
      </c>
      <c r="B9" t="s">
        <v>90</v>
      </c>
      <c r="C9" t="s">
        <v>36</v>
      </c>
      <c r="D9" s="3" t="s">
        <v>96</v>
      </c>
      <c r="E9" s="3" t="s">
        <v>97</v>
      </c>
      <c r="F9" s="3" t="s">
        <v>98</v>
      </c>
      <c r="G9" s="3" t="s">
        <v>99</v>
      </c>
      <c r="H9" t="s">
        <v>100</v>
      </c>
      <c r="I9" t="s">
        <v>42</v>
      </c>
      <c r="J9" s="1">
        <v>0</v>
      </c>
      <c r="K9">
        <v>0</v>
      </c>
      <c r="L9">
        <v>0</v>
      </c>
      <c r="M9">
        <v>0.5</v>
      </c>
      <c r="N9">
        <v>0</v>
      </c>
      <c r="O9">
        <v>1</v>
      </c>
      <c r="P9">
        <v>0.33333333333333331</v>
      </c>
      <c r="Q9">
        <v>1</v>
      </c>
      <c r="R9">
        <v>11.905722618103029</v>
      </c>
      <c r="S9">
        <v>5</v>
      </c>
      <c r="T9">
        <v>11.905722618103029</v>
      </c>
    </row>
    <row r="10" spans="1:26" ht="409.5" x14ac:dyDescent="0.25">
      <c r="A10">
        <v>64</v>
      </c>
      <c r="B10" t="s">
        <v>101</v>
      </c>
      <c r="C10" t="s">
        <v>36</v>
      </c>
      <c r="D10" s="3" t="s">
        <v>102</v>
      </c>
      <c r="E10" s="3" t="s">
        <v>103</v>
      </c>
      <c r="F10" s="3" t="s">
        <v>104</v>
      </c>
      <c r="G10" s="3" t="s">
        <v>105</v>
      </c>
      <c r="H10" t="s">
        <v>106</v>
      </c>
      <c r="I10" t="s">
        <v>61</v>
      </c>
      <c r="J10" s="1">
        <v>0</v>
      </c>
      <c r="K10">
        <v>0</v>
      </c>
      <c r="L10">
        <v>0</v>
      </c>
      <c r="M10">
        <v>0</v>
      </c>
      <c r="N10">
        <f t="shared" si="0"/>
        <v>0</v>
      </c>
      <c r="O10">
        <v>0</v>
      </c>
      <c r="P10">
        <v>0</v>
      </c>
      <c r="Q10">
        <v>0</v>
      </c>
      <c r="R10">
        <v>19.49518513679504</v>
      </c>
      <c r="S10">
        <v>5</v>
      </c>
      <c r="T10">
        <v>19.49518513679504</v>
      </c>
    </row>
    <row r="11" spans="1:26" ht="409.5" x14ac:dyDescent="0.25">
      <c r="A11">
        <v>65</v>
      </c>
      <c r="B11" t="s">
        <v>101</v>
      </c>
      <c r="C11" t="s">
        <v>47</v>
      </c>
      <c r="D11" s="3" t="s">
        <v>107</v>
      </c>
      <c r="E11" s="3" t="s">
        <v>108</v>
      </c>
      <c r="F11" s="3" t="s">
        <v>109</v>
      </c>
      <c r="G11" s="3" t="s">
        <v>110</v>
      </c>
      <c r="H11" t="s">
        <v>111</v>
      </c>
      <c r="I11" t="s">
        <v>112</v>
      </c>
      <c r="J11" s="1">
        <f>4/6</f>
        <v>0.66666666666666663</v>
      </c>
      <c r="K11">
        <v>1</v>
      </c>
      <c r="L11">
        <v>1</v>
      </c>
      <c r="M11">
        <v>0.5</v>
      </c>
      <c r="N11">
        <v>1</v>
      </c>
      <c r="O11">
        <v>1</v>
      </c>
      <c r="P11">
        <v>1</v>
      </c>
      <c r="Q11">
        <v>1</v>
      </c>
      <c r="R11">
        <v>10.89683628082275</v>
      </c>
      <c r="S11">
        <v>5</v>
      </c>
      <c r="T11">
        <v>10.89683628082275</v>
      </c>
    </row>
    <row r="12" spans="1:26" ht="409.5" x14ac:dyDescent="0.25">
      <c r="A12">
        <v>84</v>
      </c>
      <c r="B12" t="s">
        <v>90</v>
      </c>
      <c r="C12" t="s">
        <v>36</v>
      </c>
      <c r="D12" s="3" t="s">
        <v>113</v>
      </c>
      <c r="E12" s="3" t="s">
        <v>114</v>
      </c>
      <c r="F12" s="3" t="s">
        <v>115</v>
      </c>
      <c r="G12" s="3" t="s">
        <v>116</v>
      </c>
      <c r="H12" t="s">
        <v>117</v>
      </c>
      <c r="I12" t="s">
        <v>71</v>
      </c>
      <c r="J12" s="1">
        <f>5/7</f>
        <v>0.7142857142857143</v>
      </c>
      <c r="K12">
        <f>2/5</f>
        <v>0.4</v>
      </c>
      <c r="L12">
        <v>1</v>
      </c>
      <c r="M12">
        <v>0.5</v>
      </c>
      <c r="N12">
        <f>IFERROR(X12/(X12+Y12), 0)</f>
        <v>0.11428571428571428</v>
      </c>
      <c r="O12">
        <v>1</v>
      </c>
      <c r="P12" s="6">
        <v>0</v>
      </c>
      <c r="Q12" s="6">
        <v>0</v>
      </c>
      <c r="R12">
        <v>11.943759441375731</v>
      </c>
      <c r="S12">
        <v>5</v>
      </c>
      <c r="T12">
        <v>11.943759441375731</v>
      </c>
      <c r="X12">
        <v>4</v>
      </c>
      <c r="Y12">
        <v>31</v>
      </c>
      <c r="Z12" t="s">
        <v>118</v>
      </c>
    </row>
    <row r="13" spans="1:26" ht="409.5" x14ac:dyDescent="0.25">
      <c r="A13">
        <v>89</v>
      </c>
      <c r="B13" t="s">
        <v>119</v>
      </c>
      <c r="C13" t="s">
        <v>65</v>
      </c>
      <c r="D13" s="3" t="s">
        <v>120</v>
      </c>
      <c r="E13" s="3" t="s">
        <v>121</v>
      </c>
      <c r="F13" s="3" t="s">
        <v>122</v>
      </c>
      <c r="G13" s="3" t="s">
        <v>123</v>
      </c>
      <c r="H13" t="s">
        <v>124</v>
      </c>
      <c r="I13" t="s">
        <v>125</v>
      </c>
      <c r="J13" s="1">
        <v>0</v>
      </c>
      <c r="K13">
        <v>0</v>
      </c>
      <c r="L13">
        <v>0</v>
      </c>
      <c r="M13">
        <v>0</v>
      </c>
      <c r="N13">
        <f t="shared" ref="N13:N14" si="1">IFERROR(X13/(X13+Y13), 0)</f>
        <v>0</v>
      </c>
      <c r="O13">
        <v>0.2</v>
      </c>
      <c r="P13">
        <v>0</v>
      </c>
      <c r="Q13">
        <v>0</v>
      </c>
      <c r="R13">
        <v>8.4058101177215576</v>
      </c>
      <c r="S13">
        <v>5</v>
      </c>
      <c r="T13">
        <v>8.4058101177215576</v>
      </c>
      <c r="Z13" t="s">
        <v>126</v>
      </c>
    </row>
    <row r="14" spans="1:26" ht="409.5" x14ac:dyDescent="0.25">
      <c r="A14">
        <v>91</v>
      </c>
      <c r="B14" t="s">
        <v>119</v>
      </c>
      <c r="C14" t="s">
        <v>47</v>
      </c>
      <c r="D14" s="3" t="s">
        <v>127</v>
      </c>
      <c r="E14" s="3" t="s">
        <v>128</v>
      </c>
      <c r="F14" s="3" t="s">
        <v>129</v>
      </c>
      <c r="G14" s="3" t="s">
        <v>130</v>
      </c>
      <c r="H14" t="s">
        <v>131</v>
      </c>
      <c r="I14" t="s">
        <v>125</v>
      </c>
      <c r="J14" s="1">
        <f>6/13</f>
        <v>0.46153846153846156</v>
      </c>
      <c r="K14">
        <f>6/14</f>
        <v>0.42857142857142855</v>
      </c>
      <c r="L14">
        <v>0.5</v>
      </c>
      <c r="M14">
        <v>0.5</v>
      </c>
      <c r="N14">
        <f t="shared" si="1"/>
        <v>0.65384615384615385</v>
      </c>
      <c r="O14">
        <f>0.75</f>
        <v>0.75</v>
      </c>
      <c r="P14" s="7">
        <v>0.5</v>
      </c>
      <c r="Q14" s="7">
        <v>1</v>
      </c>
      <c r="R14">
        <v>14.452758550643919</v>
      </c>
      <c r="S14">
        <v>5</v>
      </c>
      <c r="T14">
        <v>14.452758550643919</v>
      </c>
      <c r="U14" s="5" t="s">
        <v>132</v>
      </c>
      <c r="V14" s="5" t="s">
        <v>133</v>
      </c>
      <c r="W14" s="5" t="s">
        <v>134</v>
      </c>
      <c r="X14">
        <v>17</v>
      </c>
      <c r="Y14">
        <v>9</v>
      </c>
      <c r="Z14" t="s">
        <v>135</v>
      </c>
    </row>
    <row r="15" spans="1:26" ht="409.5" x14ac:dyDescent="0.25">
      <c r="A15">
        <v>97</v>
      </c>
      <c r="B15" t="s">
        <v>119</v>
      </c>
      <c r="C15" t="s">
        <v>47</v>
      </c>
      <c r="D15" s="3" t="s">
        <v>136</v>
      </c>
      <c r="E15" s="3" t="s">
        <v>137</v>
      </c>
      <c r="F15" s="3" t="s">
        <v>138</v>
      </c>
      <c r="G15" s="3" t="s">
        <v>139</v>
      </c>
      <c r="H15" t="s">
        <v>140</v>
      </c>
      <c r="I15" t="s">
        <v>125</v>
      </c>
      <c r="J15" s="1">
        <f>4/10</f>
        <v>0.4</v>
      </c>
      <c r="K15">
        <f>2/5</f>
        <v>0.4</v>
      </c>
      <c r="L15">
        <f>0.5</f>
        <v>0.5</v>
      </c>
      <c r="M15">
        <v>0.25</v>
      </c>
      <c r="N15">
        <f t="shared" si="0"/>
        <v>0.6</v>
      </c>
      <c r="O15">
        <v>0.75</v>
      </c>
      <c r="P15" s="6">
        <v>0</v>
      </c>
      <c r="Q15" s="6">
        <v>0</v>
      </c>
      <c r="R15">
        <v>15.475528955459589</v>
      </c>
      <c r="S15">
        <v>5</v>
      </c>
      <c r="T15">
        <v>15.475528955459589</v>
      </c>
      <c r="U15" s="5" t="s">
        <v>141</v>
      </c>
      <c r="V15" s="5" t="s">
        <v>142</v>
      </c>
      <c r="W15" s="5" t="s">
        <v>143</v>
      </c>
      <c r="X15">
        <v>12</v>
      </c>
      <c r="Y15">
        <v>8</v>
      </c>
      <c r="Z15" s="5" t="s">
        <v>144</v>
      </c>
    </row>
    <row r="16" spans="1:26" ht="409.5" x14ac:dyDescent="0.25">
      <c r="A16">
        <v>110</v>
      </c>
      <c r="B16" t="s">
        <v>119</v>
      </c>
      <c r="C16" t="s">
        <v>65</v>
      </c>
      <c r="D16" s="3" t="s">
        <v>145</v>
      </c>
      <c r="E16" s="3" t="s">
        <v>146</v>
      </c>
      <c r="F16" s="3" t="s">
        <v>147</v>
      </c>
      <c r="G16" s="3" t="s">
        <v>148</v>
      </c>
      <c r="H16" t="s">
        <v>149</v>
      </c>
      <c r="I16" t="s">
        <v>150</v>
      </c>
      <c r="J16" s="1">
        <f>3/12</f>
        <v>0.25</v>
      </c>
      <c r="K16">
        <f>3/10</f>
        <v>0.3</v>
      </c>
      <c r="L16">
        <f>2.75/3</f>
        <v>0.91666666666666663</v>
      </c>
      <c r="M16">
        <v>0.25</v>
      </c>
      <c r="N16">
        <f t="shared" si="0"/>
        <v>0.26315789473684209</v>
      </c>
      <c r="O16">
        <v>0.25</v>
      </c>
      <c r="P16">
        <v>0</v>
      </c>
      <c r="Q16">
        <v>0</v>
      </c>
      <c r="R16">
        <v>16.019131183624271</v>
      </c>
      <c r="S16">
        <v>5</v>
      </c>
      <c r="T16">
        <v>16.019131183624271</v>
      </c>
      <c r="U16" s="5" t="s">
        <v>151</v>
      </c>
      <c r="V16" s="5" t="s">
        <v>152</v>
      </c>
      <c r="W16" s="5" t="s">
        <v>153</v>
      </c>
      <c r="X16">
        <v>5</v>
      </c>
      <c r="Y16">
        <v>14</v>
      </c>
    </row>
  </sheetData>
  <pageMargins left="0.7" right="0.7" top="0.78740157499999996" bottom="0.78740157499999996"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9FBAED-1856-40F0-9049-D3D9A87C5228}">
  <dimension ref="A1:T16"/>
  <sheetViews>
    <sheetView topLeftCell="A15" workbookViewId="0">
      <selection sqref="A1:T1048576"/>
    </sheetView>
  </sheetViews>
  <sheetFormatPr baseColWidth="10" defaultRowHeight="15" x14ac:dyDescent="0.25"/>
  <cols>
    <col min="10" max="11" width="13" customWidth="1"/>
    <col min="12" max="12" width="15" customWidth="1"/>
    <col min="13" max="13" width="17" customWidth="1"/>
    <col min="14" max="14" width="20" customWidth="1"/>
    <col min="15" max="15" width="18" customWidth="1"/>
    <col min="16" max="17" width="10" customWidth="1"/>
    <col min="18" max="18" width="12" customWidth="1"/>
    <col min="19" max="19" width="15" customWidth="1"/>
  </cols>
  <sheetData>
    <row r="1" spans="1:20" ht="45" x14ac:dyDescent="0.25">
      <c r="A1" s="2" t="s">
        <v>16</v>
      </c>
      <c r="B1" s="2" t="s">
        <v>17</v>
      </c>
      <c r="C1" s="2" t="s">
        <v>18</v>
      </c>
      <c r="D1" s="2" t="s">
        <v>19</v>
      </c>
      <c r="E1" s="2" t="s">
        <v>20</v>
      </c>
      <c r="F1" s="2" t="s">
        <v>21</v>
      </c>
      <c r="G1" s="2" t="s">
        <v>22</v>
      </c>
      <c r="H1" s="2" t="s">
        <v>23</v>
      </c>
      <c r="I1" s="2" t="s">
        <v>24</v>
      </c>
      <c r="J1" s="2" t="s">
        <v>4</v>
      </c>
      <c r="K1" s="2" t="s">
        <v>5</v>
      </c>
      <c r="L1" s="2" t="s">
        <v>6</v>
      </c>
      <c r="M1" s="2" t="s">
        <v>7</v>
      </c>
      <c r="N1" s="2" t="s">
        <v>8</v>
      </c>
      <c r="O1" s="2" t="s">
        <v>9</v>
      </c>
      <c r="P1" s="2" t="s">
        <v>25</v>
      </c>
      <c r="Q1" s="2" t="s">
        <v>26</v>
      </c>
      <c r="R1" s="2" t="s">
        <v>12</v>
      </c>
      <c r="S1" s="2" t="s">
        <v>27</v>
      </c>
      <c r="T1" s="2" t="s">
        <v>28</v>
      </c>
    </row>
    <row r="2" spans="1:20" ht="409.5" x14ac:dyDescent="0.25">
      <c r="A2">
        <v>1</v>
      </c>
      <c r="B2" t="s">
        <v>35</v>
      </c>
      <c r="C2" t="s">
        <v>36</v>
      </c>
      <c r="D2" s="3" t="s">
        <v>37</v>
      </c>
      <c r="E2" s="3" t="s">
        <v>38</v>
      </c>
      <c r="F2" s="3" t="s">
        <v>39</v>
      </c>
      <c r="G2" s="3" t="s">
        <v>40</v>
      </c>
      <c r="H2" t="s">
        <v>41</v>
      </c>
      <c r="I2" t="s">
        <v>42</v>
      </c>
      <c r="J2" s="8">
        <v>0.94444444444444442</v>
      </c>
      <c r="K2">
        <v>1</v>
      </c>
      <c r="L2">
        <v>0.47777777776185187</v>
      </c>
      <c r="M2">
        <v>0.69174534625042605</v>
      </c>
      <c r="N2">
        <v>0.1111111109876543</v>
      </c>
      <c r="O2">
        <v>0.84578900131503387</v>
      </c>
      <c r="P2">
        <v>0</v>
      </c>
      <c r="Q2">
        <v>0</v>
      </c>
      <c r="R2">
        <v>31.847076416015621</v>
      </c>
      <c r="S2">
        <v>5</v>
      </c>
      <c r="T2">
        <v>31.847076416015621</v>
      </c>
    </row>
    <row r="3" spans="1:20" ht="409.5" x14ac:dyDescent="0.25">
      <c r="A3">
        <v>8</v>
      </c>
      <c r="B3" t="s">
        <v>35</v>
      </c>
      <c r="C3" t="s">
        <v>47</v>
      </c>
      <c r="D3" s="3" t="s">
        <v>48</v>
      </c>
      <c r="E3" s="3" t="s">
        <v>49</v>
      </c>
      <c r="F3" s="3" t="s">
        <v>50</v>
      </c>
      <c r="G3" s="3" t="s">
        <v>51</v>
      </c>
      <c r="H3" t="s">
        <v>52</v>
      </c>
      <c r="I3" t="s">
        <v>53</v>
      </c>
      <c r="J3" s="9">
        <v>0.5</v>
      </c>
      <c r="K3">
        <v>0</v>
      </c>
      <c r="L3">
        <v>0</v>
      </c>
      <c r="M3">
        <v>0.68219252845269107</v>
      </c>
      <c r="N3">
        <v>0</v>
      </c>
      <c r="O3">
        <v>0</v>
      </c>
      <c r="P3">
        <v>0</v>
      </c>
      <c r="Q3">
        <v>0</v>
      </c>
      <c r="R3">
        <v>13.16566491127014</v>
      </c>
      <c r="S3">
        <v>5</v>
      </c>
      <c r="T3">
        <v>13.16566491127014</v>
      </c>
    </row>
    <row r="4" spans="1:20" ht="409.5" x14ac:dyDescent="0.25">
      <c r="A4">
        <v>11</v>
      </c>
      <c r="B4" t="s">
        <v>55</v>
      </c>
      <c r="C4" t="s">
        <v>36</v>
      </c>
      <c r="D4" s="3" t="s">
        <v>56</v>
      </c>
      <c r="E4" s="3" t="s">
        <v>57</v>
      </c>
      <c r="F4" s="3" t="s">
        <v>58</v>
      </c>
      <c r="G4" s="3" t="s">
        <v>59</v>
      </c>
      <c r="H4" t="s">
        <v>60</v>
      </c>
      <c r="I4" t="s">
        <v>61</v>
      </c>
      <c r="J4" s="8">
        <v>0.83333333333333337</v>
      </c>
      <c r="K4">
        <v>1</v>
      </c>
      <c r="L4">
        <v>0.99999999995</v>
      </c>
      <c r="M4">
        <v>0.71741346021913099</v>
      </c>
      <c r="N4">
        <v>0.79999999919999998</v>
      </c>
      <c r="O4">
        <v>0</v>
      </c>
      <c r="P4">
        <v>0.5</v>
      </c>
      <c r="Q4">
        <v>1</v>
      </c>
      <c r="R4">
        <v>10.40932035446167</v>
      </c>
      <c r="S4">
        <v>5</v>
      </c>
      <c r="T4">
        <v>10.40932035446167</v>
      </c>
    </row>
    <row r="5" spans="1:20" ht="409.5" x14ac:dyDescent="0.25">
      <c r="A5">
        <v>17</v>
      </c>
      <c r="B5" t="s">
        <v>64</v>
      </c>
      <c r="C5" t="s">
        <v>65</v>
      </c>
      <c r="D5" s="3" t="s">
        <v>66</v>
      </c>
      <c r="E5" s="3" t="s">
        <v>67</v>
      </c>
      <c r="F5" s="3" t="s">
        <v>68</v>
      </c>
      <c r="G5" s="3" t="s">
        <v>69</v>
      </c>
      <c r="H5" t="s">
        <v>70</v>
      </c>
      <c r="I5" t="s">
        <v>71</v>
      </c>
      <c r="J5" s="8">
        <v>0.8</v>
      </c>
      <c r="K5">
        <v>0</v>
      </c>
      <c r="L5">
        <v>0.19999999998000001</v>
      </c>
      <c r="M5">
        <v>0.77592699340364291</v>
      </c>
      <c r="N5">
        <v>0.44444444395061722</v>
      </c>
      <c r="O5">
        <v>0.87199182957967969</v>
      </c>
      <c r="P5">
        <v>0.5</v>
      </c>
      <c r="Q5">
        <v>1</v>
      </c>
      <c r="R5">
        <v>9.1491155624389648</v>
      </c>
      <c r="S5">
        <v>5</v>
      </c>
      <c r="T5">
        <v>9.1491155624389648</v>
      </c>
    </row>
    <row r="6" spans="1:20" ht="409.5" x14ac:dyDescent="0.25">
      <c r="A6">
        <v>20</v>
      </c>
      <c r="B6" t="s">
        <v>64</v>
      </c>
      <c r="C6" t="s">
        <v>47</v>
      </c>
      <c r="D6" s="3" t="s">
        <v>76</v>
      </c>
      <c r="E6" s="3" t="s">
        <v>77</v>
      </c>
      <c r="F6" s="3" t="s">
        <v>78</v>
      </c>
      <c r="G6" s="3" t="s">
        <v>79</v>
      </c>
      <c r="H6" t="s">
        <v>80</v>
      </c>
      <c r="I6" t="s">
        <v>71</v>
      </c>
      <c r="J6" s="10">
        <v>0.6</v>
      </c>
      <c r="K6">
        <v>0</v>
      </c>
      <c r="L6">
        <v>0.99999999989999999</v>
      </c>
      <c r="M6">
        <v>0.54732096792325347</v>
      </c>
      <c r="N6">
        <v>0.77777777691358019</v>
      </c>
      <c r="O6">
        <v>0.79382326567130201</v>
      </c>
      <c r="P6">
        <v>1</v>
      </c>
      <c r="Q6">
        <v>1</v>
      </c>
      <c r="R6">
        <v>18.27154541015625</v>
      </c>
      <c r="S6">
        <v>5</v>
      </c>
      <c r="T6">
        <v>18.27154541015625</v>
      </c>
    </row>
    <row r="7" spans="1:20" ht="409.5" x14ac:dyDescent="0.25">
      <c r="A7">
        <v>30</v>
      </c>
      <c r="B7" t="s">
        <v>82</v>
      </c>
      <c r="C7" t="s">
        <v>65</v>
      </c>
      <c r="D7" s="3" t="s">
        <v>91</v>
      </c>
      <c r="E7" s="3" t="s">
        <v>92</v>
      </c>
      <c r="F7" s="3" t="s">
        <v>93</v>
      </c>
      <c r="G7" s="3" t="s">
        <v>94</v>
      </c>
      <c r="H7" t="s">
        <v>95</v>
      </c>
      <c r="I7" t="s">
        <v>71</v>
      </c>
      <c r="J7" s="8">
        <v>1</v>
      </c>
      <c r="K7">
        <v>1</v>
      </c>
      <c r="L7">
        <v>0</v>
      </c>
      <c r="M7">
        <v>0.86740094111044419</v>
      </c>
      <c r="N7">
        <v>0.19999999960000001</v>
      </c>
      <c r="O7">
        <v>0.90361799764373485</v>
      </c>
      <c r="P7">
        <v>0</v>
      </c>
      <c r="Q7">
        <v>0</v>
      </c>
      <c r="R7">
        <v>11.04914927482605</v>
      </c>
      <c r="S7">
        <v>5</v>
      </c>
      <c r="T7">
        <v>11.04914927482605</v>
      </c>
    </row>
    <row r="8" spans="1:20" ht="409.5" x14ac:dyDescent="0.25">
      <c r="A8">
        <v>33</v>
      </c>
      <c r="B8" t="s">
        <v>90</v>
      </c>
      <c r="C8" t="s">
        <v>65</v>
      </c>
      <c r="D8" s="3" t="s">
        <v>96</v>
      </c>
      <c r="E8" s="3" t="s">
        <v>97</v>
      </c>
      <c r="F8" s="3" t="s">
        <v>98</v>
      </c>
      <c r="G8" s="3" t="s">
        <v>99</v>
      </c>
      <c r="H8" t="s">
        <v>100</v>
      </c>
      <c r="I8" t="s">
        <v>42</v>
      </c>
      <c r="J8" s="8">
        <v>0.83333333333333337</v>
      </c>
      <c r="K8">
        <v>1</v>
      </c>
      <c r="L8">
        <v>0.8666666666377778</v>
      </c>
      <c r="M8">
        <v>0.88175794034474853</v>
      </c>
      <c r="N8">
        <v>0.99999999500000003</v>
      </c>
      <c r="O8">
        <v>0.96393741104571706</v>
      </c>
      <c r="P8">
        <v>0.2</v>
      </c>
      <c r="Q8">
        <v>1</v>
      </c>
      <c r="R8">
        <v>9.1217787265777588</v>
      </c>
      <c r="S8">
        <v>5</v>
      </c>
      <c r="T8">
        <v>9.1217787265777588</v>
      </c>
    </row>
    <row r="9" spans="1:20" ht="409.5" x14ac:dyDescent="0.25">
      <c r="A9">
        <v>34</v>
      </c>
      <c r="B9" t="s">
        <v>90</v>
      </c>
      <c r="C9" t="s">
        <v>36</v>
      </c>
      <c r="D9" s="3" t="s">
        <v>102</v>
      </c>
      <c r="E9" s="3" t="s">
        <v>103</v>
      </c>
      <c r="F9" s="3" t="s">
        <v>104</v>
      </c>
      <c r="G9" s="3" t="s">
        <v>105</v>
      </c>
      <c r="H9" t="s">
        <v>106</v>
      </c>
      <c r="I9" t="s">
        <v>61</v>
      </c>
      <c r="J9" s="9">
        <v>0</v>
      </c>
      <c r="K9">
        <v>0</v>
      </c>
      <c r="L9">
        <v>0</v>
      </c>
      <c r="M9">
        <v>0.76584728450071693</v>
      </c>
      <c r="N9">
        <v>0</v>
      </c>
      <c r="O9">
        <v>0.96368457269512253</v>
      </c>
      <c r="P9">
        <v>0.33333333333333331</v>
      </c>
      <c r="Q9">
        <v>1</v>
      </c>
      <c r="R9">
        <v>16.61525297164917</v>
      </c>
      <c r="S9">
        <v>5</v>
      </c>
      <c r="T9">
        <v>16.61525297164917</v>
      </c>
    </row>
    <row r="10" spans="1:20" ht="409.5" x14ac:dyDescent="0.25">
      <c r="A10">
        <v>64</v>
      </c>
      <c r="B10" t="s">
        <v>101</v>
      </c>
      <c r="C10" t="s">
        <v>36</v>
      </c>
      <c r="D10" s="3" t="s">
        <v>107</v>
      </c>
      <c r="E10" s="3" t="s">
        <v>108</v>
      </c>
      <c r="F10" s="3" t="s">
        <v>109</v>
      </c>
      <c r="G10" s="3" t="s">
        <v>110</v>
      </c>
      <c r="H10" t="s">
        <v>111</v>
      </c>
      <c r="I10" t="s">
        <v>112</v>
      </c>
      <c r="J10" s="9">
        <v>0</v>
      </c>
      <c r="K10">
        <v>0.2857142857142857</v>
      </c>
      <c r="L10">
        <v>0</v>
      </c>
      <c r="M10">
        <v>0.67507926277689445</v>
      </c>
      <c r="N10">
        <v>0</v>
      </c>
      <c r="O10">
        <v>0</v>
      </c>
      <c r="P10">
        <v>0</v>
      </c>
      <c r="Q10">
        <v>0</v>
      </c>
      <c r="R10">
        <v>11.4879937171936</v>
      </c>
      <c r="S10">
        <v>5</v>
      </c>
      <c r="T10">
        <v>11.4879937171936</v>
      </c>
    </row>
    <row r="11" spans="1:20" ht="409.5" x14ac:dyDescent="0.25">
      <c r="A11">
        <v>65</v>
      </c>
      <c r="B11" t="s">
        <v>101</v>
      </c>
      <c r="C11" t="s">
        <v>47</v>
      </c>
      <c r="D11" s="3" t="s">
        <v>113</v>
      </c>
      <c r="E11" s="3" t="s">
        <v>114</v>
      </c>
      <c r="F11" s="3" t="s">
        <v>115</v>
      </c>
      <c r="G11" s="3" t="s">
        <v>116</v>
      </c>
      <c r="H11" t="s">
        <v>117</v>
      </c>
      <c r="I11" t="s">
        <v>71</v>
      </c>
      <c r="J11" s="9">
        <v>0.55555555555555558</v>
      </c>
      <c r="K11">
        <v>1</v>
      </c>
      <c r="L11">
        <v>0.33333333329999998</v>
      </c>
      <c r="M11">
        <v>0.85285397946863595</v>
      </c>
      <c r="N11">
        <v>0.1249999999479167</v>
      </c>
      <c r="O11">
        <v>0</v>
      </c>
      <c r="P11">
        <v>0.33333333333333331</v>
      </c>
      <c r="Q11">
        <v>1</v>
      </c>
      <c r="R11">
        <v>24.864171504974369</v>
      </c>
      <c r="S11">
        <v>5</v>
      </c>
      <c r="T11">
        <v>24.864171504974369</v>
      </c>
    </row>
    <row r="12" spans="1:20" ht="409.5" x14ac:dyDescent="0.25">
      <c r="A12">
        <v>84</v>
      </c>
      <c r="B12" t="s">
        <v>90</v>
      </c>
      <c r="C12" t="s">
        <v>36</v>
      </c>
      <c r="D12" s="3" t="s">
        <v>120</v>
      </c>
      <c r="E12" s="3" t="s">
        <v>121</v>
      </c>
      <c r="F12" s="3" t="s">
        <v>122</v>
      </c>
      <c r="G12" s="3" t="s">
        <v>123</v>
      </c>
      <c r="H12" t="s">
        <v>124</v>
      </c>
      <c r="I12" t="s">
        <v>125</v>
      </c>
      <c r="J12" s="8">
        <v>0.9285714285714286</v>
      </c>
      <c r="K12">
        <v>0.8</v>
      </c>
      <c r="L12">
        <v>0.83333333329166659</v>
      </c>
      <c r="M12">
        <v>0.71745191536450648</v>
      </c>
      <c r="N12">
        <v>0</v>
      </c>
      <c r="O12">
        <v>0.97927291860309695</v>
      </c>
      <c r="P12">
        <v>0</v>
      </c>
      <c r="Q12">
        <v>0</v>
      </c>
      <c r="R12">
        <v>16.892225980758671</v>
      </c>
      <c r="S12">
        <v>5</v>
      </c>
      <c r="T12">
        <v>16.892225980758671</v>
      </c>
    </row>
    <row r="13" spans="1:20" ht="409.5" x14ac:dyDescent="0.25">
      <c r="A13">
        <v>89</v>
      </c>
      <c r="B13" t="s">
        <v>119</v>
      </c>
      <c r="C13" t="s">
        <v>65</v>
      </c>
      <c r="D13" s="3" t="s">
        <v>127</v>
      </c>
      <c r="E13" s="3" t="s">
        <v>128</v>
      </c>
      <c r="F13" s="3" t="s">
        <v>129</v>
      </c>
      <c r="G13" s="3" t="s">
        <v>130</v>
      </c>
      <c r="H13" t="s">
        <v>131</v>
      </c>
      <c r="I13" t="s">
        <v>125</v>
      </c>
      <c r="J13" s="9">
        <v>0</v>
      </c>
      <c r="K13">
        <v>0</v>
      </c>
      <c r="L13">
        <v>0</v>
      </c>
      <c r="M13">
        <v>0.57422403734337246</v>
      </c>
      <c r="N13">
        <v>0</v>
      </c>
      <c r="O13">
        <v>0</v>
      </c>
      <c r="P13">
        <v>0</v>
      </c>
      <c r="Q13">
        <v>0</v>
      </c>
      <c r="R13">
        <v>18.279784679412838</v>
      </c>
      <c r="S13">
        <v>5</v>
      </c>
      <c r="T13">
        <v>18.279784679412838</v>
      </c>
    </row>
    <row r="14" spans="1:20" ht="409.5" x14ac:dyDescent="0.25">
      <c r="A14">
        <v>91</v>
      </c>
      <c r="B14" t="s">
        <v>119</v>
      </c>
      <c r="C14" t="s">
        <v>47</v>
      </c>
      <c r="D14" s="3" t="s">
        <v>136</v>
      </c>
      <c r="E14" s="3" t="s">
        <v>137</v>
      </c>
      <c r="F14" s="3" t="s">
        <v>138</v>
      </c>
      <c r="G14" s="3" t="s">
        <v>139</v>
      </c>
      <c r="H14" t="s">
        <v>140</v>
      </c>
      <c r="I14" t="s">
        <v>125</v>
      </c>
      <c r="J14" s="9">
        <v>0.53846153846153844</v>
      </c>
      <c r="K14">
        <v>0.6</v>
      </c>
      <c r="L14">
        <v>0.83333333329166659</v>
      </c>
      <c r="M14">
        <v>0.89307463717486524</v>
      </c>
      <c r="N14">
        <v>0.21052631567867039</v>
      </c>
      <c r="O14">
        <v>0</v>
      </c>
      <c r="P14">
        <v>1</v>
      </c>
      <c r="Q14">
        <v>1</v>
      </c>
      <c r="R14">
        <v>18.270648241043091</v>
      </c>
      <c r="S14">
        <v>5</v>
      </c>
      <c r="T14">
        <v>18.270648241043091</v>
      </c>
    </row>
    <row r="15" spans="1:20" ht="409.5" x14ac:dyDescent="0.25">
      <c r="A15">
        <v>97</v>
      </c>
      <c r="B15" t="s">
        <v>119</v>
      </c>
      <c r="C15" t="s">
        <v>47</v>
      </c>
      <c r="D15" s="3" t="s">
        <v>145</v>
      </c>
      <c r="E15" s="3" t="s">
        <v>146</v>
      </c>
      <c r="F15" s="3" t="s">
        <v>147</v>
      </c>
      <c r="G15" s="3" t="s">
        <v>148</v>
      </c>
      <c r="H15" t="s">
        <v>149</v>
      </c>
      <c r="I15" t="s">
        <v>150</v>
      </c>
      <c r="J15" s="8">
        <v>0.89473684210526316</v>
      </c>
      <c r="K15">
        <v>0.66666666666666663</v>
      </c>
      <c r="L15">
        <v>0.80555555552870362</v>
      </c>
      <c r="M15">
        <v>0.87738409874872403</v>
      </c>
      <c r="N15">
        <v>0</v>
      </c>
      <c r="O15">
        <v>0</v>
      </c>
      <c r="P15">
        <v>0.33333333333333331</v>
      </c>
      <c r="Q15">
        <v>1</v>
      </c>
      <c r="R15">
        <v>25.263578414916989</v>
      </c>
      <c r="S15">
        <v>5</v>
      </c>
      <c r="T15">
        <v>25.263578414916989</v>
      </c>
    </row>
    <row r="16" spans="1:20" ht="409.5" x14ac:dyDescent="0.25">
      <c r="A16">
        <v>110</v>
      </c>
      <c r="B16" t="s">
        <v>119</v>
      </c>
      <c r="C16" t="s">
        <v>65</v>
      </c>
      <c r="D16" s="3" t="s">
        <v>83</v>
      </c>
      <c r="E16" s="3" t="s">
        <v>84</v>
      </c>
      <c r="F16" s="3" t="s">
        <v>85</v>
      </c>
      <c r="G16" s="3" t="s">
        <v>86</v>
      </c>
      <c r="H16" t="s">
        <v>87</v>
      </c>
      <c r="I16" t="s">
        <v>88</v>
      </c>
      <c r="J16" s="9">
        <v>0.2857142857142857</v>
      </c>
      <c r="K16">
        <v>1</v>
      </c>
      <c r="L16">
        <v>0.47777777776185187</v>
      </c>
      <c r="M16">
        <v>0.85351900611722364</v>
      </c>
      <c r="N16">
        <v>0.66666666444444445</v>
      </c>
      <c r="O16">
        <v>0</v>
      </c>
      <c r="P16">
        <v>0.25</v>
      </c>
      <c r="Q16">
        <v>1</v>
      </c>
      <c r="R16">
        <v>10.780250310897831</v>
      </c>
      <c r="S16">
        <v>5</v>
      </c>
      <c r="T16">
        <v>10.780250310897831</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6E2C3-2DA4-4918-BD0E-0D015011E4D5}">
  <dimension ref="A1:T16"/>
  <sheetViews>
    <sheetView topLeftCell="G1" workbookViewId="0">
      <selection activeCell="N2" sqref="N2"/>
    </sheetView>
  </sheetViews>
  <sheetFormatPr baseColWidth="10" defaultRowHeight="15" x14ac:dyDescent="0.25"/>
  <cols>
    <col min="1" max="1" width="8" customWidth="1"/>
    <col min="2" max="2" width="20" customWidth="1"/>
    <col min="3" max="3" width="12" customWidth="1"/>
    <col min="4" max="4" width="50" customWidth="1"/>
    <col min="5" max="5" width="60" customWidth="1"/>
    <col min="6" max="6" width="50" customWidth="1"/>
    <col min="7" max="7" width="40" customWidth="1"/>
    <col min="8" max="8" width="30" customWidth="1"/>
    <col min="9" max="9" width="20" customWidth="1"/>
    <col min="10" max="11" width="13" customWidth="1"/>
    <col min="12" max="12" width="15" customWidth="1"/>
    <col min="13" max="13" width="17" customWidth="1"/>
    <col min="14" max="14" width="20" customWidth="1"/>
    <col min="15" max="15" width="21.85546875" bestFit="1" customWidth="1"/>
    <col min="16" max="17" width="10" customWidth="1"/>
    <col min="18" max="18" width="12" customWidth="1"/>
    <col min="19" max="19" width="15" customWidth="1"/>
  </cols>
  <sheetData>
    <row r="1" spans="1:20" ht="45" x14ac:dyDescent="0.25">
      <c r="A1" s="2" t="s">
        <v>16</v>
      </c>
      <c r="B1" s="2" t="s">
        <v>17</v>
      </c>
      <c r="C1" s="2" t="s">
        <v>18</v>
      </c>
      <c r="D1" s="2" t="s">
        <v>19</v>
      </c>
      <c r="E1" s="2" t="s">
        <v>20</v>
      </c>
      <c r="F1" s="2" t="s">
        <v>21</v>
      </c>
      <c r="G1" s="2" t="s">
        <v>22</v>
      </c>
      <c r="H1" s="2" t="s">
        <v>23</v>
      </c>
      <c r="I1" s="2" t="s">
        <v>24</v>
      </c>
      <c r="J1" s="2" t="s">
        <v>4</v>
      </c>
      <c r="K1" s="2" t="s">
        <v>5</v>
      </c>
      <c r="L1" s="2" t="s">
        <v>6</v>
      </c>
      <c r="M1" s="2" t="s">
        <v>7</v>
      </c>
      <c r="N1" s="2" t="s">
        <v>8</v>
      </c>
      <c r="O1" s="2" t="s">
        <v>9</v>
      </c>
      <c r="P1" s="2" t="s">
        <v>25</v>
      </c>
      <c r="Q1" s="2" t="s">
        <v>26</v>
      </c>
      <c r="R1" s="2" t="s">
        <v>12</v>
      </c>
      <c r="S1" s="2" t="s">
        <v>27</v>
      </c>
      <c r="T1" s="2" t="s">
        <v>28</v>
      </c>
    </row>
    <row r="2" spans="1:20" ht="409.5" x14ac:dyDescent="0.25">
      <c r="A2">
        <v>1</v>
      </c>
      <c r="B2" t="s">
        <v>35</v>
      </c>
      <c r="C2" t="s">
        <v>36</v>
      </c>
      <c r="D2" s="3" t="s">
        <v>37</v>
      </c>
      <c r="E2" s="3" t="s">
        <v>38</v>
      </c>
      <c r="F2" s="3" t="s">
        <v>39</v>
      </c>
      <c r="G2" s="3" t="s">
        <v>40</v>
      </c>
      <c r="H2" t="s">
        <v>41</v>
      </c>
      <c r="I2" t="s">
        <v>42</v>
      </c>
      <c r="J2" s="8">
        <v>0.8571428571428571</v>
      </c>
      <c r="K2">
        <v>1</v>
      </c>
      <c r="L2">
        <v>0.41666666664583329</v>
      </c>
      <c r="M2">
        <v>0.69174534625042605</v>
      </c>
      <c r="N2">
        <v>0.1111111109876543</v>
      </c>
      <c r="O2">
        <v>0.82932121972340545</v>
      </c>
      <c r="P2">
        <v>0</v>
      </c>
      <c r="Q2">
        <v>0</v>
      </c>
      <c r="R2">
        <v>45.547114849090583</v>
      </c>
      <c r="S2">
        <v>5</v>
      </c>
      <c r="T2">
        <v>45.547114849090583</v>
      </c>
    </row>
    <row r="3" spans="1:20" ht="409.5" x14ac:dyDescent="0.25">
      <c r="A3">
        <v>8</v>
      </c>
      <c r="B3" t="s">
        <v>35</v>
      </c>
      <c r="C3" t="s">
        <v>47</v>
      </c>
      <c r="D3" s="3" t="s">
        <v>48</v>
      </c>
      <c r="E3" s="3" t="s">
        <v>49</v>
      </c>
      <c r="F3" s="3" t="s">
        <v>50</v>
      </c>
      <c r="G3" s="3" t="s">
        <v>51</v>
      </c>
      <c r="H3" t="s">
        <v>52</v>
      </c>
      <c r="I3" t="s">
        <v>53</v>
      </c>
      <c r="J3" s="9">
        <v>0.4</v>
      </c>
      <c r="K3">
        <v>0</v>
      </c>
      <c r="L3">
        <v>0.99999999989999999</v>
      </c>
      <c r="M3">
        <v>0.71366373138551342</v>
      </c>
      <c r="N3">
        <v>0</v>
      </c>
      <c r="O3">
        <v>0</v>
      </c>
      <c r="P3">
        <v>0</v>
      </c>
      <c r="Q3">
        <v>0</v>
      </c>
      <c r="R3">
        <v>10.010499954223629</v>
      </c>
      <c r="S3">
        <v>5</v>
      </c>
      <c r="T3">
        <v>10.010499954223629</v>
      </c>
    </row>
    <row r="4" spans="1:20" ht="409.5" x14ac:dyDescent="0.25">
      <c r="A4">
        <v>11</v>
      </c>
      <c r="B4" t="s">
        <v>55</v>
      </c>
      <c r="C4" t="s">
        <v>36</v>
      </c>
      <c r="D4" s="3" t="s">
        <v>56</v>
      </c>
      <c r="E4" s="3" t="s">
        <v>57</v>
      </c>
      <c r="F4" s="3" t="s">
        <v>58</v>
      </c>
      <c r="G4" s="3" t="s">
        <v>59</v>
      </c>
      <c r="H4" t="s">
        <v>60</v>
      </c>
      <c r="I4" t="s">
        <v>61</v>
      </c>
      <c r="J4" s="9">
        <v>0.5</v>
      </c>
      <c r="K4">
        <v>1</v>
      </c>
      <c r="L4">
        <v>0.99999999996666666</v>
      </c>
      <c r="M4">
        <v>0.71741346021913099</v>
      </c>
      <c r="N4">
        <v>0.79999999919999998</v>
      </c>
      <c r="O4">
        <v>0</v>
      </c>
      <c r="P4">
        <v>0.5</v>
      </c>
      <c r="Q4">
        <v>1</v>
      </c>
      <c r="R4">
        <v>9.4738509654998779</v>
      </c>
      <c r="S4">
        <v>5</v>
      </c>
      <c r="T4">
        <v>9.4738509654998779</v>
      </c>
    </row>
    <row r="5" spans="1:20" ht="409.5" x14ac:dyDescent="0.25">
      <c r="A5">
        <v>17</v>
      </c>
      <c r="B5" t="s">
        <v>64</v>
      </c>
      <c r="C5" t="s">
        <v>65</v>
      </c>
      <c r="D5" s="3" t="s">
        <v>66</v>
      </c>
      <c r="E5" s="3" t="s">
        <v>67</v>
      </c>
      <c r="F5" s="3" t="s">
        <v>68</v>
      </c>
      <c r="G5" s="3" t="s">
        <v>69</v>
      </c>
      <c r="H5" t="s">
        <v>70</v>
      </c>
      <c r="I5" t="s">
        <v>71</v>
      </c>
      <c r="J5" s="9">
        <v>0.5</v>
      </c>
      <c r="K5">
        <v>0</v>
      </c>
      <c r="L5">
        <v>0.99999999995</v>
      </c>
      <c r="M5">
        <v>0.76307917657424806</v>
      </c>
      <c r="N5">
        <v>0.1111111109876543</v>
      </c>
      <c r="O5">
        <v>0</v>
      </c>
      <c r="P5">
        <v>0.5</v>
      </c>
      <c r="Q5">
        <v>1</v>
      </c>
      <c r="R5">
        <v>7.7230634689331046</v>
      </c>
      <c r="S5">
        <v>5</v>
      </c>
      <c r="T5">
        <v>7.7230634689331046</v>
      </c>
    </row>
    <row r="6" spans="1:20" ht="409.5" x14ac:dyDescent="0.25">
      <c r="A6">
        <v>20</v>
      </c>
      <c r="B6" t="s">
        <v>64</v>
      </c>
      <c r="C6" t="s">
        <v>47</v>
      </c>
      <c r="D6" s="3" t="s">
        <v>76</v>
      </c>
      <c r="E6" s="3" t="s">
        <v>77</v>
      </c>
      <c r="F6" s="3" t="s">
        <v>78</v>
      </c>
      <c r="G6" s="3" t="s">
        <v>79</v>
      </c>
      <c r="H6" t="s">
        <v>80</v>
      </c>
      <c r="I6" t="s">
        <v>71</v>
      </c>
      <c r="J6" s="8">
        <v>0.8</v>
      </c>
      <c r="K6">
        <v>1</v>
      </c>
      <c r="L6">
        <v>0.69999999996499995</v>
      </c>
      <c r="M6">
        <v>0.54732096792325347</v>
      </c>
      <c r="N6">
        <v>0</v>
      </c>
      <c r="O6">
        <v>0.55936743224954488</v>
      </c>
      <c r="P6">
        <v>1</v>
      </c>
      <c r="Q6">
        <v>1</v>
      </c>
      <c r="R6">
        <v>8.7654869556427002</v>
      </c>
      <c r="S6">
        <v>5</v>
      </c>
      <c r="T6">
        <v>8.7654869556427002</v>
      </c>
    </row>
    <row r="7" spans="1:20" ht="409.5" x14ac:dyDescent="0.25">
      <c r="A7">
        <v>30</v>
      </c>
      <c r="B7" t="s">
        <v>82</v>
      </c>
      <c r="C7" t="s">
        <v>65</v>
      </c>
      <c r="D7" s="3" t="s">
        <v>83</v>
      </c>
      <c r="E7" s="3" t="s">
        <v>84</v>
      </c>
      <c r="F7" s="3" t="s">
        <v>85</v>
      </c>
      <c r="G7" s="3" t="s">
        <v>86</v>
      </c>
      <c r="H7" t="s">
        <v>87</v>
      </c>
      <c r="I7" t="s">
        <v>88</v>
      </c>
      <c r="J7" s="9">
        <v>0.25</v>
      </c>
      <c r="K7">
        <v>1</v>
      </c>
      <c r="L7">
        <v>0.99999999989999999</v>
      </c>
      <c r="M7">
        <v>0.86740094111044419</v>
      </c>
      <c r="N7">
        <v>0</v>
      </c>
      <c r="O7">
        <v>0</v>
      </c>
      <c r="P7">
        <v>0</v>
      </c>
      <c r="Q7">
        <v>0</v>
      </c>
      <c r="R7">
        <v>9.9265642166137695</v>
      </c>
      <c r="S7">
        <v>5</v>
      </c>
      <c r="T7">
        <v>9.9265642166137695</v>
      </c>
    </row>
    <row r="8" spans="1:20" ht="409.5" x14ac:dyDescent="0.25">
      <c r="A8">
        <v>33</v>
      </c>
      <c r="B8" t="s">
        <v>90</v>
      </c>
      <c r="C8" t="s">
        <v>65</v>
      </c>
      <c r="D8" s="3" t="s">
        <v>91</v>
      </c>
      <c r="E8" s="3" t="s">
        <v>92</v>
      </c>
      <c r="F8" s="3" t="s">
        <v>93</v>
      </c>
      <c r="G8" s="3" t="s">
        <v>94</v>
      </c>
      <c r="H8" t="s">
        <v>95</v>
      </c>
      <c r="I8" t="s">
        <v>71</v>
      </c>
      <c r="J8" s="9">
        <v>0.33333333333333331</v>
      </c>
      <c r="K8">
        <v>1</v>
      </c>
      <c r="L8">
        <v>0.8666666666377778</v>
      </c>
      <c r="M8">
        <v>0.88175794034474853</v>
      </c>
      <c r="N8">
        <v>0.249999999375</v>
      </c>
      <c r="O8">
        <v>0.87696433281486375</v>
      </c>
      <c r="P8">
        <v>0.2</v>
      </c>
      <c r="Q8">
        <v>1</v>
      </c>
      <c r="R8">
        <v>8.1560134887695313</v>
      </c>
      <c r="S8">
        <v>5</v>
      </c>
      <c r="T8">
        <v>8.1560134887695313</v>
      </c>
    </row>
    <row r="9" spans="1:20" ht="409.5" x14ac:dyDescent="0.25">
      <c r="A9">
        <v>34</v>
      </c>
      <c r="B9" t="s">
        <v>90</v>
      </c>
      <c r="C9" t="s">
        <v>36</v>
      </c>
      <c r="D9" s="3" t="s">
        <v>96</v>
      </c>
      <c r="E9" s="3" t="s">
        <v>97</v>
      </c>
      <c r="F9" s="3" t="s">
        <v>98</v>
      </c>
      <c r="G9" s="3" t="s">
        <v>99</v>
      </c>
      <c r="H9" t="s">
        <v>100</v>
      </c>
      <c r="I9" t="s">
        <v>42</v>
      </c>
      <c r="J9" s="9">
        <v>0</v>
      </c>
      <c r="K9">
        <v>0</v>
      </c>
      <c r="L9">
        <v>0</v>
      </c>
      <c r="M9">
        <v>0.74801993950570767</v>
      </c>
      <c r="N9">
        <v>0</v>
      </c>
      <c r="O9">
        <v>0.92611321766246613</v>
      </c>
      <c r="P9">
        <v>0.33333333333333331</v>
      </c>
      <c r="Q9">
        <v>1</v>
      </c>
      <c r="R9">
        <v>11.905722618103029</v>
      </c>
      <c r="S9">
        <v>5</v>
      </c>
      <c r="T9">
        <v>11.905722618103029</v>
      </c>
    </row>
    <row r="10" spans="1:20" ht="409.5" x14ac:dyDescent="0.25">
      <c r="A10">
        <v>64</v>
      </c>
      <c r="B10" t="s">
        <v>101</v>
      </c>
      <c r="C10" t="s">
        <v>36</v>
      </c>
      <c r="D10" s="3" t="s">
        <v>102</v>
      </c>
      <c r="E10" s="3" t="s">
        <v>103</v>
      </c>
      <c r="F10" s="3" t="s">
        <v>104</v>
      </c>
      <c r="G10" s="3" t="s">
        <v>105</v>
      </c>
      <c r="H10" t="s">
        <v>106</v>
      </c>
      <c r="I10" t="s">
        <v>61</v>
      </c>
      <c r="J10" s="8">
        <v>0.8</v>
      </c>
      <c r="K10">
        <v>0.14285714285714279</v>
      </c>
      <c r="L10">
        <v>0.99999999995</v>
      </c>
      <c r="M10">
        <v>0.80823798188452467</v>
      </c>
      <c r="N10">
        <v>0</v>
      </c>
      <c r="O10">
        <v>0.9057499525724565</v>
      </c>
      <c r="P10">
        <v>0</v>
      </c>
      <c r="Q10">
        <v>0</v>
      </c>
      <c r="R10">
        <v>19.49518513679504</v>
      </c>
      <c r="S10">
        <v>5</v>
      </c>
      <c r="T10">
        <v>19.49518513679504</v>
      </c>
    </row>
    <row r="11" spans="1:20" ht="409.5" x14ac:dyDescent="0.25">
      <c r="A11">
        <v>65</v>
      </c>
      <c r="B11" t="s">
        <v>101</v>
      </c>
      <c r="C11" t="s">
        <v>47</v>
      </c>
      <c r="D11" s="3" t="s">
        <v>107</v>
      </c>
      <c r="E11" s="3" t="s">
        <v>108</v>
      </c>
      <c r="F11" s="3" t="s">
        <v>109</v>
      </c>
      <c r="G11" s="3" t="s">
        <v>110</v>
      </c>
      <c r="H11" t="s">
        <v>111</v>
      </c>
      <c r="I11" t="s">
        <v>112</v>
      </c>
      <c r="J11" s="10">
        <v>0.66666666666666663</v>
      </c>
      <c r="K11">
        <v>1</v>
      </c>
      <c r="L11">
        <v>0.99999999998</v>
      </c>
      <c r="M11">
        <v>0.85041125424598185</v>
      </c>
      <c r="N11">
        <v>5.8823529377162627E-2</v>
      </c>
      <c r="O11">
        <v>0.72243167472066594</v>
      </c>
      <c r="P11">
        <v>1</v>
      </c>
      <c r="Q11">
        <v>1</v>
      </c>
      <c r="R11">
        <v>10.89683628082275</v>
      </c>
      <c r="S11">
        <v>5</v>
      </c>
      <c r="T11">
        <v>10.89683628082275</v>
      </c>
    </row>
    <row r="12" spans="1:20" ht="409.5" x14ac:dyDescent="0.25">
      <c r="A12">
        <v>84</v>
      </c>
      <c r="B12" t="s">
        <v>90</v>
      </c>
      <c r="C12" t="s">
        <v>36</v>
      </c>
      <c r="D12" s="3" t="s">
        <v>113</v>
      </c>
      <c r="E12" s="3" t="s">
        <v>114</v>
      </c>
      <c r="F12" s="3" t="s">
        <v>115</v>
      </c>
      <c r="G12" s="3" t="s">
        <v>116</v>
      </c>
      <c r="H12" t="s">
        <v>117</v>
      </c>
      <c r="I12" t="s">
        <v>71</v>
      </c>
      <c r="J12" s="8">
        <v>0.8</v>
      </c>
      <c r="K12">
        <v>1</v>
      </c>
      <c r="L12">
        <v>0.75555555553037035</v>
      </c>
      <c r="M12">
        <v>0.72480963765983408</v>
      </c>
      <c r="N12">
        <v>0</v>
      </c>
      <c r="O12">
        <v>0.95987955397349634</v>
      </c>
      <c r="P12">
        <v>0</v>
      </c>
      <c r="Q12">
        <v>0</v>
      </c>
      <c r="R12">
        <v>11.943759441375731</v>
      </c>
      <c r="S12">
        <v>5</v>
      </c>
      <c r="T12">
        <v>11.943759441375731</v>
      </c>
    </row>
    <row r="13" spans="1:20" ht="409.5" x14ac:dyDescent="0.25">
      <c r="A13">
        <v>89</v>
      </c>
      <c r="B13" t="s">
        <v>119</v>
      </c>
      <c r="C13" t="s">
        <v>65</v>
      </c>
      <c r="D13" s="3" t="s">
        <v>120</v>
      </c>
      <c r="E13" s="3" t="s">
        <v>121</v>
      </c>
      <c r="F13" s="3" t="s">
        <v>122</v>
      </c>
      <c r="G13" s="3" t="s">
        <v>123</v>
      </c>
      <c r="H13" t="s">
        <v>124</v>
      </c>
      <c r="I13" t="s">
        <v>125</v>
      </c>
      <c r="J13" s="9">
        <v>0</v>
      </c>
      <c r="K13">
        <v>0</v>
      </c>
      <c r="L13">
        <v>0.19999999998000001</v>
      </c>
      <c r="M13">
        <v>0.57422403734337246</v>
      </c>
      <c r="N13">
        <v>0</v>
      </c>
      <c r="O13">
        <v>0</v>
      </c>
      <c r="P13">
        <v>0</v>
      </c>
      <c r="Q13">
        <v>0</v>
      </c>
      <c r="R13">
        <v>8.4058101177215576</v>
      </c>
      <c r="S13">
        <v>5</v>
      </c>
      <c r="T13">
        <v>8.4058101177215576</v>
      </c>
    </row>
    <row r="14" spans="1:20" ht="409.5" x14ac:dyDescent="0.25">
      <c r="A14">
        <v>91</v>
      </c>
      <c r="B14" t="s">
        <v>119</v>
      </c>
      <c r="C14" t="s">
        <v>47</v>
      </c>
      <c r="D14" s="3" t="s">
        <v>127</v>
      </c>
      <c r="E14" s="3" t="s">
        <v>128</v>
      </c>
      <c r="F14" s="3" t="s">
        <v>129</v>
      </c>
      <c r="G14" s="3" t="s">
        <v>130</v>
      </c>
      <c r="H14" t="s">
        <v>131</v>
      </c>
      <c r="I14" t="s">
        <v>125</v>
      </c>
      <c r="J14" s="9">
        <v>0.58333333333333337</v>
      </c>
      <c r="K14">
        <v>0.4</v>
      </c>
      <c r="L14">
        <v>0.88749999997781248</v>
      </c>
      <c r="M14">
        <v>0.83352148197934484</v>
      </c>
      <c r="N14">
        <v>0</v>
      </c>
      <c r="O14">
        <v>0</v>
      </c>
      <c r="P14">
        <v>0.5</v>
      </c>
      <c r="Q14">
        <v>1</v>
      </c>
      <c r="R14">
        <v>14.452758550643919</v>
      </c>
      <c r="S14">
        <v>5</v>
      </c>
      <c r="T14">
        <v>14.452758550643919</v>
      </c>
    </row>
    <row r="15" spans="1:20" ht="409.5" x14ac:dyDescent="0.25">
      <c r="A15">
        <v>97</v>
      </c>
      <c r="B15" t="s">
        <v>119</v>
      </c>
      <c r="C15" t="s">
        <v>47</v>
      </c>
      <c r="D15" s="3" t="s">
        <v>136</v>
      </c>
      <c r="E15" s="3" t="s">
        <v>137</v>
      </c>
      <c r="F15" s="3" t="s">
        <v>138</v>
      </c>
      <c r="G15" s="3" t="s">
        <v>139</v>
      </c>
      <c r="H15" t="s">
        <v>140</v>
      </c>
      <c r="I15" t="s">
        <v>125</v>
      </c>
      <c r="J15" s="9">
        <v>0.375</v>
      </c>
      <c r="K15">
        <v>0.25</v>
      </c>
      <c r="L15">
        <v>0.99999999998</v>
      </c>
      <c r="M15">
        <v>0.83696191881469706</v>
      </c>
      <c r="N15">
        <v>0</v>
      </c>
      <c r="O15">
        <v>0</v>
      </c>
      <c r="P15">
        <v>0</v>
      </c>
      <c r="Q15">
        <v>0</v>
      </c>
      <c r="R15">
        <v>15.475528955459589</v>
      </c>
      <c r="S15">
        <v>5</v>
      </c>
      <c r="T15">
        <v>15.475528955459589</v>
      </c>
    </row>
    <row r="16" spans="1:20" ht="409.5" x14ac:dyDescent="0.25">
      <c r="A16">
        <v>110</v>
      </c>
      <c r="B16" t="s">
        <v>119</v>
      </c>
      <c r="C16" t="s">
        <v>65</v>
      </c>
      <c r="D16" s="3" t="s">
        <v>145</v>
      </c>
      <c r="E16" s="3" t="s">
        <v>146</v>
      </c>
      <c r="F16" s="3" t="s">
        <v>147</v>
      </c>
      <c r="G16" s="3" t="s">
        <v>148</v>
      </c>
      <c r="H16" t="s">
        <v>149</v>
      </c>
      <c r="I16" t="s">
        <v>150</v>
      </c>
      <c r="J16" s="9">
        <v>0.55555555555555558</v>
      </c>
      <c r="K16">
        <v>0.25</v>
      </c>
      <c r="L16">
        <v>0.44999999997750001</v>
      </c>
      <c r="M16">
        <v>0.76220810325268817</v>
      </c>
      <c r="N16">
        <v>7.6923076863905315E-2</v>
      </c>
      <c r="O16">
        <v>0.92710612806559023</v>
      </c>
      <c r="P16">
        <v>0</v>
      </c>
      <c r="Q16">
        <v>0</v>
      </c>
      <c r="R16">
        <v>16.019131183624271</v>
      </c>
      <c r="S16">
        <v>5</v>
      </c>
      <c r="T16">
        <v>16.019131183624271</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Tabelle1</vt:lpstr>
      <vt:lpstr>Human Details</vt:lpstr>
      <vt:lpstr>gpt-4.1-mini Details</vt:lpstr>
      <vt:lpstr>qwen 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Pascal Mager</dc:creator>
  <cp:lastModifiedBy>Pascal Mager</cp:lastModifiedBy>
  <dcterms:created xsi:type="dcterms:W3CDTF">2015-06-05T18:19:34Z</dcterms:created>
  <dcterms:modified xsi:type="dcterms:W3CDTF">2026-01-18T22:05:07Z</dcterms:modified>
</cp:coreProperties>
</file>