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qwen25_7b_validation\"/>
    </mc:Choice>
  </mc:AlternateContent>
  <xr:revisionPtr revIDLastSave="0" documentId="13_ncr:1_{54180B14-CA9B-4DCF-9F48-5482C81AA2C4}" xr6:coauthVersionLast="47" xr6:coauthVersionMax="47" xr10:uidLastSave="{00000000-0000-0000-0000-000000000000}"/>
  <bookViews>
    <workbookView xWindow="-120" yWindow="-120" windowWidth="29040" windowHeight="15840" xr2:uid="{00000000-000D-0000-FFFF-FFFF00000000}"/>
  </bookViews>
  <sheets>
    <sheet name="Tabelle1" sheetId="1" r:id="rId1"/>
    <sheet name="Human Details" sheetId="2" r:id="rId2"/>
    <sheet name="gpt-4.1-mini Details" sheetId="3" r:id="rId3"/>
    <sheet name="qwen Details" sheetId="4"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 l="1"/>
  <c r="F5" i="1"/>
  <c r="G5" i="1" s="1"/>
  <c r="E6" i="1"/>
  <c r="F6" i="1"/>
  <c r="G6" i="1"/>
  <c r="E7" i="1"/>
  <c r="G7" i="1" s="1"/>
  <c r="F7" i="1"/>
  <c r="E8" i="1"/>
  <c r="F8" i="1"/>
  <c r="G8" i="1" s="1"/>
  <c r="E9" i="1"/>
  <c r="F9" i="1"/>
  <c r="G9" i="1"/>
  <c r="E10" i="1"/>
  <c r="G10" i="1" s="1"/>
  <c r="F10" i="1"/>
  <c r="E11" i="1"/>
  <c r="F11" i="1"/>
  <c r="G11" i="1"/>
  <c r="E12" i="1"/>
  <c r="F12" i="1"/>
  <c r="G12" i="1" s="1"/>
  <c r="G4" i="1"/>
  <c r="F4" i="1"/>
  <c r="E4" i="1"/>
  <c r="L19" i="1"/>
  <c r="L20" i="1"/>
  <c r="L21" i="1"/>
  <c r="L22" i="1"/>
  <c r="L23" i="1"/>
  <c r="L18" i="1"/>
  <c r="M8" i="1"/>
  <c r="M5" i="1"/>
  <c r="M6" i="1"/>
  <c r="M7" i="1"/>
  <c r="M9" i="1"/>
  <c r="M4" i="1"/>
  <c r="N16" i="2"/>
  <c r="L16" i="2"/>
  <c r="K16" i="2"/>
  <c r="J16" i="2"/>
  <c r="N15" i="2"/>
  <c r="L15" i="2"/>
  <c r="K15" i="2"/>
  <c r="J15" i="2"/>
  <c r="O14" i="2"/>
  <c r="N14" i="2"/>
  <c r="K14" i="2"/>
  <c r="J14" i="2"/>
  <c r="N13" i="2"/>
  <c r="N12" i="2"/>
  <c r="K12" i="2"/>
  <c r="J12" i="2"/>
  <c r="J11" i="2"/>
  <c r="N10" i="2"/>
  <c r="N7" i="2"/>
  <c r="J7" i="2"/>
  <c r="N5" i="2"/>
  <c r="K5" i="2"/>
  <c r="J5" i="2"/>
  <c r="N4" i="2"/>
  <c r="J4" i="2"/>
  <c r="N3" i="2"/>
  <c r="N2" i="2"/>
  <c r="L9" i="1" l="1"/>
  <c r="L8" i="1"/>
  <c r="L7" i="1"/>
  <c r="L6" i="1"/>
  <c r="L5" i="1"/>
  <c r="L4" i="1"/>
  <c r="O13" i="1"/>
  <c r="N13" i="1"/>
  <c r="M13" i="1"/>
  <c r="L13" i="1"/>
  <c r="K13" i="1"/>
  <c r="J13" i="1"/>
  <c r="K23" i="1" l="1"/>
  <c r="J23" i="1"/>
  <c r="K21" i="1"/>
  <c r="K20" i="1"/>
  <c r="K19" i="1"/>
  <c r="K18" i="1"/>
  <c r="J22" i="1"/>
  <c r="J21" i="1"/>
  <c r="J20" i="1"/>
  <c r="J19" i="1"/>
  <c r="J18" i="1"/>
  <c r="I19" i="1" l="1"/>
  <c r="I20" i="1"/>
  <c r="I21" i="1"/>
  <c r="I22" i="1"/>
  <c r="I23" i="1"/>
  <c r="I24" i="1"/>
  <c r="I25" i="1"/>
  <c r="I26" i="1"/>
  <c r="I18" i="1"/>
  <c r="I5" i="1"/>
  <c r="I6" i="1"/>
  <c r="I7" i="1"/>
  <c r="I8" i="1"/>
  <c r="I9" i="1"/>
  <c r="I10" i="1"/>
  <c r="I11" i="1"/>
  <c r="I12" i="1"/>
  <c r="I4" i="1"/>
</calcChain>
</file>

<file path=xl/sharedStrings.xml><?xml version="1.0" encoding="utf-8"?>
<sst xmlns="http://schemas.openxmlformats.org/spreadsheetml/2006/main" count="495" uniqueCount="159">
  <si>
    <t>run1</t>
  </si>
  <si>
    <t>run2</t>
  </si>
  <si>
    <t>run3</t>
  </si>
  <si>
    <t>Durchschnitt</t>
  </si>
  <si>
    <t>faithfulness</t>
  </si>
  <si>
    <t>context_recall</t>
  </si>
  <si>
    <t>context_precision</t>
  </si>
  <si>
    <t>semantic_similarity</t>
  </si>
  <si>
    <t>context_entity_recall</t>
  </si>
  <si>
    <t>answer_relevancy</t>
  </si>
  <si>
    <t>MRR@5</t>
  </si>
  <si>
    <t>Hit@5</t>
  </si>
  <si>
    <t>latency</t>
  </si>
  <si>
    <t>qwen2.5:7b</t>
  </si>
  <si>
    <t>Rangkorrelation aus Validation</t>
  </si>
  <si>
    <t>Pearson-Korrelation aus Validation</t>
  </si>
  <si>
    <t>id</t>
  </si>
  <si>
    <t>category</t>
  </si>
  <si>
    <t>difficulty</t>
  </si>
  <si>
    <t>user_input</t>
  </si>
  <si>
    <t>response</t>
  </si>
  <si>
    <t>reference</t>
  </si>
  <si>
    <t>retrieved_contexts</t>
  </si>
  <si>
    <t>retrieved_urls</t>
  </si>
  <si>
    <t>retrieved_content_types</t>
  </si>
  <si>
    <t>RR_at5</t>
  </si>
  <si>
    <t>hit_at5</t>
  </si>
  <si>
    <t>context_count</t>
  </si>
  <si>
    <t>response_time_seconds</t>
  </si>
  <si>
    <t>Entitäten (Referenz)</t>
  </si>
  <si>
    <t>Gedeckte Entitäten (Retrieved Context)</t>
  </si>
  <si>
    <t>Nicht gedeckte Entitäten (Retrieved Context)</t>
  </si>
  <si>
    <t>Anzahl Gedeckte Entitäten (Retrieved Context)</t>
  </si>
  <si>
    <t>Anzahl nicht-gedeckter Entitäten (Retrieved Context)</t>
  </si>
  <si>
    <t>Anmerkungen</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</si>
  <si>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</si>
  <si>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</si>
  <si>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</si>
  <si>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</si>
  <si>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</si>
  <si>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</si>
  <si>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</si>
  <si>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</si>
  <si>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Student, Theorie- und methodenorientierter Studienansatz, Forschung, Lehre, Praxis, Praxisnähe, Langjährige Zusammenarbeit, WiSo-Fakultät, Unternehmen, Lehrbeauftragte, Berufsfelder</t>
  </si>
  <si>
    <t>Student, Forschung, Lehre, Praxis, WiSo-Fakultät</t>
  </si>
  <si>
    <t>Theorie- und methodenorientierter Studienansatz, Praxisnähe, Langjährige Zusammenarbeit, Unternehmen, Lehrbeauftragte, Berufsfelder</t>
  </si>
  <si>
    <t>Obwohl nicht die Gold-Referenz gefunden wurde, sind die Chunks sehr relevant. Im Grunde genommen zeigt dies, wie schwierig es ist tatsächlich ein RAG-System zu evaluieren. Der Testsatz ist bspw. Bei dieser Frage sehr gut auf den eigentlichen Inhalt zugeschnitten, aber die Gold-Referenz wird nicht gefetched. Stattdessen wird Context gefetched, der sehr relevant ist</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</si>
  <si>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</si>
  <si>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</si>
  <si>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</si>
  <si>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</si>
  <si>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</si>
  <si>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</si>
  <si>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['html', 'pdf', 'pdf', 'pdf', 'pdf']</t>
  </si>
  <si>
    <t>Ein gutes Beispiel, wie Context-Precision durch LLM versagt. E-PLUS klingt ähnlich wie E-homework und somit wird es als "relevant" eingestuft, obwohl es das nicht ist. Das LLM kann diesen Unterschied aber nicht erkennen. Zusätzlich dazu werden Chunks nicht gefetched, da SEMANTISCHE ÄHNLICHKEIT zu niedrig --&gt; hybrid-search könnte hier sehr gut Abhilfe schaffen</t>
  </si>
  <si>
    <t>Modulhandbuch/PO</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</si>
  <si>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</si>
  <si>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</si>
  <si>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</si>
  <si>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</si>
  <si>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</si>
  <si>
    <t>['html', 'html', 'pdf', 'pdf', 'pdf']</t>
  </si>
  <si>
    <t>Studienjahr 2025 / 2026, Bachelor PO 2021, Betriebswirtschaftslehre, Volkswirtschaftslehre, Management, Economics and Social Sciences, Sozialwissenschaften, Gesundheitsökonomie, Wirtschaftsinformatik, Lehramt am Berufskolleg I., Modulhandbuch</t>
  </si>
  <si>
    <t>Modulhandbuch, Bachelor PO 2021, Betriebswirtschaftslehre</t>
  </si>
  <si>
    <t>Bachelor-Studium</t>
  </si>
  <si>
    <t>easy</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</si>
  <si>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</si>
  <si>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</si>
  <si>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</si>
  <si>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</si>
  <si>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['https://wiso.uni-koeln.de/de/studium/studienorganisation/faq/bachelor', 'https://wiso.uni-koeln.de/de/studium/bachelor', 'https://wiso.uni-koeln.de/en/studies/organising-your-studies/faq/bachelor', 'https://wiso.uni-koeln.de/de/studium/bachelor', 'https://wiso.uni-koeln.de/de/studium/studienorganisation/faq/allgemeine-fragen']</t>
  </si>
  <si>
    <t>['html', 'html', 'html', 'html', 'html']</t>
  </si>
  <si>
    <t>Bachelorprogramme, Betriebswirtschaftslehre, Volkswirtschaftslehre, Sozialwissenschaften, Management, Economics &amp; Social Sciences, Wirtschaftsinformatik, Gesundheitsökonomie, Lehramts-Bachelor</t>
  </si>
  <si>
    <t>Bachelorprogramm / Bachelorstudiengang, Betriebswirtschaftslehre, Volkswirtschaftslehre</t>
  </si>
  <si>
    <t>Sozialwissenschaften, Management, Economics &amp; Social Sciences, Wirtschaftsinformatik, Gesundheitsökonomie, Lehramts-Bachelor</t>
  </si>
  <si>
    <t>Claims: "basierend auf Suchergebnissen (es sind nicht alle in den Suchergebnissen genannt)", True: "die aufgeführten"</t>
  </si>
  <si>
    <t>Welche Verbundstudiengänge mit WiSo-Beteiligung werden angeboten?</t>
  </si>
  <si>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</si>
  <si>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</si>
  <si>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</si>
  <si>
    <t>['https://wiso.uni-koeln.de/de/studium/bachelor', 'https://wiso.uni-koeln.de/de/studium/master', 'https://wiso.uni-koeln.de/de/studium/master', 'https://wiso.uni-koeln.de/de/studium/studienorganisation/faq/bachelor', 'https://wiso.uni-koeln.de/de/studium/master']</t>
  </si>
  <si>
    <t>Es sind nicht ALLE aufgelistet
Fehler in der Frage (nur Bachelorstudiengänge sind gemeint!) --&gt; Frage ist also nicht präzise genug formuliert, was aber auch in der Realität passieren kann</t>
  </si>
  <si>
    <t>Master-Studium</t>
  </si>
  <si>
    <t>Wo finden Interessierte studiengangsspezifische Informationen zu einzelnen WiSo-Masterprogrammen, etwa zum Master Information Systems?</t>
  </si>
  <si>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</si>
  <si>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</si>
  <si>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</si>
  <si>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</si>
  <si>
    <t>['html', 'html', 'pdf', 'html', 'html']</t>
  </si>
  <si>
    <t>Frage wird aus Validation entfernt und ersetzt. Zusätzlich wird die Frage im Testset angepasst. Selbst als Mensch habe ich große Probleme diese Frage wirklich akkurat zu beantworten</t>
  </si>
  <si>
    <t>Studiengang spezifisch</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</si>
  <si>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</si>
  <si>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</si>
  <si>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</si>
  <si>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</si>
  <si>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</si>
  <si>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</si>
  <si>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</si>
  <si>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</si>
  <si>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</si>
  <si>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</si>
  <si>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FAQ</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</si>
  <si>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</si>
  <si>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</si>
  <si>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</si>
  <si>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</si>
  <si>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</si>
  <si>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Ich studiere im Bachelor woanders und möchte an die WiSo Köln wechseln. Was muss ich tun?</t>
  </si>
  <si>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</si>
  <si>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</si>
  <si>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</si>
  <si>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</si>
  <si>
    <t>['html', 'pdf', 'pdf', 'html', 'pdf']</t>
  </si>
  <si>
    <t>Was ist das Besondere am Master Business Administration Corporate Development an der WiSo-Fakultät und welche Vorteile habe ich dadurch?</t>
  </si>
  <si>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</si>
  <si>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</si>
  <si>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</si>
  <si>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</si>
  <si>
    <t>Gold Dokumente wurden gefunden, allerdings auf englisch; Eigentlicher Gold-Chunk knapp verfehlt; Frage ist unklar / unglücklich formuliert --&gt; wird angepasst</t>
  </si>
  <si>
    <t>PDF-Spezifisch</t>
  </si>
  <si>
    <t>Wie groß ist der Bachelor Wirtschaftsinformatik an der Uni Köln ungefähr, und seit wann gibt es den Studiengang?</t>
  </si>
  <si>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</si>
  <si>
    <t>Im Bachelor Wirtschaftsinformatik starten jährlich rund 100 Studierende. Der Studiengang besteht bereits seit 2008 und ist sehr erfolgreich, mit mehr als 1.100 Bewerbungen pro Jahr.</t>
  </si>
  <si>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</si>
  <si>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</si>
  <si>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['pdf', 'pdf', 'pdf', 'pdf', 'pdf']</t>
  </si>
  <si>
    <t>Frage wurde nun präziser formuliert</t>
  </si>
  <si>
    <t>Ich studiere bzw. plane den M.Sc. International Management (CEMS) in Köln. Wie unterscheiden sich das reguläre MIM-Programm und das CEMS-Curriculum konkret im Aufbau und bei den Anforderungen?</t>
  </si>
  <si>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</si>
  <si>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</si>
  <si>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</si>
  <si>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</si>
  <si>
    <t>MIM-Programm
120 ECTS
Core-Bereich
International Management
Spezialisierungsbereich
Applied International Management
Zusätzlicher Bereich
Business
Economics
Auslandssemester
Masterarbeit 15 ECTS
Verpflichtende Praktika
Zusätzliche Sprachauflagen
gesonderte formale Vorgaben
ECTS-Verteilung
Regelstudienzeit
CEMS Curriculum 66 ECTS
Core Courses
Electives 45 ECTS
Hard Skills
Business Project 15 ECTS
Seminare 6 ECTS
Internationales Praktikum
Nachweis Dritte CEMS-Sprache</t>
  </si>
  <si>
    <t>MIM-Programm
Core-Bereich
International Management
Spezialisierungsbereich
Auslandssemester
Masterarbeit
CEMS Curriculum
66 ECTS
Core Courses
Electives
45 ECTS
Hard Skills
Business Project
15 ECTS
Seminare 6 ECTS
Internationales Praktikum
Nachweis Dritte CEMS-Sprache</t>
  </si>
  <si>
    <t>120 ECTS
Spezialisierungsbereich
Economics
Masterarbeit 15 ECTS
Verpflichtende Praktika
Zusätzliche Sprachauflagen
Gesonderte formale Vorgaben
ECTS-Verteilung
Regelstudienzeit</t>
  </si>
  <si>
    <t>Frage wurde nun präziser formuliert; Gold-Chunk teilweise gefunden</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</si>
  <si>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</si>
  <si>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</si>
  <si>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</si>
  <si>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</si>
  <si>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</si>
  <si>
    <t>Modul
Studies Abroad
Economics III
Leistungen
Auslandsstudium
6 ECTS
Ausländische Hochschule
Volkswirtschaftliche Veranstaltungen
Master-Niveau
Reguläres Modulangebot
Ergänzen
Profil
Inhaltliche Vertiefung
Anerkennung
WiSo Credit Transfer Centre
WiSo Anrechnungszentrum
Antrag
Weitere Informationen
Fristen
Ablauf</t>
  </si>
  <si>
    <t>Modul
Studies Abroad
Economics III
Leistungen
6 ECTS
Ausländische Hochschule
Anerkennung
WiSo Anrechnungszentrum
Antrag
Weitere Informationen
Fristen
Ablauf</t>
  </si>
  <si>
    <t>Auslandsstudium
Volkswirtschaftliche Veranstaltungen
Master-Niveau
Reguläres Modulangebot
Ergänzen
Profil
Inhaltliche Vertiefung
WiSo Credit Transfer Centre</t>
  </si>
  <si>
    <t>Gold-Referenz nicht gefunden, aber relevantes Dokument</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</si>
  <si>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</si>
  <si>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</si>
  <si>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</si>
  <si>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</si>
  <si>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</si>
  <si>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['pdf', 'pdf', 'pdf', 'pdf', 'html']</t>
  </si>
  <si>
    <t>Masterstudiengang
Business Administration Marketing
Bachelorabschluss
gleichertiger Abschluss
Umfang
180 ECTS in Business Administration
Economics
Ausprägung
Quantitative Methoden
Abschlussnote
2,7
Deutsche Note
Mindestens 78 ECTS in Business Administration und Economics
Mindestens 48 ECTS in Business Administration
Mindestens 18 ECTS in Economics
Mindestens 15 ECTS in Statistik und / oder Mathematik
Englischkenntnisse
Niveau B2
Gemeinsamer Europäischer Referenzrahmen
Teilnahme
Zulassungstest
TM-WISO
GMAT</t>
  </si>
  <si>
    <t>Masterstudiengang
Business Administration Marketing
Bachelorabschluss
gleichertiger Abschluss
Abschlussnote 2,7</t>
  </si>
  <si>
    <t>Umfang
180 ECTS in Business Administration oder Economics
Ausprägung in Quantitativen Methoden
Deutsche Note
Mindestens 78 ECTS in Business Administration und Economics
Mindestens 48 ECTS in Business Administration
Mindestens 18 ECTS in Economics
Mindestens 15 ECTS in Statistik und / oder Mathematik
Englischkenntnisse
Niveau B2
Gemeinsamer Europäischer Referenzrahmen
Teilnahme Zulassungstest
TM-WISO
GMAT</t>
  </si>
  <si>
    <t>p-Value</t>
  </si>
  <si>
    <t>gpt-4.1-mini</t>
  </si>
  <si>
    <t>min</t>
  </si>
  <si>
    <t>max</t>
  </si>
  <si>
    <t>Schwankung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</si>
</sst>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b/>
      <sz val="11"/>
      <color rgb="FFFFFFFF"/>
      <name val="Calibri"/>
      <family val="2"/>
    </font>
    <font>
      <sz val="11"/>
      <color rgb="FF000000"/>
      <name val="Calibri"/>
      <family val="2"/>
      <scheme val="minor"/>
    </font>
  </fonts>
  <fills count="8">
    <fill>
      <patternFill patternType="none"/>
    </fill>
    <fill>
      <patternFill patternType="gray125"/>
    </fill>
    <fill>
      <patternFill patternType="solid">
        <fgColor rgb="FF4472C4"/>
        <bgColor rgb="FF4472C4"/>
      </patternFill>
    </fill>
    <fill>
      <patternFill patternType="solid">
        <fgColor rgb="FFFF0000"/>
        <bgColor indexed="64"/>
      </patternFill>
    </fill>
    <fill>
      <patternFill patternType="solid">
        <fgColor rgb="FF92D050"/>
        <bgColor indexed="6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2" borderId="0" xfId="0" applyFont="1" applyFill="1" applyAlignment="1">
      <alignment horizontal="center" vertical="center" wrapText="1"/>
    </xf>
    <xf numFmtId="0" fontId="0" fillId="0" borderId="0" xfId="0" applyAlignment="1">
      <alignment vertical="top" wrapText="1"/>
    </xf>
    <xf numFmtId="0" fontId="2" fillId="0" borderId="0" xfId="0" applyFont="1"/>
    <xf numFmtId="0" fontId="0" fillId="0" borderId="0" xfId="0" applyAlignment="1">
      <alignment wrapText="1"/>
    </xf>
    <xf numFmtId="0" fontId="0" fillId="3" borderId="0" xfId="0" applyFill="1"/>
    <xf numFmtId="0" fontId="0" fillId="4" borderId="0" xfId="0" applyFill="1"/>
    <xf numFmtId="164" fontId="0" fillId="5" borderId="0" xfId="0" applyNumberFormat="1" applyFill="1"/>
    <xf numFmtId="164" fontId="0" fillId="6" borderId="0" xfId="0" applyNumberFormat="1" applyFill="1"/>
    <xf numFmtId="164" fontId="0" fillId="7" borderId="0" xfId="0" applyNumberForma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Uni-K&#246;ln\Masterarbeit\Software\uzk-masterarbeit\src\evaluation\data\Backup\qwen25_7b_validation\human_validation.xlsx" TargetMode="External"/><Relationship Id="rId1" Type="http://schemas.openxmlformats.org/officeDocument/2006/relationships/externalLinkPath" Target="human_valid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änge"/>
      <sheetName val="Korrelationen"/>
      <sheetName val="Metriken_qwen"/>
      <sheetName val="Metriken_gpt4o-mini"/>
      <sheetName val="Metriken gpt-4.1"/>
      <sheetName val="Metriken gpt-4.1-mini"/>
      <sheetName val="Metriken_gpt5.2"/>
      <sheetName val="Human Details"/>
      <sheetName val="Human Erläuterungen"/>
      <sheetName val="LLM-As-Judge Details"/>
      <sheetName val="GPT4o-mini-Details"/>
      <sheetName val="gpt-4.1-mini-Details"/>
      <sheetName val="gpt-4.1-Details"/>
      <sheetName val="gpt-5.2-Details"/>
      <sheetName val="LLM-As-Judge Zusammenfassung"/>
    </sheetNames>
    <sheetDataSet>
      <sheetData sheetId="0"/>
      <sheetData sheetId="1"/>
      <sheetData sheetId="2"/>
      <sheetData sheetId="3"/>
      <sheetData sheetId="4"/>
      <sheetData sheetId="5"/>
      <sheetData sheetId="6"/>
      <sheetData sheetId="7">
        <row r="2">
          <cell r="J2">
            <v>1</v>
          </cell>
          <cell r="K2">
            <v>1</v>
          </cell>
          <cell r="L2">
            <v>0.68</v>
          </cell>
          <cell r="M2">
            <v>0.75</v>
          </cell>
          <cell r="N2">
            <v>0.45454545454545453</v>
          </cell>
          <cell r="O2">
            <v>1</v>
          </cell>
        </row>
        <row r="3">
          <cell r="J3">
            <v>0.5</v>
          </cell>
          <cell r="K3">
            <v>0</v>
          </cell>
          <cell r="L3">
            <v>1</v>
          </cell>
          <cell r="M3">
            <v>0</v>
          </cell>
          <cell r="N3">
            <v>0</v>
          </cell>
          <cell r="O3">
            <v>0</v>
          </cell>
        </row>
        <row r="4">
          <cell r="J4">
            <v>0.5</v>
          </cell>
          <cell r="K4">
            <v>1</v>
          </cell>
          <cell r="L4">
            <v>1</v>
          </cell>
          <cell r="M4">
            <v>0.5</v>
          </cell>
          <cell r="N4">
            <v>0.27272727272727271</v>
          </cell>
          <cell r="O4">
            <v>0.5</v>
          </cell>
        </row>
        <row r="5">
          <cell r="J5">
            <v>0.66666666666666663</v>
          </cell>
          <cell r="K5">
            <v>0.33333333333333331</v>
          </cell>
          <cell r="L5">
            <v>0.32500000000000001</v>
          </cell>
          <cell r="M5">
            <v>0.5</v>
          </cell>
          <cell r="N5">
            <v>0.33333333333333331</v>
          </cell>
          <cell r="O5">
            <v>0.5</v>
          </cell>
        </row>
        <row r="6">
          <cell r="J6">
            <v>0.9</v>
          </cell>
          <cell r="K6">
            <v>0.75</v>
          </cell>
          <cell r="L6">
            <v>1</v>
          </cell>
          <cell r="M6">
            <v>0.5</v>
          </cell>
          <cell r="N6">
            <v>0.25</v>
          </cell>
          <cell r="O6">
            <v>0.8</v>
          </cell>
        </row>
        <row r="7">
          <cell r="J7">
            <v>0.33333333333333331</v>
          </cell>
          <cell r="K7">
            <v>0</v>
          </cell>
          <cell r="L7">
            <v>0.75</v>
          </cell>
          <cell r="M7">
            <v>0.25</v>
          </cell>
          <cell r="N7">
            <v>0</v>
          </cell>
          <cell r="O7">
            <v>0.25</v>
          </cell>
        </row>
        <row r="8">
          <cell r="J8">
            <v>0.5</v>
          </cell>
          <cell r="K8">
            <v>1</v>
          </cell>
          <cell r="L8">
            <v>0.87</v>
          </cell>
          <cell r="M8">
            <v>0.75</v>
          </cell>
          <cell r="N8">
            <v>1</v>
          </cell>
          <cell r="O8">
            <v>0.75</v>
          </cell>
        </row>
        <row r="9">
          <cell r="J9">
            <v>0</v>
          </cell>
          <cell r="K9">
            <v>0</v>
          </cell>
          <cell r="L9">
            <v>0</v>
          </cell>
          <cell r="M9">
            <v>0.5</v>
          </cell>
          <cell r="N9">
            <v>0</v>
          </cell>
          <cell r="O9">
            <v>1</v>
          </cell>
        </row>
        <row r="10">
          <cell r="J10">
            <v>0</v>
          </cell>
          <cell r="K10">
            <v>0</v>
          </cell>
          <cell r="L10">
            <v>0</v>
          </cell>
          <cell r="M10">
            <v>0</v>
          </cell>
          <cell r="N10">
            <v>0</v>
          </cell>
          <cell r="O10">
            <v>0</v>
          </cell>
        </row>
        <row r="11">
          <cell r="J11">
            <v>0.66666666666666663</v>
          </cell>
          <cell r="K11">
            <v>1</v>
          </cell>
          <cell r="L11">
            <v>1</v>
          </cell>
          <cell r="M11">
            <v>0.5</v>
          </cell>
          <cell r="N11">
            <v>1</v>
          </cell>
          <cell r="O11">
            <v>1</v>
          </cell>
        </row>
        <row r="12">
          <cell r="J12">
            <v>0.7142857142857143</v>
          </cell>
          <cell r="K12">
            <v>0.4</v>
          </cell>
          <cell r="L12">
            <v>1</v>
          </cell>
          <cell r="M12">
            <v>0.5</v>
          </cell>
          <cell r="N12">
            <v>0.11428571428571428</v>
          </cell>
          <cell r="O12">
            <v>1</v>
          </cell>
        </row>
        <row r="13">
          <cell r="J13">
            <v>0</v>
          </cell>
          <cell r="K13">
            <v>0</v>
          </cell>
          <cell r="L13">
            <v>0</v>
          </cell>
          <cell r="M13">
            <v>0</v>
          </cell>
          <cell r="N13">
            <v>0</v>
          </cell>
          <cell r="O13">
            <v>0.2</v>
          </cell>
        </row>
        <row r="14">
          <cell r="J14">
            <v>0.46153846153846156</v>
          </cell>
          <cell r="K14">
            <v>0.42857142857142855</v>
          </cell>
          <cell r="L14">
            <v>0.5</v>
          </cell>
          <cell r="M14">
            <v>0.5</v>
          </cell>
          <cell r="N14">
            <v>0.65384615384615385</v>
          </cell>
          <cell r="O14">
            <v>0.75</v>
          </cell>
        </row>
        <row r="15">
          <cell r="J15">
            <v>0.4</v>
          </cell>
          <cell r="K15">
            <v>0.4</v>
          </cell>
          <cell r="L15">
            <v>0.5</v>
          </cell>
          <cell r="M15">
            <v>0.25</v>
          </cell>
          <cell r="N15">
            <v>0.6</v>
          </cell>
          <cell r="O15">
            <v>0.75</v>
          </cell>
        </row>
        <row r="16">
          <cell r="J16">
            <v>0.25</v>
          </cell>
          <cell r="K16">
            <v>0.3</v>
          </cell>
          <cell r="L16">
            <v>0.91666666666666663</v>
          </cell>
          <cell r="M16">
            <v>0.25</v>
          </cell>
          <cell r="N16">
            <v>0.26315789473684209</v>
          </cell>
          <cell r="O16">
            <v>0.25</v>
          </cell>
        </row>
      </sheetData>
      <sheetData sheetId="8"/>
      <sheetData sheetId="9"/>
      <sheetData sheetId="10"/>
      <sheetData sheetId="11">
        <row r="2">
          <cell r="J2">
            <v>0.94444444444444442</v>
          </cell>
          <cell r="K2">
            <v>1</v>
          </cell>
          <cell r="L2">
            <v>0.47777777776185187</v>
          </cell>
          <cell r="M2">
            <v>0.69174534625042605</v>
          </cell>
          <cell r="N2">
            <v>0.1111111109876543</v>
          </cell>
          <cell r="O2">
            <v>0.84578900131503387</v>
          </cell>
        </row>
        <row r="3">
          <cell r="J3">
            <v>0.5</v>
          </cell>
          <cell r="K3">
            <v>0</v>
          </cell>
          <cell r="L3">
            <v>0</v>
          </cell>
          <cell r="M3">
            <v>0.68219252845269107</v>
          </cell>
          <cell r="N3">
            <v>0</v>
          </cell>
          <cell r="O3">
            <v>0</v>
          </cell>
        </row>
        <row r="4">
          <cell r="J4">
            <v>0.83333333333333337</v>
          </cell>
          <cell r="K4">
            <v>1</v>
          </cell>
          <cell r="L4">
            <v>0.99999999995</v>
          </cell>
          <cell r="M4">
            <v>0.71741346021913099</v>
          </cell>
          <cell r="N4">
            <v>0.79999999919999998</v>
          </cell>
          <cell r="O4">
            <v>0</v>
          </cell>
        </row>
        <row r="5">
          <cell r="J5">
            <v>0.8</v>
          </cell>
          <cell r="K5">
            <v>0</v>
          </cell>
          <cell r="L5">
            <v>0.19999999998000001</v>
          </cell>
          <cell r="M5">
            <v>0.77592699340364291</v>
          </cell>
          <cell r="N5">
            <v>0.44444444395061722</v>
          </cell>
          <cell r="O5">
            <v>0.87199182957967969</v>
          </cell>
        </row>
        <row r="6">
          <cell r="J6">
            <v>0.6</v>
          </cell>
          <cell r="K6">
            <v>0</v>
          </cell>
          <cell r="L6">
            <v>0.99999999989999999</v>
          </cell>
          <cell r="M6">
            <v>0.54732096792325347</v>
          </cell>
          <cell r="N6">
            <v>0.77777777691358019</v>
          </cell>
          <cell r="O6">
            <v>0.79382326567130201</v>
          </cell>
        </row>
        <row r="7">
          <cell r="J7">
            <v>1</v>
          </cell>
          <cell r="K7">
            <v>1</v>
          </cell>
          <cell r="L7">
            <v>0</v>
          </cell>
          <cell r="M7">
            <v>0.86740094111044419</v>
          </cell>
          <cell r="N7">
            <v>0.19999999960000001</v>
          </cell>
          <cell r="O7">
            <v>0.90361799764373485</v>
          </cell>
        </row>
        <row r="8">
          <cell r="J8">
            <v>0.83333333333333337</v>
          </cell>
          <cell r="K8">
            <v>1</v>
          </cell>
          <cell r="L8">
            <v>0.8666666666377778</v>
          </cell>
          <cell r="M8">
            <v>0.88175794034474853</v>
          </cell>
          <cell r="N8">
            <v>0.99999999500000003</v>
          </cell>
          <cell r="O8">
            <v>0.96393741104571706</v>
          </cell>
        </row>
        <row r="9">
          <cell r="J9">
            <v>0</v>
          </cell>
          <cell r="K9">
            <v>0</v>
          </cell>
          <cell r="L9">
            <v>0</v>
          </cell>
          <cell r="M9">
            <v>0.76584728450071693</v>
          </cell>
          <cell r="N9">
            <v>0</v>
          </cell>
          <cell r="O9">
            <v>0.96368457269512253</v>
          </cell>
        </row>
        <row r="10">
          <cell r="J10">
            <v>0</v>
          </cell>
          <cell r="K10">
            <v>0.2857142857142857</v>
          </cell>
          <cell r="L10">
            <v>0</v>
          </cell>
          <cell r="M10">
            <v>0.67507926277689445</v>
          </cell>
          <cell r="N10">
            <v>0</v>
          </cell>
          <cell r="O10">
            <v>0</v>
          </cell>
        </row>
        <row r="11">
          <cell r="J11">
            <v>0.55555555555555558</v>
          </cell>
          <cell r="K11">
            <v>1</v>
          </cell>
          <cell r="L11">
            <v>0.33333333329999998</v>
          </cell>
          <cell r="M11">
            <v>0.85285397946863595</v>
          </cell>
          <cell r="N11">
            <v>0.1249999999479167</v>
          </cell>
          <cell r="O11">
            <v>0</v>
          </cell>
        </row>
        <row r="12">
          <cell r="J12">
            <v>0.9285714285714286</v>
          </cell>
          <cell r="K12">
            <v>0.8</v>
          </cell>
          <cell r="L12">
            <v>0.83333333329166659</v>
          </cell>
          <cell r="M12">
            <v>0.71745191536450648</v>
          </cell>
          <cell r="N12">
            <v>0</v>
          </cell>
          <cell r="O12">
            <v>0.97927291860309695</v>
          </cell>
        </row>
        <row r="13">
          <cell r="J13">
            <v>0</v>
          </cell>
          <cell r="K13">
            <v>0</v>
          </cell>
          <cell r="L13">
            <v>0</v>
          </cell>
          <cell r="M13">
            <v>0.57422403734337246</v>
          </cell>
          <cell r="N13">
            <v>0</v>
          </cell>
          <cell r="O13">
            <v>0</v>
          </cell>
        </row>
        <row r="14">
          <cell r="J14">
            <v>0.53846153846153844</v>
          </cell>
          <cell r="K14">
            <v>0.6</v>
          </cell>
          <cell r="L14">
            <v>0.83333333329166659</v>
          </cell>
          <cell r="M14">
            <v>0.89307463717486524</v>
          </cell>
          <cell r="N14">
            <v>0.21052631567867039</v>
          </cell>
          <cell r="O14">
            <v>0</v>
          </cell>
        </row>
        <row r="15">
          <cell r="J15">
            <v>0.89473684210526316</v>
          </cell>
          <cell r="K15">
            <v>0.66666666666666663</v>
          </cell>
          <cell r="L15">
            <v>0.80555555552870362</v>
          </cell>
          <cell r="M15">
            <v>0.87738409874872403</v>
          </cell>
          <cell r="N15">
            <v>0</v>
          </cell>
          <cell r="O15">
            <v>0</v>
          </cell>
        </row>
        <row r="16">
          <cell r="J16">
            <v>0.2857142857142857</v>
          </cell>
          <cell r="K16">
            <v>1</v>
          </cell>
          <cell r="L16">
            <v>0.47777777776185187</v>
          </cell>
          <cell r="M16">
            <v>0.85351900611722364</v>
          </cell>
          <cell r="N16">
            <v>0.66666666444444445</v>
          </cell>
          <cell r="O16">
            <v>0</v>
          </cell>
        </row>
      </sheetData>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
  <sheetViews>
    <sheetView tabSelected="1" workbookViewId="0">
      <selection activeCell="G2" sqref="G2"/>
    </sheetView>
  </sheetViews>
  <sheetFormatPr baseColWidth="10" defaultColWidth="9.140625" defaultRowHeight="15" x14ac:dyDescent="0.25"/>
  <cols>
    <col min="1" max="1" width="20" bestFit="1" customWidth="1"/>
    <col min="7" max="7" width="12" bestFit="1" customWidth="1"/>
    <col min="8" max="8" width="12" customWidth="1"/>
    <col min="9" max="9" width="12.140625" bestFit="1" customWidth="1"/>
    <col min="10" max="10" width="28.5703125" bestFit="1" customWidth="1"/>
    <col min="11" max="11" width="32.42578125" bestFit="1" customWidth="1"/>
  </cols>
  <sheetData>
    <row r="1" spans="1:15" x14ac:dyDescent="0.25">
      <c r="A1" t="s">
        <v>155</v>
      </c>
    </row>
    <row r="3" spans="1:15" x14ac:dyDescent="0.25">
      <c r="B3" t="s">
        <v>0</v>
      </c>
      <c r="C3" t="s">
        <v>1</v>
      </c>
      <c r="D3" t="s">
        <v>2</v>
      </c>
      <c r="E3" t="s">
        <v>156</v>
      </c>
      <c r="F3" t="s">
        <v>157</v>
      </c>
      <c r="G3" t="s">
        <v>158</v>
      </c>
      <c r="I3" t="s">
        <v>3</v>
      </c>
      <c r="K3" t="s">
        <v>14</v>
      </c>
      <c r="L3" t="s">
        <v>15</v>
      </c>
      <c r="M3" t="s">
        <v>154</v>
      </c>
    </row>
    <row r="4" spans="1:15" x14ac:dyDescent="0.25">
      <c r="A4" t="s">
        <v>4</v>
      </c>
      <c r="B4">
        <v>0.66156887149880883</v>
      </c>
      <c r="C4">
        <v>0.66799120282793023</v>
      </c>
      <c r="D4">
        <v>0.66501745244038668</v>
      </c>
      <c r="E4">
        <f>MIN(B4:D4)</f>
        <v>0.66156887149880883</v>
      </c>
      <c r="F4">
        <f>MAX(B4:D4)</f>
        <v>0.66799120282793023</v>
      </c>
      <c r="G4">
        <f>(F4-E4)*100</f>
        <v>0.64223313291214001</v>
      </c>
      <c r="I4">
        <f>AVERAGE(B4:D4)</f>
        <v>0.66485917558904195</v>
      </c>
      <c r="J4" t="s">
        <v>4</v>
      </c>
      <c r="K4">
        <v>0.53558362800000003</v>
      </c>
      <c r="L4">
        <f>PEARSON('[1]Human Details'!$J$2:$J$16, '[1]gpt-4.1-mini-Details'!$J$2:$J$16)</f>
        <v>0.73322697783828605</v>
      </c>
      <c r="M4">
        <f>_xlfn.T.TEST('Human Details'!J2:J16, 'gpt-4.1-mini Details'!J2:J16,2,1)</f>
        <v>7.955926097945934E-2</v>
      </c>
    </row>
    <row r="5" spans="1:15" x14ac:dyDescent="0.25">
      <c r="A5" t="s">
        <v>5</v>
      </c>
      <c r="B5">
        <v>0.62444581280788181</v>
      </c>
      <c r="C5">
        <v>0.62875615763546799</v>
      </c>
      <c r="D5">
        <v>0.64269293924466342</v>
      </c>
      <c r="E5">
        <f t="shared" ref="E5:E12" si="0">MIN(B5:D5)</f>
        <v>0.62444581280788181</v>
      </c>
      <c r="F5">
        <f t="shared" ref="F5:F12" si="1">MAX(B5:D5)</f>
        <v>0.64269293924466342</v>
      </c>
      <c r="G5">
        <f t="shared" ref="G5:G12" si="2">(F5-E5)*100</f>
        <v>1.8247126436781613</v>
      </c>
      <c r="I5">
        <f t="shared" ref="I5:I12" si="3">AVERAGE(B5:D5)</f>
        <v>0.63196496989600448</v>
      </c>
      <c r="J5" t="s">
        <v>5</v>
      </c>
      <c r="K5">
        <v>0.58594568300000005</v>
      </c>
      <c r="L5">
        <f>PEARSON('[1]Human Details'!$K$2:$K$16, '[1]gpt-4.1-mini-Details'!$K$2:$K$16)</f>
        <v>0.56215486685579941</v>
      </c>
      <c r="M5">
        <f>_xlfn.T.TEST('Human Details'!K2:K16, 'gpt-4.1-mini Details'!K2:K16,2,1)</f>
        <v>0.28661464799529518</v>
      </c>
    </row>
    <row r="6" spans="1:15" x14ac:dyDescent="0.25">
      <c r="A6" t="s">
        <v>6</v>
      </c>
      <c r="B6">
        <v>0.62411398464630641</v>
      </c>
      <c r="C6">
        <v>0.60958937195351914</v>
      </c>
      <c r="D6">
        <v>0.62180316089191245</v>
      </c>
      <c r="E6">
        <f t="shared" si="0"/>
        <v>0.60958937195351914</v>
      </c>
      <c r="F6">
        <f t="shared" si="1"/>
        <v>0.62411398464630641</v>
      </c>
      <c r="G6">
        <f t="shared" si="2"/>
        <v>1.4524612692787264</v>
      </c>
      <c r="I6">
        <f t="shared" si="3"/>
        <v>0.61850217249724604</v>
      </c>
      <c r="J6" t="s">
        <v>6</v>
      </c>
      <c r="K6">
        <v>0.503276689</v>
      </c>
      <c r="L6">
        <f>PEARSON('[1]Human Details'!$L$2:$L$16, '[1]gpt-4.1-mini-Details'!$L$2:$L$16)</f>
        <v>0.55107579992168187</v>
      </c>
      <c r="M6">
        <f>_xlfn.T.TEST('Human Details'!L2:L16, 'gpt-4.1-mini Details'!L2:L16,2,1)</f>
        <v>8.4748450378080487E-2</v>
      </c>
    </row>
    <row r="7" spans="1:15" x14ac:dyDescent="0.25">
      <c r="A7" t="s">
        <v>7</v>
      </c>
      <c r="B7">
        <v>0.75828297912577958</v>
      </c>
      <c r="C7">
        <v>0.75907000002583747</v>
      </c>
      <c r="D7">
        <v>0.75907000002583747</v>
      </c>
      <c r="E7">
        <f t="shared" si="0"/>
        <v>0.75828297912577958</v>
      </c>
      <c r="F7">
        <f t="shared" si="1"/>
        <v>0.75907000002583747</v>
      </c>
      <c r="G7">
        <f t="shared" si="2"/>
        <v>7.8702090005788872E-2</v>
      </c>
      <c r="I7">
        <f t="shared" si="3"/>
        <v>0.7588076597258181</v>
      </c>
      <c r="J7" t="s">
        <v>7</v>
      </c>
      <c r="K7">
        <v>0.24528230000000001</v>
      </c>
      <c r="L7">
        <f>PEARSON('[1]Human Details'!$M$2:$M$16, '[1]gpt-4.1-mini-Details'!$M$2:$M$16)</f>
        <v>0.26938296177516874</v>
      </c>
      <c r="M7">
        <f>_xlfn.T.TEST('Human Details'!M2:M16, 'gpt-4.1-mini Details'!M2:M16,2,1)</f>
        <v>3.3677965720193662E-5</v>
      </c>
    </row>
    <row r="8" spans="1:15" x14ac:dyDescent="0.25">
      <c r="A8" t="s">
        <v>8</v>
      </c>
      <c r="B8">
        <v>0.27292447328324371</v>
      </c>
      <c r="C8">
        <v>0.27443562678310868</v>
      </c>
      <c r="D8">
        <v>0.26116769857053829</v>
      </c>
      <c r="E8">
        <f t="shared" si="0"/>
        <v>0.26116769857053829</v>
      </c>
      <c r="F8">
        <f t="shared" si="1"/>
        <v>0.27443562678310868</v>
      </c>
      <c r="G8">
        <f t="shared" si="2"/>
        <v>1.326792821257039</v>
      </c>
      <c r="I8">
        <f t="shared" si="3"/>
        <v>0.26950926621229687</v>
      </c>
      <c r="J8" t="s">
        <v>8</v>
      </c>
      <c r="K8">
        <v>0.40351567199999999</v>
      </c>
      <c r="L8">
        <f>PEARSON('[1]Human Details'!$N$2:$N$16, '[1]gpt-4.1-mini-Details'!$N$2:$N$16)</f>
        <v>0.36082995651787875</v>
      </c>
      <c r="M8">
        <f>_xlfn.T.TEST('Human Details'!N2:N16, 'gpt-4.1-mini Details'!N2:N16,2,1)</f>
        <v>0.6988549756964495</v>
      </c>
    </row>
    <row r="9" spans="1:15" x14ac:dyDescent="0.25">
      <c r="A9" t="s">
        <v>9</v>
      </c>
      <c r="B9">
        <v>0.59892572244511921</v>
      </c>
      <c r="C9">
        <v>0.60156607463450995</v>
      </c>
      <c r="D9">
        <v>0.59534114766573121</v>
      </c>
      <c r="E9">
        <f t="shared" si="0"/>
        <v>0.59534114766573121</v>
      </c>
      <c r="F9">
        <f t="shared" si="1"/>
        <v>0.60156607463450995</v>
      </c>
      <c r="G9">
        <f t="shared" si="2"/>
        <v>0.62249269687787434</v>
      </c>
      <c r="I9">
        <f t="shared" si="3"/>
        <v>0.59861098158178683</v>
      </c>
      <c r="J9" t="s">
        <v>9</v>
      </c>
      <c r="K9">
        <v>0.44812488099999997</v>
      </c>
      <c r="L9">
        <f>PEARSON('[1]Human Details'!$O$2:$O$16, '[1]gpt-4.1-mini-Details'!$O$2:$O$16)</f>
        <v>0.46513087562715405</v>
      </c>
      <c r="M9">
        <f>_xlfn.T.TEST('Human Details'!O2:O16, 'gpt-4.1-mini Details'!O2:O16,2,1)</f>
        <v>0.17697202988021674</v>
      </c>
    </row>
    <row r="10" spans="1:15" x14ac:dyDescent="0.25">
      <c r="A10" t="s">
        <v>10</v>
      </c>
      <c r="B10">
        <v>0.3466954022988506</v>
      </c>
      <c r="C10">
        <v>0.3466954022988506</v>
      </c>
      <c r="D10">
        <v>0.3466954022988506</v>
      </c>
      <c r="E10">
        <f t="shared" si="0"/>
        <v>0.3466954022988506</v>
      </c>
      <c r="F10">
        <f t="shared" si="1"/>
        <v>0.3466954022988506</v>
      </c>
      <c r="G10">
        <f t="shared" si="2"/>
        <v>0</v>
      </c>
      <c r="I10">
        <f t="shared" si="3"/>
        <v>0.3466954022988506</v>
      </c>
    </row>
    <row r="11" spans="1:15" x14ac:dyDescent="0.25">
      <c r="A11" t="s">
        <v>11</v>
      </c>
      <c r="B11">
        <v>0.50862068965517238</v>
      </c>
      <c r="C11">
        <v>0.50862068965517238</v>
      </c>
      <c r="D11">
        <v>0.50862068965517238</v>
      </c>
      <c r="E11">
        <f t="shared" si="0"/>
        <v>0.50862068965517238</v>
      </c>
      <c r="F11">
        <f t="shared" si="1"/>
        <v>0.50862068965517238</v>
      </c>
      <c r="G11">
        <f t="shared" si="2"/>
        <v>0</v>
      </c>
      <c r="I11">
        <f t="shared" si="3"/>
        <v>0.50862068965517238</v>
      </c>
    </row>
    <row r="12" spans="1:15" x14ac:dyDescent="0.25">
      <c r="A12" t="s">
        <v>12</v>
      </c>
      <c r="B12">
        <v>12.829803801816089</v>
      </c>
      <c r="C12">
        <v>12.829803801816089</v>
      </c>
      <c r="D12">
        <v>12.829803801816089</v>
      </c>
      <c r="E12">
        <f t="shared" si="0"/>
        <v>12.829803801816089</v>
      </c>
      <c r="F12">
        <f t="shared" si="1"/>
        <v>12.829803801816089</v>
      </c>
      <c r="G12">
        <f t="shared" si="2"/>
        <v>0</v>
      </c>
      <c r="I12">
        <f t="shared" si="3"/>
        <v>12.829803801816089</v>
      </c>
    </row>
    <row r="13" spans="1:15" x14ac:dyDescent="0.25">
      <c r="J13">
        <f>PEARSON('[1]Human Details'!$J$2:$J$16, '[1]gpt-4.1-mini-Details'!$J$2:$J$16)</f>
        <v>0.73322697783828605</v>
      </c>
      <c r="K13">
        <f>PEARSON('[1]Human Details'!$K$2:$K$16, '[1]gpt-4.1-mini-Details'!$K$2:$K$16)</f>
        <v>0.56215486685579941</v>
      </c>
      <c r="L13">
        <f>PEARSON('[1]Human Details'!$L$2:$L$16, '[1]gpt-4.1-mini-Details'!$L$2:$L$16)</f>
        <v>0.55107579992168187</v>
      </c>
      <c r="M13">
        <f>PEARSON('[1]Human Details'!$M$2:$M$16, '[1]gpt-4.1-mini-Details'!$M$2:$M$16)</f>
        <v>0.26938296177516874</v>
      </c>
      <c r="N13">
        <f>PEARSON('[1]Human Details'!$N$2:$N$16, '[1]gpt-4.1-mini-Details'!$N$2:$N$16)</f>
        <v>0.36082995651787875</v>
      </c>
      <c r="O13">
        <f>PEARSON('[1]Human Details'!$O$2:$O$16, '[1]gpt-4.1-mini-Details'!$O$2:$O$16)</f>
        <v>0.46513087562715405</v>
      </c>
    </row>
    <row r="15" spans="1:15" x14ac:dyDescent="0.25">
      <c r="A15" t="s">
        <v>13</v>
      </c>
    </row>
    <row r="17" spans="1:12" x14ac:dyDescent="0.25">
      <c r="B17" t="s">
        <v>0</v>
      </c>
      <c r="C17" t="s">
        <v>1</v>
      </c>
      <c r="D17" t="s">
        <v>2</v>
      </c>
      <c r="I17" t="s">
        <v>3</v>
      </c>
      <c r="J17" t="s">
        <v>14</v>
      </c>
      <c r="K17" t="s">
        <v>15</v>
      </c>
      <c r="L17" t="s">
        <v>154</v>
      </c>
    </row>
    <row r="18" spans="1:12" x14ac:dyDescent="0.25">
      <c r="A18" t="s">
        <v>4</v>
      </c>
      <c r="B18">
        <v>0.64263006338899198</v>
      </c>
      <c r="C18">
        <v>0.6349362780778709</v>
      </c>
      <c r="D18">
        <v>0.63637490981240996</v>
      </c>
      <c r="I18">
        <f>AVERAGE(B18:D18)</f>
        <v>0.63798041709309095</v>
      </c>
      <c r="J18">
        <f>0.57370678</f>
        <v>0.57370677999999997</v>
      </c>
      <c r="K18">
        <f>0.65302115</f>
        <v>0.65302115000000005</v>
      </c>
      <c r="L18">
        <f>_xlfn.T.TEST('Human Details'!J2:J16, 'qwen Details'!J2:J16,2,1)</f>
        <v>0.58633549650252292</v>
      </c>
    </row>
    <row r="19" spans="1:12" x14ac:dyDescent="0.25">
      <c r="A19" t="s">
        <v>5</v>
      </c>
      <c r="B19">
        <v>0.68697722567287778</v>
      </c>
      <c r="C19">
        <v>0.69513546798029557</v>
      </c>
      <c r="D19">
        <v>0.69039408866995067</v>
      </c>
      <c r="I19">
        <f t="shared" ref="I19:I26" si="4">AVERAGE(B19:D19)</f>
        <v>0.69083559410770812</v>
      </c>
      <c r="J19">
        <f>0.74415851</f>
        <v>0.74415851</v>
      </c>
      <c r="K19">
        <f>0.73529279</f>
        <v>0.73529279000000003</v>
      </c>
      <c r="L19">
        <f>_xlfn.T.TEST('Human Details'!K2:K16, 'qwen Details'!K2:K16,2,1)</f>
        <v>0.26913217146835622</v>
      </c>
    </row>
    <row r="20" spans="1:12" x14ac:dyDescent="0.25">
      <c r="A20" t="s">
        <v>6</v>
      </c>
      <c r="B20">
        <v>0.71522946857201253</v>
      </c>
      <c r="C20">
        <v>0.71342193483896665</v>
      </c>
      <c r="D20">
        <v>0.71805555552915978</v>
      </c>
      <c r="I20">
        <f t="shared" si="4"/>
        <v>0.71556898631337962</v>
      </c>
      <c r="J20">
        <f>0.22305764</f>
        <v>0.22305764</v>
      </c>
      <c r="K20">
        <f>0.41218722</f>
        <v>0.41218722000000002</v>
      </c>
      <c r="L20">
        <f>_xlfn.T.TEST('Human Details'!L2:L16, 'qwen Details'!L2:L16,2,1)</f>
        <v>0.27693847083527001</v>
      </c>
    </row>
    <row r="21" spans="1:12" x14ac:dyDescent="0.25">
      <c r="A21" t="s">
        <v>7</v>
      </c>
      <c r="B21">
        <v>0.76445786427386186</v>
      </c>
      <c r="C21">
        <v>0.76511235363239083</v>
      </c>
      <c r="D21">
        <v>0.76511235363239083</v>
      </c>
      <c r="I21">
        <f t="shared" si="4"/>
        <v>0.7648941905128811</v>
      </c>
      <c r="J21">
        <f>0.04769378</f>
        <v>4.7693779999999998E-2</v>
      </c>
      <c r="K21">
        <f>0.14385935</f>
        <v>0.14385935</v>
      </c>
      <c r="L21">
        <f>_xlfn.T.TEST('Human Details'!M2:M16, 'qwen Details'!M2:M16,2,1)</f>
        <v>5.6580739129754563E-5</v>
      </c>
    </row>
    <row r="22" spans="1:12" x14ac:dyDescent="0.25">
      <c r="A22" t="s">
        <v>8</v>
      </c>
      <c r="B22">
        <v>0.112832086749091</v>
      </c>
      <c r="C22">
        <v>0.1131720922855138</v>
      </c>
      <c r="D22">
        <v>0.1134833949669467</v>
      </c>
      <c r="I22">
        <f t="shared" si="4"/>
        <v>0.11316252466718384</v>
      </c>
      <c r="J22">
        <f>0.45819723</f>
        <v>0.45819723000000001</v>
      </c>
      <c r="K22">
        <v>0.16880377899999999</v>
      </c>
      <c r="L22">
        <f>_xlfn.T.TEST('Human Details'!N2:N16, 'qwen Details'!N2:N16,2,1)</f>
        <v>2.8623459880346407E-2</v>
      </c>
    </row>
    <row r="23" spans="1:12" x14ac:dyDescent="0.25">
      <c r="A23" t="s">
        <v>9</v>
      </c>
      <c r="B23">
        <v>0.53499107956067182</v>
      </c>
      <c r="C23">
        <v>0.53717342066995044</v>
      </c>
      <c r="D23">
        <v>0.53762223812016963</v>
      </c>
      <c r="I23">
        <f t="shared" si="4"/>
        <v>0.53659557945026393</v>
      </c>
      <c r="J23">
        <f>-0.14656358</f>
        <v>-0.14656358</v>
      </c>
      <c r="K23">
        <f>0.37830878</f>
        <v>0.37830878000000001</v>
      </c>
      <c r="L23">
        <f>_xlfn.T.TEST('Human Details'!O2:O16, 'qwen Details'!O2:O16,2,1)</f>
        <v>0.26703064066801963</v>
      </c>
    </row>
    <row r="24" spans="1:12" x14ac:dyDescent="0.25">
      <c r="A24" t="s">
        <v>10</v>
      </c>
      <c r="B24">
        <v>0.31057971014492758</v>
      </c>
      <c r="C24">
        <v>0.31652298850574712</v>
      </c>
      <c r="D24">
        <v>0.31652298850574712</v>
      </c>
      <c r="I24">
        <f t="shared" si="4"/>
        <v>0.31454189571880725</v>
      </c>
    </row>
    <row r="25" spans="1:12" x14ac:dyDescent="0.25">
      <c r="A25" t="s">
        <v>11</v>
      </c>
      <c r="B25">
        <v>0.46086956521739131</v>
      </c>
      <c r="C25">
        <v>0.46551724137931028</v>
      </c>
      <c r="D25">
        <v>0.46551724137931028</v>
      </c>
      <c r="I25">
        <f t="shared" si="4"/>
        <v>0.46396801599200393</v>
      </c>
    </row>
    <row r="26" spans="1:12" x14ac:dyDescent="0.25">
      <c r="A26" t="s">
        <v>12</v>
      </c>
      <c r="B26">
        <v>11.52793571223383</v>
      </c>
      <c r="C26">
        <v>11.658797385363741</v>
      </c>
      <c r="D26">
        <v>11.658797385363741</v>
      </c>
      <c r="I26">
        <f t="shared" si="4"/>
        <v>11.615176827653769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60C7C-68E4-49C0-9EBF-53BB29289959}">
  <dimension ref="A1:Z16"/>
  <sheetViews>
    <sheetView topLeftCell="G1" workbookViewId="0">
      <selection activeCell="L2" sqref="L2"/>
    </sheetView>
  </sheetViews>
  <sheetFormatPr baseColWidth="10"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6" ht="90" x14ac:dyDescent="0.25">
      <c r="A1" s="2" t="s">
        <v>16</v>
      </c>
      <c r="B1" s="2" t="s">
        <v>17</v>
      </c>
      <c r="C1" s="2" t="s">
        <v>18</v>
      </c>
      <c r="D1" s="2" t="s">
        <v>19</v>
      </c>
      <c r="E1" s="2" t="s">
        <v>20</v>
      </c>
      <c r="F1" s="2" t="s">
        <v>21</v>
      </c>
      <c r="G1" s="2" t="s">
        <v>22</v>
      </c>
      <c r="H1" s="2" t="s">
        <v>23</v>
      </c>
      <c r="I1" s="2" t="s">
        <v>24</v>
      </c>
      <c r="J1" s="2" t="s">
        <v>4</v>
      </c>
      <c r="K1" s="2" t="s">
        <v>5</v>
      </c>
      <c r="L1" s="2" t="s">
        <v>6</v>
      </c>
      <c r="M1" s="2" t="s">
        <v>7</v>
      </c>
      <c r="N1" s="2" t="s">
        <v>8</v>
      </c>
      <c r="O1" s="2" t="s">
        <v>9</v>
      </c>
      <c r="P1" s="2" t="s">
        <v>25</v>
      </c>
      <c r="Q1" s="2" t="s">
        <v>26</v>
      </c>
      <c r="R1" s="2" t="s">
        <v>12</v>
      </c>
      <c r="S1" s="2" t="s">
        <v>27</v>
      </c>
      <c r="T1" s="2" t="s">
        <v>28</v>
      </c>
      <c r="U1" s="2" t="s">
        <v>29</v>
      </c>
      <c r="V1" s="2" t="s">
        <v>30</v>
      </c>
      <c r="W1" s="2" t="s">
        <v>31</v>
      </c>
      <c r="X1" s="2" t="s">
        <v>32</v>
      </c>
      <c r="Y1" s="2" t="s">
        <v>33</v>
      </c>
      <c r="Z1" s="2" t="s">
        <v>34</v>
      </c>
    </row>
    <row r="2" spans="1:26" ht="409.5" x14ac:dyDescent="0.25">
      <c r="A2">
        <v>1</v>
      </c>
      <c r="B2" t="s">
        <v>35</v>
      </c>
      <c r="C2" t="s">
        <v>36</v>
      </c>
      <c r="D2" s="3" t="s">
        <v>37</v>
      </c>
      <c r="E2" s="3" t="s">
        <v>38</v>
      </c>
      <c r="F2" s="3" t="s">
        <v>39</v>
      </c>
      <c r="G2" s="3" t="s">
        <v>40</v>
      </c>
      <c r="H2" t="s">
        <v>41</v>
      </c>
      <c r="I2" t="s">
        <v>42</v>
      </c>
      <c r="J2" s="1">
        <v>1</v>
      </c>
      <c r="K2">
        <v>1</v>
      </c>
      <c r="L2">
        <v>0.68</v>
      </c>
      <c r="M2">
        <v>0.75</v>
      </c>
      <c r="N2">
        <f>IFERROR(X2/(X2+Y2), 0)</f>
        <v>0.45454545454545453</v>
      </c>
      <c r="O2">
        <v>1</v>
      </c>
      <c r="P2">
        <v>0</v>
      </c>
      <c r="Q2">
        <v>0</v>
      </c>
      <c r="R2">
        <v>45.547114849090583</v>
      </c>
      <c r="S2">
        <v>5</v>
      </c>
      <c r="T2">
        <v>45.547114849090583</v>
      </c>
      <c r="U2" t="s">
        <v>43</v>
      </c>
      <c r="V2" t="s">
        <v>44</v>
      </c>
      <c r="W2" t="s">
        <v>45</v>
      </c>
      <c r="X2">
        <v>5</v>
      </c>
      <c r="Y2">
        <v>6</v>
      </c>
      <c r="Z2" t="s">
        <v>46</v>
      </c>
    </row>
    <row r="3" spans="1:26" ht="409.5" x14ac:dyDescent="0.25">
      <c r="A3">
        <v>8</v>
      </c>
      <c r="B3" t="s">
        <v>35</v>
      </c>
      <c r="C3" t="s">
        <v>47</v>
      </c>
      <c r="D3" s="3" t="s">
        <v>48</v>
      </c>
      <c r="E3" s="3" t="s">
        <v>49</v>
      </c>
      <c r="F3" s="3" t="s">
        <v>50</v>
      </c>
      <c r="G3" s="3" t="s">
        <v>51</v>
      </c>
      <c r="H3" t="s">
        <v>52</v>
      </c>
      <c r="I3" t="s">
        <v>53</v>
      </c>
      <c r="J3" s="1">
        <v>0.5</v>
      </c>
      <c r="K3">
        <v>0</v>
      </c>
      <c r="L3">
        <v>1</v>
      </c>
      <c r="M3">
        <v>0</v>
      </c>
      <c r="N3">
        <f t="shared" ref="N3:N16" si="0">IFERROR(X3/(X3+Y3), 0)</f>
        <v>0</v>
      </c>
      <c r="O3">
        <v>0</v>
      </c>
      <c r="P3">
        <v>0</v>
      </c>
      <c r="Q3">
        <v>0</v>
      </c>
      <c r="R3">
        <v>10.010499954223629</v>
      </c>
      <c r="S3">
        <v>5</v>
      </c>
      <c r="T3">
        <v>10.010499954223629</v>
      </c>
      <c r="Z3" t="s">
        <v>54</v>
      </c>
    </row>
    <row r="4" spans="1:26" ht="409.5" x14ac:dyDescent="0.25">
      <c r="A4">
        <v>11</v>
      </c>
      <c r="B4" t="s">
        <v>55</v>
      </c>
      <c r="C4" t="s">
        <v>36</v>
      </c>
      <c r="D4" s="3" t="s">
        <v>56</v>
      </c>
      <c r="E4" s="3" t="s">
        <v>57</v>
      </c>
      <c r="F4" s="3" t="s">
        <v>58</v>
      </c>
      <c r="G4" s="3" t="s">
        <v>59</v>
      </c>
      <c r="H4" t="s">
        <v>60</v>
      </c>
      <c r="I4" t="s">
        <v>61</v>
      </c>
      <c r="J4" s="1">
        <f>0.5</f>
        <v>0.5</v>
      </c>
      <c r="K4">
        <v>1</v>
      </c>
      <c r="L4">
        <v>1</v>
      </c>
      <c r="M4">
        <v>0.5</v>
      </c>
      <c r="N4">
        <f t="shared" si="0"/>
        <v>0.27272727272727271</v>
      </c>
      <c r="O4">
        <v>0.5</v>
      </c>
      <c r="P4">
        <v>0.5</v>
      </c>
      <c r="Q4">
        <v>1</v>
      </c>
      <c r="R4">
        <v>9.4738509654998779</v>
      </c>
      <c r="S4">
        <v>5</v>
      </c>
      <c r="T4">
        <v>9.4738509654998779</v>
      </c>
      <c r="U4" s="4" t="s">
        <v>62</v>
      </c>
      <c r="V4" s="4" t="s">
        <v>63</v>
      </c>
      <c r="X4">
        <v>3</v>
      </c>
      <c r="Y4">
        <v>8</v>
      </c>
    </row>
    <row r="5" spans="1:26" ht="409.5" x14ac:dyDescent="0.25">
      <c r="A5">
        <v>17</v>
      </c>
      <c r="B5" t="s">
        <v>64</v>
      </c>
      <c r="C5" t="s">
        <v>65</v>
      </c>
      <c r="D5" s="3" t="s">
        <v>66</v>
      </c>
      <c r="E5" s="3" t="s">
        <v>67</v>
      </c>
      <c r="F5" s="3" t="s">
        <v>68</v>
      </c>
      <c r="G5" s="3" t="s">
        <v>69</v>
      </c>
      <c r="H5" t="s">
        <v>70</v>
      </c>
      <c r="I5" t="s">
        <v>71</v>
      </c>
      <c r="J5" s="1">
        <f>2/3</f>
        <v>0.66666666666666663</v>
      </c>
      <c r="K5">
        <f>3/9</f>
        <v>0.33333333333333331</v>
      </c>
      <c r="L5">
        <v>0.32500000000000001</v>
      </c>
      <c r="M5">
        <v>0.5</v>
      </c>
      <c r="N5">
        <f t="shared" si="0"/>
        <v>0.33333333333333331</v>
      </c>
      <c r="O5">
        <v>0.5</v>
      </c>
      <c r="P5">
        <v>0.5</v>
      </c>
      <c r="Q5">
        <v>1</v>
      </c>
      <c r="R5">
        <v>7.7230634689331046</v>
      </c>
      <c r="S5">
        <v>5</v>
      </c>
      <c r="T5">
        <v>7.7230634689331046</v>
      </c>
      <c r="U5" t="s">
        <v>72</v>
      </c>
      <c r="V5" t="s">
        <v>73</v>
      </c>
      <c r="W5" t="s">
        <v>74</v>
      </c>
      <c r="X5">
        <v>3</v>
      </c>
      <c r="Y5">
        <v>6</v>
      </c>
      <c r="Z5" t="s">
        <v>75</v>
      </c>
    </row>
    <row r="6" spans="1:26" ht="409.5" x14ac:dyDescent="0.25">
      <c r="A6">
        <v>20</v>
      </c>
      <c r="B6" t="s">
        <v>64</v>
      </c>
      <c r="C6" t="s">
        <v>47</v>
      </c>
      <c r="D6" s="3" t="s">
        <v>76</v>
      </c>
      <c r="E6" s="3" t="s">
        <v>77</v>
      </c>
      <c r="F6" s="3" t="s">
        <v>78</v>
      </c>
      <c r="G6" s="3" t="s">
        <v>79</v>
      </c>
      <c r="H6" t="s">
        <v>80</v>
      </c>
      <c r="I6" t="s">
        <v>71</v>
      </c>
      <c r="J6" s="1">
        <v>0.9</v>
      </c>
      <c r="K6">
        <v>0.75</v>
      </c>
      <c r="L6">
        <v>1</v>
      </c>
      <c r="M6">
        <v>0.5</v>
      </c>
      <c r="N6">
        <v>0.25</v>
      </c>
      <c r="O6">
        <v>0.8</v>
      </c>
      <c r="P6">
        <v>1</v>
      </c>
      <c r="Q6">
        <v>1</v>
      </c>
      <c r="R6">
        <v>8.7654869556427002</v>
      </c>
      <c r="S6">
        <v>5</v>
      </c>
      <c r="T6">
        <v>8.7654869556427002</v>
      </c>
      <c r="Z6" s="5" t="s">
        <v>81</v>
      </c>
    </row>
    <row r="7" spans="1:26" ht="409.5" x14ac:dyDescent="0.25">
      <c r="A7">
        <v>30</v>
      </c>
      <c r="B7" t="s">
        <v>82</v>
      </c>
      <c r="C7" t="s">
        <v>65</v>
      </c>
      <c r="D7" s="3" t="s">
        <v>83</v>
      </c>
      <c r="E7" s="3" t="s">
        <v>84</v>
      </c>
      <c r="F7" s="3" t="s">
        <v>85</v>
      </c>
      <c r="G7" s="3" t="s">
        <v>86</v>
      </c>
      <c r="H7" t="s">
        <v>87</v>
      </c>
      <c r="I7" t="s">
        <v>88</v>
      </c>
      <c r="J7" s="1">
        <f>2/6</f>
        <v>0.33333333333333331</v>
      </c>
      <c r="K7">
        <v>0</v>
      </c>
      <c r="L7">
        <v>0.75</v>
      </c>
      <c r="M7">
        <v>0.25</v>
      </c>
      <c r="N7">
        <f t="shared" si="0"/>
        <v>0</v>
      </c>
      <c r="O7">
        <v>0.25</v>
      </c>
      <c r="P7">
        <v>0</v>
      </c>
      <c r="Q7">
        <v>0</v>
      </c>
      <c r="R7">
        <v>9.9265642166137695</v>
      </c>
      <c r="S7">
        <v>5</v>
      </c>
      <c r="T7">
        <v>9.9265642166137695</v>
      </c>
      <c r="Z7" t="s">
        <v>89</v>
      </c>
    </row>
    <row r="8" spans="1:26" ht="409.5" x14ac:dyDescent="0.25">
      <c r="A8">
        <v>33</v>
      </c>
      <c r="B8" t="s">
        <v>90</v>
      </c>
      <c r="C8" t="s">
        <v>65</v>
      </c>
      <c r="D8" s="3" t="s">
        <v>91</v>
      </c>
      <c r="E8" s="3" t="s">
        <v>92</v>
      </c>
      <c r="F8" s="3" t="s">
        <v>93</v>
      </c>
      <c r="G8" s="3" t="s">
        <v>94</v>
      </c>
      <c r="H8" t="s">
        <v>95</v>
      </c>
      <c r="I8" t="s">
        <v>71</v>
      </c>
      <c r="J8" s="1">
        <v>0.5</v>
      </c>
      <c r="K8">
        <v>1</v>
      </c>
      <c r="L8">
        <v>0.87</v>
      </c>
      <c r="M8">
        <v>0.75</v>
      </c>
      <c r="N8">
        <v>1</v>
      </c>
      <c r="O8">
        <v>0.75</v>
      </c>
      <c r="P8">
        <v>0.2</v>
      </c>
      <c r="Q8">
        <v>1</v>
      </c>
      <c r="R8">
        <v>8.1560134887695313</v>
      </c>
      <c r="S8">
        <v>5</v>
      </c>
      <c r="T8">
        <v>8.1560134887695313</v>
      </c>
    </row>
    <row r="9" spans="1:26" ht="409.5" x14ac:dyDescent="0.25">
      <c r="A9">
        <v>34</v>
      </c>
      <c r="B9" t="s">
        <v>90</v>
      </c>
      <c r="C9" t="s">
        <v>36</v>
      </c>
      <c r="D9" s="3" t="s">
        <v>96</v>
      </c>
      <c r="E9" s="3" t="s">
        <v>97</v>
      </c>
      <c r="F9" s="3" t="s">
        <v>98</v>
      </c>
      <c r="G9" s="3" t="s">
        <v>99</v>
      </c>
      <c r="H9" t="s">
        <v>100</v>
      </c>
      <c r="I9" t="s">
        <v>42</v>
      </c>
      <c r="J9" s="1">
        <v>0</v>
      </c>
      <c r="K9">
        <v>0</v>
      </c>
      <c r="L9">
        <v>0</v>
      </c>
      <c r="M9">
        <v>0.5</v>
      </c>
      <c r="N9">
        <v>0</v>
      </c>
      <c r="O9">
        <v>1</v>
      </c>
      <c r="P9">
        <v>0.33333333333333331</v>
      </c>
      <c r="Q9">
        <v>1</v>
      </c>
      <c r="R9">
        <v>11.905722618103029</v>
      </c>
      <c r="S9">
        <v>5</v>
      </c>
      <c r="T9">
        <v>11.905722618103029</v>
      </c>
    </row>
    <row r="10" spans="1:26" ht="409.5" x14ac:dyDescent="0.25">
      <c r="A10">
        <v>64</v>
      </c>
      <c r="B10" t="s">
        <v>101</v>
      </c>
      <c r="C10" t="s">
        <v>36</v>
      </c>
      <c r="D10" s="3" t="s">
        <v>102</v>
      </c>
      <c r="E10" s="3" t="s">
        <v>103</v>
      </c>
      <c r="F10" s="3" t="s">
        <v>104</v>
      </c>
      <c r="G10" s="3" t="s">
        <v>105</v>
      </c>
      <c r="H10" t="s">
        <v>106</v>
      </c>
      <c r="I10" t="s">
        <v>61</v>
      </c>
      <c r="J10" s="1">
        <v>0</v>
      </c>
      <c r="K10">
        <v>0</v>
      </c>
      <c r="L10">
        <v>0</v>
      </c>
      <c r="M10">
        <v>0</v>
      </c>
      <c r="N10">
        <f t="shared" si="0"/>
        <v>0</v>
      </c>
      <c r="O10">
        <v>0</v>
      </c>
      <c r="P10">
        <v>0</v>
      </c>
      <c r="Q10">
        <v>0</v>
      </c>
      <c r="R10">
        <v>19.49518513679504</v>
      </c>
      <c r="S10">
        <v>5</v>
      </c>
      <c r="T10">
        <v>19.49518513679504</v>
      </c>
    </row>
    <row r="11" spans="1:26" ht="409.5" x14ac:dyDescent="0.25">
      <c r="A11">
        <v>65</v>
      </c>
      <c r="B11" t="s">
        <v>101</v>
      </c>
      <c r="C11" t="s">
        <v>47</v>
      </c>
      <c r="D11" s="3" t="s">
        <v>107</v>
      </c>
      <c r="E11" s="3" t="s">
        <v>108</v>
      </c>
      <c r="F11" s="3" t="s">
        <v>109</v>
      </c>
      <c r="G11" s="3" t="s">
        <v>110</v>
      </c>
      <c r="H11" t="s">
        <v>111</v>
      </c>
      <c r="I11" t="s">
        <v>112</v>
      </c>
      <c r="J11" s="1">
        <f>4/6</f>
        <v>0.66666666666666663</v>
      </c>
      <c r="K11">
        <v>1</v>
      </c>
      <c r="L11">
        <v>1</v>
      </c>
      <c r="M11">
        <v>0.5</v>
      </c>
      <c r="N11">
        <v>1</v>
      </c>
      <c r="O11">
        <v>1</v>
      </c>
      <c r="P11">
        <v>1</v>
      </c>
      <c r="Q11">
        <v>1</v>
      </c>
      <c r="R11">
        <v>10.89683628082275</v>
      </c>
      <c r="S11">
        <v>5</v>
      </c>
      <c r="T11">
        <v>10.89683628082275</v>
      </c>
    </row>
    <row r="12" spans="1:26" ht="409.5" x14ac:dyDescent="0.25">
      <c r="A12">
        <v>84</v>
      </c>
      <c r="B12" t="s">
        <v>90</v>
      </c>
      <c r="C12" t="s">
        <v>36</v>
      </c>
      <c r="D12" s="3" t="s">
        <v>113</v>
      </c>
      <c r="E12" s="3" t="s">
        <v>114</v>
      </c>
      <c r="F12" s="3" t="s">
        <v>115</v>
      </c>
      <c r="G12" s="3" t="s">
        <v>116</v>
      </c>
      <c r="H12" t="s">
        <v>117</v>
      </c>
      <c r="I12" t="s">
        <v>71</v>
      </c>
      <c r="J12" s="1">
        <f>5/7</f>
        <v>0.7142857142857143</v>
      </c>
      <c r="K12">
        <f>2/5</f>
        <v>0.4</v>
      </c>
      <c r="L12">
        <v>1</v>
      </c>
      <c r="M12">
        <v>0.5</v>
      </c>
      <c r="N12">
        <f>IFERROR(X12/(X12+Y12), 0)</f>
        <v>0.11428571428571428</v>
      </c>
      <c r="O12">
        <v>1</v>
      </c>
      <c r="P12" s="6">
        <v>0</v>
      </c>
      <c r="Q12" s="6">
        <v>0</v>
      </c>
      <c r="R12">
        <v>11.943759441375731</v>
      </c>
      <c r="S12">
        <v>5</v>
      </c>
      <c r="T12">
        <v>11.943759441375731</v>
      </c>
      <c r="X12">
        <v>4</v>
      </c>
      <c r="Y12">
        <v>31</v>
      </c>
      <c r="Z12" t="s">
        <v>118</v>
      </c>
    </row>
    <row r="13" spans="1:26" ht="409.5" x14ac:dyDescent="0.25">
      <c r="A13">
        <v>89</v>
      </c>
      <c r="B13" t="s">
        <v>119</v>
      </c>
      <c r="C13" t="s">
        <v>65</v>
      </c>
      <c r="D13" s="3" t="s">
        <v>120</v>
      </c>
      <c r="E13" s="3" t="s">
        <v>121</v>
      </c>
      <c r="F13" s="3" t="s">
        <v>122</v>
      </c>
      <c r="G13" s="3" t="s">
        <v>123</v>
      </c>
      <c r="H13" t="s">
        <v>124</v>
      </c>
      <c r="I13" t="s">
        <v>125</v>
      </c>
      <c r="J13" s="1">
        <v>0</v>
      </c>
      <c r="K13">
        <v>0</v>
      </c>
      <c r="L13">
        <v>0</v>
      </c>
      <c r="M13">
        <v>0</v>
      </c>
      <c r="N13">
        <f t="shared" ref="N13:N14" si="1">IFERROR(X13/(X13+Y13), 0)</f>
        <v>0</v>
      </c>
      <c r="O13">
        <v>0.2</v>
      </c>
      <c r="P13">
        <v>0</v>
      </c>
      <c r="Q13">
        <v>0</v>
      </c>
      <c r="R13">
        <v>8.4058101177215576</v>
      </c>
      <c r="S13">
        <v>5</v>
      </c>
      <c r="T13">
        <v>8.4058101177215576</v>
      </c>
      <c r="Z13" t="s">
        <v>126</v>
      </c>
    </row>
    <row r="14" spans="1:26" ht="409.5" x14ac:dyDescent="0.25">
      <c r="A14">
        <v>91</v>
      </c>
      <c r="B14" t="s">
        <v>119</v>
      </c>
      <c r="C14" t="s">
        <v>47</v>
      </c>
      <c r="D14" s="3" t="s">
        <v>127</v>
      </c>
      <c r="E14" s="3" t="s">
        <v>128</v>
      </c>
      <c r="F14" s="3" t="s">
        <v>129</v>
      </c>
      <c r="G14" s="3" t="s">
        <v>130</v>
      </c>
      <c r="H14" t="s">
        <v>131</v>
      </c>
      <c r="I14" t="s">
        <v>125</v>
      </c>
      <c r="J14" s="1">
        <f>6/13</f>
        <v>0.46153846153846156</v>
      </c>
      <c r="K14">
        <f>6/14</f>
        <v>0.42857142857142855</v>
      </c>
      <c r="L14">
        <v>0.5</v>
      </c>
      <c r="M14">
        <v>0.5</v>
      </c>
      <c r="N14">
        <f t="shared" si="1"/>
        <v>0.65384615384615385</v>
      </c>
      <c r="O14">
        <f>0.75</f>
        <v>0.75</v>
      </c>
      <c r="P14" s="7">
        <v>0.5</v>
      </c>
      <c r="Q14" s="7">
        <v>1</v>
      </c>
      <c r="R14">
        <v>14.452758550643919</v>
      </c>
      <c r="S14">
        <v>5</v>
      </c>
      <c r="T14">
        <v>14.452758550643919</v>
      </c>
      <c r="U14" s="5" t="s">
        <v>132</v>
      </c>
      <c r="V14" s="5" t="s">
        <v>133</v>
      </c>
      <c r="W14" s="5" t="s">
        <v>134</v>
      </c>
      <c r="X14">
        <v>17</v>
      </c>
      <c r="Y14">
        <v>9</v>
      </c>
      <c r="Z14" t="s">
        <v>135</v>
      </c>
    </row>
    <row r="15" spans="1:26" ht="409.5" x14ac:dyDescent="0.25">
      <c r="A15">
        <v>97</v>
      </c>
      <c r="B15" t="s">
        <v>119</v>
      </c>
      <c r="C15" t="s">
        <v>47</v>
      </c>
      <c r="D15" s="3" t="s">
        <v>136</v>
      </c>
      <c r="E15" s="3" t="s">
        <v>137</v>
      </c>
      <c r="F15" s="3" t="s">
        <v>138</v>
      </c>
      <c r="G15" s="3" t="s">
        <v>139</v>
      </c>
      <c r="H15" t="s">
        <v>140</v>
      </c>
      <c r="I15" t="s">
        <v>125</v>
      </c>
      <c r="J15" s="1">
        <f>4/10</f>
        <v>0.4</v>
      </c>
      <c r="K15">
        <f>2/5</f>
        <v>0.4</v>
      </c>
      <c r="L15">
        <f>0.5</f>
        <v>0.5</v>
      </c>
      <c r="M15">
        <v>0.25</v>
      </c>
      <c r="N15">
        <f t="shared" si="0"/>
        <v>0.6</v>
      </c>
      <c r="O15">
        <v>0.75</v>
      </c>
      <c r="P15" s="6">
        <v>0</v>
      </c>
      <c r="Q15" s="6">
        <v>0</v>
      </c>
      <c r="R15">
        <v>15.475528955459589</v>
      </c>
      <c r="S15">
        <v>5</v>
      </c>
      <c r="T15">
        <v>15.475528955459589</v>
      </c>
      <c r="U15" s="5" t="s">
        <v>141</v>
      </c>
      <c r="V15" s="5" t="s">
        <v>142</v>
      </c>
      <c r="W15" s="5" t="s">
        <v>143</v>
      </c>
      <c r="X15">
        <v>12</v>
      </c>
      <c r="Y15">
        <v>8</v>
      </c>
      <c r="Z15" s="5" t="s">
        <v>144</v>
      </c>
    </row>
    <row r="16" spans="1:26" ht="409.5" x14ac:dyDescent="0.25">
      <c r="A16">
        <v>110</v>
      </c>
      <c r="B16" t="s">
        <v>119</v>
      </c>
      <c r="C16" t="s">
        <v>65</v>
      </c>
      <c r="D16" s="3" t="s">
        <v>145</v>
      </c>
      <c r="E16" s="3" t="s">
        <v>146</v>
      </c>
      <c r="F16" s="3" t="s">
        <v>147</v>
      </c>
      <c r="G16" s="3" t="s">
        <v>148</v>
      </c>
      <c r="H16" t="s">
        <v>149</v>
      </c>
      <c r="I16" t="s">
        <v>150</v>
      </c>
      <c r="J16" s="1">
        <f>3/12</f>
        <v>0.25</v>
      </c>
      <c r="K16">
        <f>3/10</f>
        <v>0.3</v>
      </c>
      <c r="L16">
        <f>2.75/3</f>
        <v>0.91666666666666663</v>
      </c>
      <c r="M16">
        <v>0.25</v>
      </c>
      <c r="N16">
        <f t="shared" si="0"/>
        <v>0.26315789473684209</v>
      </c>
      <c r="O16">
        <v>0.25</v>
      </c>
      <c r="P16">
        <v>0</v>
      </c>
      <c r="Q16">
        <v>0</v>
      </c>
      <c r="R16">
        <v>16.019131183624271</v>
      </c>
      <c r="S16">
        <v>5</v>
      </c>
      <c r="T16">
        <v>16.019131183624271</v>
      </c>
      <c r="U16" s="5" t="s">
        <v>151</v>
      </c>
      <c r="V16" s="5" t="s">
        <v>152</v>
      </c>
      <c r="W16" s="5" t="s">
        <v>153</v>
      </c>
      <c r="X16">
        <v>5</v>
      </c>
      <c r="Y16">
        <v>14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FBAED-1856-40F0-9049-D3D9A87C5228}">
  <dimension ref="A1:T16"/>
  <sheetViews>
    <sheetView topLeftCell="A15" workbookViewId="0">
      <selection sqref="A1:T1048576"/>
    </sheetView>
  </sheetViews>
  <sheetFormatPr baseColWidth="10" defaultRowHeight="15" x14ac:dyDescent="0.25"/>
  <cols>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2" t="s">
        <v>16</v>
      </c>
      <c r="B1" s="2" t="s">
        <v>17</v>
      </c>
      <c r="C1" s="2" t="s">
        <v>18</v>
      </c>
      <c r="D1" s="2" t="s">
        <v>19</v>
      </c>
      <c r="E1" s="2" t="s">
        <v>20</v>
      </c>
      <c r="F1" s="2" t="s">
        <v>21</v>
      </c>
      <c r="G1" s="2" t="s">
        <v>22</v>
      </c>
      <c r="H1" s="2" t="s">
        <v>23</v>
      </c>
      <c r="I1" s="2" t="s">
        <v>24</v>
      </c>
      <c r="J1" s="2" t="s">
        <v>4</v>
      </c>
      <c r="K1" s="2" t="s">
        <v>5</v>
      </c>
      <c r="L1" s="2" t="s">
        <v>6</v>
      </c>
      <c r="M1" s="2" t="s">
        <v>7</v>
      </c>
      <c r="N1" s="2" t="s">
        <v>8</v>
      </c>
      <c r="O1" s="2" t="s">
        <v>9</v>
      </c>
      <c r="P1" s="2" t="s">
        <v>25</v>
      </c>
      <c r="Q1" s="2" t="s">
        <v>26</v>
      </c>
      <c r="R1" s="2" t="s">
        <v>12</v>
      </c>
      <c r="S1" s="2" t="s">
        <v>27</v>
      </c>
      <c r="T1" s="2" t="s">
        <v>28</v>
      </c>
    </row>
    <row r="2" spans="1:20" ht="409.5" x14ac:dyDescent="0.25">
      <c r="A2">
        <v>1</v>
      </c>
      <c r="B2" t="s">
        <v>35</v>
      </c>
      <c r="C2" t="s">
        <v>36</v>
      </c>
      <c r="D2" s="3" t="s">
        <v>37</v>
      </c>
      <c r="E2" s="3" t="s">
        <v>38</v>
      </c>
      <c r="F2" s="3" t="s">
        <v>39</v>
      </c>
      <c r="G2" s="3" t="s">
        <v>40</v>
      </c>
      <c r="H2" t="s">
        <v>41</v>
      </c>
      <c r="I2" t="s">
        <v>42</v>
      </c>
      <c r="J2" s="8">
        <v>0.94444444444444442</v>
      </c>
      <c r="K2">
        <v>1</v>
      </c>
      <c r="L2">
        <v>0.47777777776185187</v>
      </c>
      <c r="M2">
        <v>0.69174534625042605</v>
      </c>
      <c r="N2">
        <v>0.1111111109876543</v>
      </c>
      <c r="O2">
        <v>0.84578900131503387</v>
      </c>
      <c r="P2">
        <v>0</v>
      </c>
      <c r="Q2">
        <v>0</v>
      </c>
      <c r="R2">
        <v>31.847076416015621</v>
      </c>
      <c r="S2">
        <v>5</v>
      </c>
      <c r="T2">
        <v>31.847076416015621</v>
      </c>
    </row>
    <row r="3" spans="1:20" ht="409.5" x14ac:dyDescent="0.25">
      <c r="A3">
        <v>8</v>
      </c>
      <c r="B3" t="s">
        <v>35</v>
      </c>
      <c r="C3" t="s">
        <v>47</v>
      </c>
      <c r="D3" s="3" t="s">
        <v>48</v>
      </c>
      <c r="E3" s="3" t="s">
        <v>49</v>
      </c>
      <c r="F3" s="3" t="s">
        <v>50</v>
      </c>
      <c r="G3" s="3" t="s">
        <v>51</v>
      </c>
      <c r="H3" t="s">
        <v>52</v>
      </c>
      <c r="I3" t="s">
        <v>53</v>
      </c>
      <c r="J3" s="9">
        <v>0.5</v>
      </c>
      <c r="K3">
        <v>0</v>
      </c>
      <c r="L3">
        <v>0</v>
      </c>
      <c r="M3">
        <v>0.68219252845269107</v>
      </c>
      <c r="N3">
        <v>0</v>
      </c>
      <c r="O3">
        <v>0</v>
      </c>
      <c r="P3">
        <v>0</v>
      </c>
      <c r="Q3">
        <v>0</v>
      </c>
      <c r="R3">
        <v>13.16566491127014</v>
      </c>
      <c r="S3">
        <v>5</v>
      </c>
      <c r="T3">
        <v>13.16566491127014</v>
      </c>
    </row>
    <row r="4" spans="1:20" ht="409.5" x14ac:dyDescent="0.25">
      <c r="A4">
        <v>11</v>
      </c>
      <c r="B4" t="s">
        <v>55</v>
      </c>
      <c r="C4" t="s">
        <v>36</v>
      </c>
      <c r="D4" s="3" t="s">
        <v>56</v>
      </c>
      <c r="E4" s="3" t="s">
        <v>57</v>
      </c>
      <c r="F4" s="3" t="s">
        <v>58</v>
      </c>
      <c r="G4" s="3" t="s">
        <v>59</v>
      </c>
      <c r="H4" t="s">
        <v>60</v>
      </c>
      <c r="I4" t="s">
        <v>61</v>
      </c>
      <c r="J4" s="8">
        <v>0.83333333333333337</v>
      </c>
      <c r="K4">
        <v>1</v>
      </c>
      <c r="L4">
        <v>0.99999999995</v>
      </c>
      <c r="M4">
        <v>0.71741346021913099</v>
      </c>
      <c r="N4">
        <v>0.79999999919999998</v>
      </c>
      <c r="O4">
        <v>0</v>
      </c>
      <c r="P4">
        <v>0.5</v>
      </c>
      <c r="Q4">
        <v>1</v>
      </c>
      <c r="R4">
        <v>10.40932035446167</v>
      </c>
      <c r="S4">
        <v>5</v>
      </c>
      <c r="T4">
        <v>10.40932035446167</v>
      </c>
    </row>
    <row r="5" spans="1:20" ht="409.5" x14ac:dyDescent="0.25">
      <c r="A5">
        <v>17</v>
      </c>
      <c r="B5" t="s">
        <v>64</v>
      </c>
      <c r="C5" t="s">
        <v>65</v>
      </c>
      <c r="D5" s="3" t="s">
        <v>66</v>
      </c>
      <c r="E5" s="3" t="s">
        <v>67</v>
      </c>
      <c r="F5" s="3" t="s">
        <v>68</v>
      </c>
      <c r="G5" s="3" t="s">
        <v>69</v>
      </c>
      <c r="H5" t="s">
        <v>70</v>
      </c>
      <c r="I5" t="s">
        <v>71</v>
      </c>
      <c r="J5" s="8">
        <v>0.8</v>
      </c>
      <c r="K5">
        <v>0</v>
      </c>
      <c r="L5">
        <v>0.19999999998000001</v>
      </c>
      <c r="M5">
        <v>0.77592699340364291</v>
      </c>
      <c r="N5">
        <v>0.44444444395061722</v>
      </c>
      <c r="O5">
        <v>0.87199182957967969</v>
      </c>
      <c r="P5">
        <v>0.5</v>
      </c>
      <c r="Q5">
        <v>1</v>
      </c>
      <c r="R5">
        <v>9.1491155624389648</v>
      </c>
      <c r="S5">
        <v>5</v>
      </c>
      <c r="T5">
        <v>9.1491155624389648</v>
      </c>
    </row>
    <row r="6" spans="1:20" ht="409.5" x14ac:dyDescent="0.25">
      <c r="A6">
        <v>20</v>
      </c>
      <c r="B6" t="s">
        <v>64</v>
      </c>
      <c r="C6" t="s">
        <v>47</v>
      </c>
      <c r="D6" s="3" t="s">
        <v>76</v>
      </c>
      <c r="E6" s="3" t="s">
        <v>77</v>
      </c>
      <c r="F6" s="3" t="s">
        <v>78</v>
      </c>
      <c r="G6" s="3" t="s">
        <v>79</v>
      </c>
      <c r="H6" t="s">
        <v>80</v>
      </c>
      <c r="I6" t="s">
        <v>71</v>
      </c>
      <c r="J6" s="10">
        <v>0.6</v>
      </c>
      <c r="K6">
        <v>0</v>
      </c>
      <c r="L6">
        <v>0.99999999989999999</v>
      </c>
      <c r="M6">
        <v>0.54732096792325347</v>
      </c>
      <c r="N6">
        <v>0.77777777691358019</v>
      </c>
      <c r="O6">
        <v>0.79382326567130201</v>
      </c>
      <c r="P6">
        <v>1</v>
      </c>
      <c r="Q6">
        <v>1</v>
      </c>
      <c r="R6">
        <v>18.27154541015625</v>
      </c>
      <c r="S6">
        <v>5</v>
      </c>
      <c r="T6">
        <v>18.27154541015625</v>
      </c>
    </row>
    <row r="7" spans="1:20" ht="409.5" x14ac:dyDescent="0.25">
      <c r="A7">
        <v>30</v>
      </c>
      <c r="B7" t="s">
        <v>82</v>
      </c>
      <c r="C7" t="s">
        <v>65</v>
      </c>
      <c r="D7" s="3" t="s">
        <v>91</v>
      </c>
      <c r="E7" s="3" t="s">
        <v>92</v>
      </c>
      <c r="F7" s="3" t="s">
        <v>93</v>
      </c>
      <c r="G7" s="3" t="s">
        <v>94</v>
      </c>
      <c r="H7" t="s">
        <v>95</v>
      </c>
      <c r="I7" t="s">
        <v>71</v>
      </c>
      <c r="J7" s="8">
        <v>1</v>
      </c>
      <c r="K7">
        <v>1</v>
      </c>
      <c r="L7">
        <v>0</v>
      </c>
      <c r="M7">
        <v>0.86740094111044419</v>
      </c>
      <c r="N7">
        <v>0.19999999960000001</v>
      </c>
      <c r="O7">
        <v>0.90361799764373485</v>
      </c>
      <c r="P7">
        <v>0</v>
      </c>
      <c r="Q7">
        <v>0</v>
      </c>
      <c r="R7">
        <v>11.04914927482605</v>
      </c>
      <c r="S7">
        <v>5</v>
      </c>
      <c r="T7">
        <v>11.04914927482605</v>
      </c>
    </row>
    <row r="8" spans="1:20" ht="409.5" x14ac:dyDescent="0.25">
      <c r="A8">
        <v>33</v>
      </c>
      <c r="B8" t="s">
        <v>90</v>
      </c>
      <c r="C8" t="s">
        <v>65</v>
      </c>
      <c r="D8" s="3" t="s">
        <v>96</v>
      </c>
      <c r="E8" s="3" t="s">
        <v>97</v>
      </c>
      <c r="F8" s="3" t="s">
        <v>98</v>
      </c>
      <c r="G8" s="3" t="s">
        <v>99</v>
      </c>
      <c r="H8" t="s">
        <v>100</v>
      </c>
      <c r="I8" t="s">
        <v>42</v>
      </c>
      <c r="J8" s="8">
        <v>0.83333333333333337</v>
      </c>
      <c r="K8">
        <v>1</v>
      </c>
      <c r="L8">
        <v>0.8666666666377778</v>
      </c>
      <c r="M8">
        <v>0.88175794034474853</v>
      </c>
      <c r="N8">
        <v>0.99999999500000003</v>
      </c>
      <c r="O8">
        <v>0.96393741104571706</v>
      </c>
      <c r="P8">
        <v>0.2</v>
      </c>
      <c r="Q8">
        <v>1</v>
      </c>
      <c r="R8">
        <v>9.1217787265777588</v>
      </c>
      <c r="S8">
        <v>5</v>
      </c>
      <c r="T8">
        <v>9.1217787265777588</v>
      </c>
    </row>
    <row r="9" spans="1:20" ht="409.5" x14ac:dyDescent="0.25">
      <c r="A9">
        <v>34</v>
      </c>
      <c r="B9" t="s">
        <v>90</v>
      </c>
      <c r="C9" t="s">
        <v>36</v>
      </c>
      <c r="D9" s="3" t="s">
        <v>102</v>
      </c>
      <c r="E9" s="3" t="s">
        <v>103</v>
      </c>
      <c r="F9" s="3" t="s">
        <v>104</v>
      </c>
      <c r="G9" s="3" t="s">
        <v>105</v>
      </c>
      <c r="H9" t="s">
        <v>106</v>
      </c>
      <c r="I9" t="s">
        <v>61</v>
      </c>
      <c r="J9" s="9">
        <v>0</v>
      </c>
      <c r="K9">
        <v>0</v>
      </c>
      <c r="L9">
        <v>0</v>
      </c>
      <c r="M9">
        <v>0.76584728450071693</v>
      </c>
      <c r="N9">
        <v>0</v>
      </c>
      <c r="O9">
        <v>0.96368457269512253</v>
      </c>
      <c r="P9">
        <v>0.33333333333333331</v>
      </c>
      <c r="Q9">
        <v>1</v>
      </c>
      <c r="R9">
        <v>16.61525297164917</v>
      </c>
      <c r="S9">
        <v>5</v>
      </c>
      <c r="T9">
        <v>16.61525297164917</v>
      </c>
    </row>
    <row r="10" spans="1:20" ht="409.5" x14ac:dyDescent="0.25">
      <c r="A10">
        <v>64</v>
      </c>
      <c r="B10" t="s">
        <v>101</v>
      </c>
      <c r="C10" t="s">
        <v>36</v>
      </c>
      <c r="D10" s="3" t="s">
        <v>107</v>
      </c>
      <c r="E10" s="3" t="s">
        <v>108</v>
      </c>
      <c r="F10" s="3" t="s">
        <v>109</v>
      </c>
      <c r="G10" s="3" t="s">
        <v>110</v>
      </c>
      <c r="H10" t="s">
        <v>111</v>
      </c>
      <c r="I10" t="s">
        <v>112</v>
      </c>
      <c r="J10" s="9">
        <v>0</v>
      </c>
      <c r="K10">
        <v>0.2857142857142857</v>
      </c>
      <c r="L10">
        <v>0</v>
      </c>
      <c r="M10">
        <v>0.67507926277689445</v>
      </c>
      <c r="N10">
        <v>0</v>
      </c>
      <c r="O10">
        <v>0</v>
      </c>
      <c r="P10">
        <v>0</v>
      </c>
      <c r="Q10">
        <v>0</v>
      </c>
      <c r="R10">
        <v>11.4879937171936</v>
      </c>
      <c r="S10">
        <v>5</v>
      </c>
      <c r="T10">
        <v>11.4879937171936</v>
      </c>
    </row>
    <row r="11" spans="1:20" ht="409.5" x14ac:dyDescent="0.25">
      <c r="A11">
        <v>65</v>
      </c>
      <c r="B11" t="s">
        <v>101</v>
      </c>
      <c r="C11" t="s">
        <v>47</v>
      </c>
      <c r="D11" s="3" t="s">
        <v>113</v>
      </c>
      <c r="E11" s="3" t="s">
        <v>114</v>
      </c>
      <c r="F11" s="3" t="s">
        <v>115</v>
      </c>
      <c r="G11" s="3" t="s">
        <v>116</v>
      </c>
      <c r="H11" t="s">
        <v>117</v>
      </c>
      <c r="I11" t="s">
        <v>71</v>
      </c>
      <c r="J11" s="9">
        <v>0.55555555555555558</v>
      </c>
      <c r="K11">
        <v>1</v>
      </c>
      <c r="L11">
        <v>0.33333333329999998</v>
      </c>
      <c r="M11">
        <v>0.85285397946863595</v>
      </c>
      <c r="N11">
        <v>0.1249999999479167</v>
      </c>
      <c r="O11">
        <v>0</v>
      </c>
      <c r="P11">
        <v>0.33333333333333331</v>
      </c>
      <c r="Q11">
        <v>1</v>
      </c>
      <c r="R11">
        <v>24.864171504974369</v>
      </c>
      <c r="S11">
        <v>5</v>
      </c>
      <c r="T11">
        <v>24.864171504974369</v>
      </c>
    </row>
    <row r="12" spans="1:20" ht="409.5" x14ac:dyDescent="0.25">
      <c r="A12">
        <v>84</v>
      </c>
      <c r="B12" t="s">
        <v>90</v>
      </c>
      <c r="C12" t="s">
        <v>36</v>
      </c>
      <c r="D12" s="3" t="s">
        <v>120</v>
      </c>
      <c r="E12" s="3" t="s">
        <v>121</v>
      </c>
      <c r="F12" s="3" t="s">
        <v>122</v>
      </c>
      <c r="G12" s="3" t="s">
        <v>123</v>
      </c>
      <c r="H12" t="s">
        <v>124</v>
      </c>
      <c r="I12" t="s">
        <v>125</v>
      </c>
      <c r="J12" s="8">
        <v>0.9285714285714286</v>
      </c>
      <c r="K12">
        <v>0.8</v>
      </c>
      <c r="L12">
        <v>0.83333333329166659</v>
      </c>
      <c r="M12">
        <v>0.71745191536450648</v>
      </c>
      <c r="N12">
        <v>0</v>
      </c>
      <c r="O12">
        <v>0.97927291860309695</v>
      </c>
      <c r="P12">
        <v>0</v>
      </c>
      <c r="Q12">
        <v>0</v>
      </c>
      <c r="R12">
        <v>16.892225980758671</v>
      </c>
      <c r="S12">
        <v>5</v>
      </c>
      <c r="T12">
        <v>16.892225980758671</v>
      </c>
    </row>
    <row r="13" spans="1:20" ht="409.5" x14ac:dyDescent="0.25">
      <c r="A13">
        <v>89</v>
      </c>
      <c r="B13" t="s">
        <v>119</v>
      </c>
      <c r="C13" t="s">
        <v>65</v>
      </c>
      <c r="D13" s="3" t="s">
        <v>127</v>
      </c>
      <c r="E13" s="3" t="s">
        <v>128</v>
      </c>
      <c r="F13" s="3" t="s">
        <v>129</v>
      </c>
      <c r="G13" s="3" t="s">
        <v>130</v>
      </c>
      <c r="H13" t="s">
        <v>131</v>
      </c>
      <c r="I13" t="s">
        <v>125</v>
      </c>
      <c r="J13" s="9">
        <v>0</v>
      </c>
      <c r="K13">
        <v>0</v>
      </c>
      <c r="L13">
        <v>0</v>
      </c>
      <c r="M13">
        <v>0.57422403734337246</v>
      </c>
      <c r="N13">
        <v>0</v>
      </c>
      <c r="O13">
        <v>0</v>
      </c>
      <c r="P13">
        <v>0</v>
      </c>
      <c r="Q13">
        <v>0</v>
      </c>
      <c r="R13">
        <v>18.279784679412838</v>
      </c>
      <c r="S13">
        <v>5</v>
      </c>
      <c r="T13">
        <v>18.279784679412838</v>
      </c>
    </row>
    <row r="14" spans="1:20" ht="409.5" x14ac:dyDescent="0.25">
      <c r="A14">
        <v>91</v>
      </c>
      <c r="B14" t="s">
        <v>119</v>
      </c>
      <c r="C14" t="s">
        <v>47</v>
      </c>
      <c r="D14" s="3" t="s">
        <v>136</v>
      </c>
      <c r="E14" s="3" t="s">
        <v>137</v>
      </c>
      <c r="F14" s="3" t="s">
        <v>138</v>
      </c>
      <c r="G14" s="3" t="s">
        <v>139</v>
      </c>
      <c r="H14" t="s">
        <v>140</v>
      </c>
      <c r="I14" t="s">
        <v>125</v>
      </c>
      <c r="J14" s="9">
        <v>0.53846153846153844</v>
      </c>
      <c r="K14">
        <v>0.6</v>
      </c>
      <c r="L14">
        <v>0.83333333329166659</v>
      </c>
      <c r="M14">
        <v>0.89307463717486524</v>
      </c>
      <c r="N14">
        <v>0.21052631567867039</v>
      </c>
      <c r="O14">
        <v>0</v>
      </c>
      <c r="P14">
        <v>1</v>
      </c>
      <c r="Q14">
        <v>1</v>
      </c>
      <c r="R14">
        <v>18.270648241043091</v>
      </c>
      <c r="S14">
        <v>5</v>
      </c>
      <c r="T14">
        <v>18.270648241043091</v>
      </c>
    </row>
    <row r="15" spans="1:20" ht="409.5" x14ac:dyDescent="0.25">
      <c r="A15">
        <v>97</v>
      </c>
      <c r="B15" t="s">
        <v>119</v>
      </c>
      <c r="C15" t="s">
        <v>47</v>
      </c>
      <c r="D15" s="3" t="s">
        <v>145</v>
      </c>
      <c r="E15" s="3" t="s">
        <v>146</v>
      </c>
      <c r="F15" s="3" t="s">
        <v>147</v>
      </c>
      <c r="G15" s="3" t="s">
        <v>148</v>
      </c>
      <c r="H15" t="s">
        <v>149</v>
      </c>
      <c r="I15" t="s">
        <v>150</v>
      </c>
      <c r="J15" s="8">
        <v>0.89473684210526316</v>
      </c>
      <c r="K15">
        <v>0.66666666666666663</v>
      </c>
      <c r="L15">
        <v>0.80555555552870362</v>
      </c>
      <c r="M15">
        <v>0.87738409874872403</v>
      </c>
      <c r="N15">
        <v>0</v>
      </c>
      <c r="O15">
        <v>0</v>
      </c>
      <c r="P15">
        <v>0.33333333333333331</v>
      </c>
      <c r="Q15">
        <v>1</v>
      </c>
      <c r="R15">
        <v>25.263578414916989</v>
      </c>
      <c r="S15">
        <v>5</v>
      </c>
      <c r="T15">
        <v>25.263578414916989</v>
      </c>
    </row>
    <row r="16" spans="1:20" ht="409.5" x14ac:dyDescent="0.25">
      <c r="A16">
        <v>110</v>
      </c>
      <c r="B16" t="s">
        <v>119</v>
      </c>
      <c r="C16" t="s">
        <v>65</v>
      </c>
      <c r="D16" s="3" t="s">
        <v>83</v>
      </c>
      <c r="E16" s="3" t="s">
        <v>84</v>
      </c>
      <c r="F16" s="3" t="s">
        <v>85</v>
      </c>
      <c r="G16" s="3" t="s">
        <v>86</v>
      </c>
      <c r="H16" t="s">
        <v>87</v>
      </c>
      <c r="I16" t="s">
        <v>88</v>
      </c>
      <c r="J16" s="9">
        <v>0.2857142857142857</v>
      </c>
      <c r="K16">
        <v>1</v>
      </c>
      <c r="L16">
        <v>0.47777777776185187</v>
      </c>
      <c r="M16">
        <v>0.85351900611722364</v>
      </c>
      <c r="N16">
        <v>0.66666666444444445</v>
      </c>
      <c r="O16">
        <v>0</v>
      </c>
      <c r="P16">
        <v>0.25</v>
      </c>
      <c r="Q16">
        <v>1</v>
      </c>
      <c r="R16">
        <v>10.780250310897831</v>
      </c>
      <c r="S16">
        <v>5</v>
      </c>
      <c r="T16">
        <v>10.780250310897831</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6E2C3-2DA4-4918-BD0E-0D015011E4D5}">
  <dimension ref="A1:T16"/>
  <sheetViews>
    <sheetView topLeftCell="G1" workbookViewId="0">
      <selection activeCell="N2" sqref="N2"/>
    </sheetView>
  </sheetViews>
  <sheetFormatPr baseColWidth="10"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21.85546875" bestFit="1" customWidth="1"/>
    <col min="16" max="17" width="10" customWidth="1"/>
    <col min="18" max="18" width="12" customWidth="1"/>
    <col min="19" max="19" width="15" customWidth="1"/>
  </cols>
  <sheetData>
    <row r="1" spans="1:20" ht="45" x14ac:dyDescent="0.25">
      <c r="A1" s="2" t="s">
        <v>16</v>
      </c>
      <c r="B1" s="2" t="s">
        <v>17</v>
      </c>
      <c r="C1" s="2" t="s">
        <v>18</v>
      </c>
      <c r="D1" s="2" t="s">
        <v>19</v>
      </c>
      <c r="E1" s="2" t="s">
        <v>20</v>
      </c>
      <c r="F1" s="2" t="s">
        <v>21</v>
      </c>
      <c r="G1" s="2" t="s">
        <v>22</v>
      </c>
      <c r="H1" s="2" t="s">
        <v>23</v>
      </c>
      <c r="I1" s="2" t="s">
        <v>24</v>
      </c>
      <c r="J1" s="2" t="s">
        <v>4</v>
      </c>
      <c r="K1" s="2" t="s">
        <v>5</v>
      </c>
      <c r="L1" s="2" t="s">
        <v>6</v>
      </c>
      <c r="M1" s="2" t="s">
        <v>7</v>
      </c>
      <c r="N1" s="2" t="s">
        <v>8</v>
      </c>
      <c r="O1" s="2" t="s">
        <v>9</v>
      </c>
      <c r="P1" s="2" t="s">
        <v>25</v>
      </c>
      <c r="Q1" s="2" t="s">
        <v>26</v>
      </c>
      <c r="R1" s="2" t="s">
        <v>12</v>
      </c>
      <c r="S1" s="2" t="s">
        <v>27</v>
      </c>
      <c r="T1" s="2" t="s">
        <v>28</v>
      </c>
    </row>
    <row r="2" spans="1:20" ht="409.5" x14ac:dyDescent="0.25">
      <c r="A2">
        <v>1</v>
      </c>
      <c r="B2" t="s">
        <v>35</v>
      </c>
      <c r="C2" t="s">
        <v>36</v>
      </c>
      <c r="D2" s="3" t="s">
        <v>37</v>
      </c>
      <c r="E2" s="3" t="s">
        <v>38</v>
      </c>
      <c r="F2" s="3" t="s">
        <v>39</v>
      </c>
      <c r="G2" s="3" t="s">
        <v>40</v>
      </c>
      <c r="H2" t="s">
        <v>41</v>
      </c>
      <c r="I2" t="s">
        <v>42</v>
      </c>
      <c r="J2" s="8">
        <v>0.8571428571428571</v>
      </c>
      <c r="K2">
        <v>1</v>
      </c>
      <c r="L2">
        <v>0.41666666664583329</v>
      </c>
      <c r="M2">
        <v>0.69174534625042605</v>
      </c>
      <c r="N2">
        <v>0.1111111109876543</v>
      </c>
      <c r="O2">
        <v>0.82932121972340545</v>
      </c>
      <c r="P2">
        <v>0</v>
      </c>
      <c r="Q2">
        <v>0</v>
      </c>
      <c r="R2">
        <v>45.547114849090583</v>
      </c>
      <c r="S2">
        <v>5</v>
      </c>
      <c r="T2">
        <v>45.547114849090583</v>
      </c>
    </row>
    <row r="3" spans="1:20" ht="409.5" x14ac:dyDescent="0.25">
      <c r="A3">
        <v>8</v>
      </c>
      <c r="B3" t="s">
        <v>35</v>
      </c>
      <c r="C3" t="s">
        <v>47</v>
      </c>
      <c r="D3" s="3" t="s">
        <v>48</v>
      </c>
      <c r="E3" s="3" t="s">
        <v>49</v>
      </c>
      <c r="F3" s="3" t="s">
        <v>50</v>
      </c>
      <c r="G3" s="3" t="s">
        <v>51</v>
      </c>
      <c r="H3" t="s">
        <v>52</v>
      </c>
      <c r="I3" t="s">
        <v>53</v>
      </c>
      <c r="J3" s="9">
        <v>0.4</v>
      </c>
      <c r="K3">
        <v>0</v>
      </c>
      <c r="L3">
        <v>0.99999999989999999</v>
      </c>
      <c r="M3">
        <v>0.71366373138551342</v>
      </c>
      <c r="N3">
        <v>0</v>
      </c>
      <c r="O3">
        <v>0</v>
      </c>
      <c r="P3">
        <v>0</v>
      </c>
      <c r="Q3">
        <v>0</v>
      </c>
      <c r="R3">
        <v>10.010499954223629</v>
      </c>
      <c r="S3">
        <v>5</v>
      </c>
      <c r="T3">
        <v>10.010499954223629</v>
      </c>
    </row>
    <row r="4" spans="1:20" ht="409.5" x14ac:dyDescent="0.25">
      <c r="A4">
        <v>11</v>
      </c>
      <c r="B4" t="s">
        <v>55</v>
      </c>
      <c r="C4" t="s">
        <v>36</v>
      </c>
      <c r="D4" s="3" t="s">
        <v>56</v>
      </c>
      <c r="E4" s="3" t="s">
        <v>57</v>
      </c>
      <c r="F4" s="3" t="s">
        <v>58</v>
      </c>
      <c r="G4" s="3" t="s">
        <v>59</v>
      </c>
      <c r="H4" t="s">
        <v>60</v>
      </c>
      <c r="I4" t="s">
        <v>61</v>
      </c>
      <c r="J4" s="9">
        <v>0.5</v>
      </c>
      <c r="K4">
        <v>1</v>
      </c>
      <c r="L4">
        <v>0.99999999996666666</v>
      </c>
      <c r="M4">
        <v>0.71741346021913099</v>
      </c>
      <c r="N4">
        <v>0.79999999919999998</v>
      </c>
      <c r="O4">
        <v>0</v>
      </c>
      <c r="P4">
        <v>0.5</v>
      </c>
      <c r="Q4">
        <v>1</v>
      </c>
      <c r="R4">
        <v>9.4738509654998779</v>
      </c>
      <c r="S4">
        <v>5</v>
      </c>
      <c r="T4">
        <v>9.4738509654998779</v>
      </c>
    </row>
    <row r="5" spans="1:20" ht="409.5" x14ac:dyDescent="0.25">
      <c r="A5">
        <v>17</v>
      </c>
      <c r="B5" t="s">
        <v>64</v>
      </c>
      <c r="C5" t="s">
        <v>65</v>
      </c>
      <c r="D5" s="3" t="s">
        <v>66</v>
      </c>
      <c r="E5" s="3" t="s">
        <v>67</v>
      </c>
      <c r="F5" s="3" t="s">
        <v>68</v>
      </c>
      <c r="G5" s="3" t="s">
        <v>69</v>
      </c>
      <c r="H5" t="s">
        <v>70</v>
      </c>
      <c r="I5" t="s">
        <v>71</v>
      </c>
      <c r="J5" s="9">
        <v>0.5</v>
      </c>
      <c r="K5">
        <v>0</v>
      </c>
      <c r="L5">
        <v>0.99999999995</v>
      </c>
      <c r="M5">
        <v>0.76307917657424806</v>
      </c>
      <c r="N5">
        <v>0.1111111109876543</v>
      </c>
      <c r="O5">
        <v>0</v>
      </c>
      <c r="P5">
        <v>0.5</v>
      </c>
      <c r="Q5">
        <v>1</v>
      </c>
      <c r="R5">
        <v>7.7230634689331046</v>
      </c>
      <c r="S5">
        <v>5</v>
      </c>
      <c r="T5">
        <v>7.7230634689331046</v>
      </c>
    </row>
    <row r="6" spans="1:20" ht="409.5" x14ac:dyDescent="0.25">
      <c r="A6">
        <v>20</v>
      </c>
      <c r="B6" t="s">
        <v>64</v>
      </c>
      <c r="C6" t="s">
        <v>47</v>
      </c>
      <c r="D6" s="3" t="s">
        <v>76</v>
      </c>
      <c r="E6" s="3" t="s">
        <v>77</v>
      </c>
      <c r="F6" s="3" t="s">
        <v>78</v>
      </c>
      <c r="G6" s="3" t="s">
        <v>79</v>
      </c>
      <c r="H6" t="s">
        <v>80</v>
      </c>
      <c r="I6" t="s">
        <v>71</v>
      </c>
      <c r="J6" s="8">
        <v>0.8</v>
      </c>
      <c r="K6">
        <v>1</v>
      </c>
      <c r="L6">
        <v>0.69999999996499995</v>
      </c>
      <c r="M6">
        <v>0.54732096792325347</v>
      </c>
      <c r="N6">
        <v>0</v>
      </c>
      <c r="O6">
        <v>0.55936743224954488</v>
      </c>
      <c r="P6">
        <v>1</v>
      </c>
      <c r="Q6">
        <v>1</v>
      </c>
      <c r="R6">
        <v>8.7654869556427002</v>
      </c>
      <c r="S6">
        <v>5</v>
      </c>
      <c r="T6">
        <v>8.7654869556427002</v>
      </c>
    </row>
    <row r="7" spans="1:20" ht="409.5" x14ac:dyDescent="0.25">
      <c r="A7">
        <v>30</v>
      </c>
      <c r="B7" t="s">
        <v>82</v>
      </c>
      <c r="C7" t="s">
        <v>65</v>
      </c>
      <c r="D7" s="3" t="s">
        <v>83</v>
      </c>
      <c r="E7" s="3" t="s">
        <v>84</v>
      </c>
      <c r="F7" s="3" t="s">
        <v>85</v>
      </c>
      <c r="G7" s="3" t="s">
        <v>86</v>
      </c>
      <c r="H7" t="s">
        <v>87</v>
      </c>
      <c r="I7" t="s">
        <v>88</v>
      </c>
      <c r="J7" s="9">
        <v>0.25</v>
      </c>
      <c r="K7">
        <v>1</v>
      </c>
      <c r="L7">
        <v>0.99999999989999999</v>
      </c>
      <c r="M7">
        <v>0.86740094111044419</v>
      </c>
      <c r="N7">
        <v>0</v>
      </c>
      <c r="O7">
        <v>0</v>
      </c>
      <c r="P7">
        <v>0</v>
      </c>
      <c r="Q7">
        <v>0</v>
      </c>
      <c r="R7">
        <v>9.9265642166137695</v>
      </c>
      <c r="S7">
        <v>5</v>
      </c>
      <c r="T7">
        <v>9.9265642166137695</v>
      </c>
    </row>
    <row r="8" spans="1:20" ht="409.5" x14ac:dyDescent="0.25">
      <c r="A8">
        <v>33</v>
      </c>
      <c r="B8" t="s">
        <v>90</v>
      </c>
      <c r="C8" t="s">
        <v>65</v>
      </c>
      <c r="D8" s="3" t="s">
        <v>91</v>
      </c>
      <c r="E8" s="3" t="s">
        <v>92</v>
      </c>
      <c r="F8" s="3" t="s">
        <v>93</v>
      </c>
      <c r="G8" s="3" t="s">
        <v>94</v>
      </c>
      <c r="H8" t="s">
        <v>95</v>
      </c>
      <c r="I8" t="s">
        <v>71</v>
      </c>
      <c r="J8" s="9">
        <v>0.33333333333333331</v>
      </c>
      <c r="K8">
        <v>1</v>
      </c>
      <c r="L8">
        <v>0.8666666666377778</v>
      </c>
      <c r="M8">
        <v>0.88175794034474853</v>
      </c>
      <c r="N8">
        <v>0.249999999375</v>
      </c>
      <c r="O8">
        <v>0.87696433281486375</v>
      </c>
      <c r="P8">
        <v>0.2</v>
      </c>
      <c r="Q8">
        <v>1</v>
      </c>
      <c r="R8">
        <v>8.1560134887695313</v>
      </c>
      <c r="S8">
        <v>5</v>
      </c>
      <c r="T8">
        <v>8.1560134887695313</v>
      </c>
    </row>
    <row r="9" spans="1:20" ht="409.5" x14ac:dyDescent="0.25">
      <c r="A9">
        <v>34</v>
      </c>
      <c r="B9" t="s">
        <v>90</v>
      </c>
      <c r="C9" t="s">
        <v>36</v>
      </c>
      <c r="D9" s="3" t="s">
        <v>96</v>
      </c>
      <c r="E9" s="3" t="s">
        <v>97</v>
      </c>
      <c r="F9" s="3" t="s">
        <v>98</v>
      </c>
      <c r="G9" s="3" t="s">
        <v>99</v>
      </c>
      <c r="H9" t="s">
        <v>100</v>
      </c>
      <c r="I9" t="s">
        <v>42</v>
      </c>
      <c r="J9" s="9">
        <v>0</v>
      </c>
      <c r="K9">
        <v>0</v>
      </c>
      <c r="L9">
        <v>0</v>
      </c>
      <c r="M9">
        <v>0.74801993950570767</v>
      </c>
      <c r="N9">
        <v>0</v>
      </c>
      <c r="O9">
        <v>0.92611321766246613</v>
      </c>
      <c r="P9">
        <v>0.33333333333333331</v>
      </c>
      <c r="Q9">
        <v>1</v>
      </c>
      <c r="R9">
        <v>11.905722618103029</v>
      </c>
      <c r="S9">
        <v>5</v>
      </c>
      <c r="T9">
        <v>11.905722618103029</v>
      </c>
    </row>
    <row r="10" spans="1:20" ht="409.5" x14ac:dyDescent="0.25">
      <c r="A10">
        <v>64</v>
      </c>
      <c r="B10" t="s">
        <v>101</v>
      </c>
      <c r="C10" t="s">
        <v>36</v>
      </c>
      <c r="D10" s="3" t="s">
        <v>102</v>
      </c>
      <c r="E10" s="3" t="s">
        <v>103</v>
      </c>
      <c r="F10" s="3" t="s">
        <v>104</v>
      </c>
      <c r="G10" s="3" t="s">
        <v>105</v>
      </c>
      <c r="H10" t="s">
        <v>106</v>
      </c>
      <c r="I10" t="s">
        <v>61</v>
      </c>
      <c r="J10" s="8">
        <v>0.8</v>
      </c>
      <c r="K10">
        <v>0.14285714285714279</v>
      </c>
      <c r="L10">
        <v>0.99999999995</v>
      </c>
      <c r="M10">
        <v>0.80823798188452467</v>
      </c>
      <c r="N10">
        <v>0</v>
      </c>
      <c r="O10">
        <v>0.9057499525724565</v>
      </c>
      <c r="P10">
        <v>0</v>
      </c>
      <c r="Q10">
        <v>0</v>
      </c>
      <c r="R10">
        <v>19.49518513679504</v>
      </c>
      <c r="S10">
        <v>5</v>
      </c>
      <c r="T10">
        <v>19.49518513679504</v>
      </c>
    </row>
    <row r="11" spans="1:20" ht="409.5" x14ac:dyDescent="0.25">
      <c r="A11">
        <v>65</v>
      </c>
      <c r="B11" t="s">
        <v>101</v>
      </c>
      <c r="C11" t="s">
        <v>47</v>
      </c>
      <c r="D11" s="3" t="s">
        <v>107</v>
      </c>
      <c r="E11" s="3" t="s">
        <v>108</v>
      </c>
      <c r="F11" s="3" t="s">
        <v>109</v>
      </c>
      <c r="G11" s="3" t="s">
        <v>110</v>
      </c>
      <c r="H11" t="s">
        <v>111</v>
      </c>
      <c r="I11" t="s">
        <v>112</v>
      </c>
      <c r="J11" s="10">
        <v>0.66666666666666663</v>
      </c>
      <c r="K11">
        <v>1</v>
      </c>
      <c r="L11">
        <v>0.99999999998</v>
      </c>
      <c r="M11">
        <v>0.85041125424598185</v>
      </c>
      <c r="N11">
        <v>5.8823529377162627E-2</v>
      </c>
      <c r="O11">
        <v>0.72243167472066594</v>
      </c>
      <c r="P11">
        <v>1</v>
      </c>
      <c r="Q11">
        <v>1</v>
      </c>
      <c r="R11">
        <v>10.89683628082275</v>
      </c>
      <c r="S11">
        <v>5</v>
      </c>
      <c r="T11">
        <v>10.89683628082275</v>
      </c>
    </row>
    <row r="12" spans="1:20" ht="409.5" x14ac:dyDescent="0.25">
      <c r="A12">
        <v>84</v>
      </c>
      <c r="B12" t="s">
        <v>90</v>
      </c>
      <c r="C12" t="s">
        <v>36</v>
      </c>
      <c r="D12" s="3" t="s">
        <v>113</v>
      </c>
      <c r="E12" s="3" t="s">
        <v>114</v>
      </c>
      <c r="F12" s="3" t="s">
        <v>115</v>
      </c>
      <c r="G12" s="3" t="s">
        <v>116</v>
      </c>
      <c r="H12" t="s">
        <v>117</v>
      </c>
      <c r="I12" t="s">
        <v>71</v>
      </c>
      <c r="J12" s="8">
        <v>0.8</v>
      </c>
      <c r="K12">
        <v>1</v>
      </c>
      <c r="L12">
        <v>0.75555555553037035</v>
      </c>
      <c r="M12">
        <v>0.72480963765983408</v>
      </c>
      <c r="N12">
        <v>0</v>
      </c>
      <c r="O12">
        <v>0.95987955397349634</v>
      </c>
      <c r="P12">
        <v>0</v>
      </c>
      <c r="Q12">
        <v>0</v>
      </c>
      <c r="R12">
        <v>11.943759441375731</v>
      </c>
      <c r="S12">
        <v>5</v>
      </c>
      <c r="T12">
        <v>11.943759441375731</v>
      </c>
    </row>
    <row r="13" spans="1:20" ht="409.5" x14ac:dyDescent="0.25">
      <c r="A13">
        <v>89</v>
      </c>
      <c r="B13" t="s">
        <v>119</v>
      </c>
      <c r="C13" t="s">
        <v>65</v>
      </c>
      <c r="D13" s="3" t="s">
        <v>120</v>
      </c>
      <c r="E13" s="3" t="s">
        <v>121</v>
      </c>
      <c r="F13" s="3" t="s">
        <v>122</v>
      </c>
      <c r="G13" s="3" t="s">
        <v>123</v>
      </c>
      <c r="H13" t="s">
        <v>124</v>
      </c>
      <c r="I13" t="s">
        <v>125</v>
      </c>
      <c r="J13" s="9">
        <v>0</v>
      </c>
      <c r="K13">
        <v>0</v>
      </c>
      <c r="L13">
        <v>0.19999999998000001</v>
      </c>
      <c r="M13">
        <v>0.57422403734337246</v>
      </c>
      <c r="N13">
        <v>0</v>
      </c>
      <c r="O13">
        <v>0</v>
      </c>
      <c r="P13">
        <v>0</v>
      </c>
      <c r="Q13">
        <v>0</v>
      </c>
      <c r="R13">
        <v>8.4058101177215576</v>
      </c>
      <c r="S13">
        <v>5</v>
      </c>
      <c r="T13">
        <v>8.4058101177215576</v>
      </c>
    </row>
    <row r="14" spans="1:20" ht="409.5" x14ac:dyDescent="0.25">
      <c r="A14">
        <v>91</v>
      </c>
      <c r="B14" t="s">
        <v>119</v>
      </c>
      <c r="C14" t="s">
        <v>47</v>
      </c>
      <c r="D14" s="3" t="s">
        <v>127</v>
      </c>
      <c r="E14" s="3" t="s">
        <v>128</v>
      </c>
      <c r="F14" s="3" t="s">
        <v>129</v>
      </c>
      <c r="G14" s="3" t="s">
        <v>130</v>
      </c>
      <c r="H14" t="s">
        <v>131</v>
      </c>
      <c r="I14" t="s">
        <v>125</v>
      </c>
      <c r="J14" s="9">
        <v>0.58333333333333337</v>
      </c>
      <c r="K14">
        <v>0.4</v>
      </c>
      <c r="L14">
        <v>0.88749999997781248</v>
      </c>
      <c r="M14">
        <v>0.83352148197934484</v>
      </c>
      <c r="N14">
        <v>0</v>
      </c>
      <c r="O14">
        <v>0</v>
      </c>
      <c r="P14">
        <v>0.5</v>
      </c>
      <c r="Q14">
        <v>1</v>
      </c>
      <c r="R14">
        <v>14.452758550643919</v>
      </c>
      <c r="S14">
        <v>5</v>
      </c>
      <c r="T14">
        <v>14.452758550643919</v>
      </c>
    </row>
    <row r="15" spans="1:20" ht="409.5" x14ac:dyDescent="0.25">
      <c r="A15">
        <v>97</v>
      </c>
      <c r="B15" t="s">
        <v>119</v>
      </c>
      <c r="C15" t="s">
        <v>47</v>
      </c>
      <c r="D15" s="3" t="s">
        <v>136</v>
      </c>
      <c r="E15" s="3" t="s">
        <v>137</v>
      </c>
      <c r="F15" s="3" t="s">
        <v>138</v>
      </c>
      <c r="G15" s="3" t="s">
        <v>139</v>
      </c>
      <c r="H15" t="s">
        <v>140</v>
      </c>
      <c r="I15" t="s">
        <v>125</v>
      </c>
      <c r="J15" s="9">
        <v>0.375</v>
      </c>
      <c r="K15">
        <v>0.25</v>
      </c>
      <c r="L15">
        <v>0.99999999998</v>
      </c>
      <c r="M15">
        <v>0.83696191881469706</v>
      </c>
      <c r="N15">
        <v>0</v>
      </c>
      <c r="O15">
        <v>0</v>
      </c>
      <c r="P15">
        <v>0</v>
      </c>
      <c r="Q15">
        <v>0</v>
      </c>
      <c r="R15">
        <v>15.475528955459589</v>
      </c>
      <c r="S15">
        <v>5</v>
      </c>
      <c r="T15">
        <v>15.475528955459589</v>
      </c>
    </row>
    <row r="16" spans="1:20" ht="409.5" x14ac:dyDescent="0.25">
      <c r="A16">
        <v>110</v>
      </c>
      <c r="B16" t="s">
        <v>119</v>
      </c>
      <c r="C16" t="s">
        <v>65</v>
      </c>
      <c r="D16" s="3" t="s">
        <v>145</v>
      </c>
      <c r="E16" s="3" t="s">
        <v>146</v>
      </c>
      <c r="F16" s="3" t="s">
        <v>147</v>
      </c>
      <c r="G16" s="3" t="s">
        <v>148</v>
      </c>
      <c r="H16" t="s">
        <v>149</v>
      </c>
      <c r="I16" t="s">
        <v>150</v>
      </c>
      <c r="J16" s="9">
        <v>0.55555555555555558</v>
      </c>
      <c r="K16">
        <v>0.25</v>
      </c>
      <c r="L16">
        <v>0.44999999997750001</v>
      </c>
      <c r="M16">
        <v>0.76220810325268817</v>
      </c>
      <c r="N16">
        <v>7.6923076863905315E-2</v>
      </c>
      <c r="O16">
        <v>0.92710612806559023</v>
      </c>
      <c r="P16">
        <v>0</v>
      </c>
      <c r="Q16">
        <v>0</v>
      </c>
      <c r="R16">
        <v>16.019131183624271</v>
      </c>
      <c r="S16">
        <v>5</v>
      </c>
      <c r="T16">
        <v>16.019131183624271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Tabelle1</vt:lpstr>
      <vt:lpstr>Human Details</vt:lpstr>
      <vt:lpstr>gpt-4.1-mini Details</vt:lpstr>
      <vt:lpstr>qwen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Mager</dc:creator>
  <cp:lastModifiedBy>Pascal Mager</cp:lastModifiedBy>
  <dcterms:created xsi:type="dcterms:W3CDTF">2015-06-05T18:19:34Z</dcterms:created>
  <dcterms:modified xsi:type="dcterms:W3CDTF">2026-01-25T18:22:52Z</dcterms:modified>
</cp:coreProperties>
</file>