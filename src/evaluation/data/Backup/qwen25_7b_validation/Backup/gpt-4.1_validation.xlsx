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Backup\qwen25_7b_validation\"/>
    </mc:Choice>
  </mc:AlternateContent>
  <xr:revisionPtr revIDLastSave="0" documentId="13_ncr:1_{29EB9132-77A5-411E-B465-AD0D2C774729}" xr6:coauthVersionLast="47" xr6:coauthVersionMax="47" xr10:uidLastSave="{00000000-0000-0000-0000-000000000000}"/>
  <bookViews>
    <workbookView xWindow="14400" yWindow="0" windowWidth="14400" windowHeight="15600"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1" l="1"/>
  <c r="J4" i="1"/>
</calcChain>
</file>

<file path=xl/sharedStrings.xml><?xml version="1.0" encoding="utf-8"?>
<sst xmlns="http://schemas.openxmlformats.org/spreadsheetml/2006/main" count="185" uniqueCount="133">
  <si>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</si>
  <si>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</si>
  <si>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</si>
  <si>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</si>
  <si>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</si>
  <si>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</si>
  <si>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</si>
  <si>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</si>
  <si>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</si>
  <si>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</si>
  <si>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</si>
  <si>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</si>
  <si>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</si>
  <si>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</si>
  <si>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</si>
  <si>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</si>
  <si>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</si>
  <si>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</si>
  <si>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</si>
  <si>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</si>
  <si>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</si>
  <si>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</si>
  <si>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</si>
  <si>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</si>
  <si>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</si>
  <si>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</si>
  <si>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</si>
  <si>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</si>
  <si>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</si>
  <si>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</si>
  <si>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</si>
  <si>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</si>
  <si>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</si>
  <si>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</si>
  <si>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['html', 'pdf', 'pdf', 'pdf', 'pdf']</t>
  </si>
  <si>
    <t>Modulhandbuch/PO</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</si>
  <si>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</si>
  <si>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</si>
  <si>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</si>
  <si>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</si>
  <si>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</si>
  <si>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</si>
  <si>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Bachelor-Studium</t>
  </si>
  <si>
    <t>easy</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</si>
  <si>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</si>
  <si>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</si>
  <si>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</si>
  <si>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</si>
  <si>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</si>
  <si>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['html', 'html', 'html', 'html', 'html']</t>
  </si>
  <si>
    <t>Welche Verbundstudiengänge mit WiSo-Beteiligung werden angeboten?</t>
  </si>
  <si>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</si>
  <si>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</si>
  <si>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</si>
  <si>
    <t>['https://wiso.uni-koeln.de/de/studium/bachelor', 'https://wiso.uni-koeln.de/de/studium/master', 'https://wiso.uni-koeln.de/de/studium/master', 'https://wiso.uni-koeln.de/de/studium/studienorganisation/faq/bachelor', 'https://wiso.uni-koeln.de/de/studium/master']</t>
  </si>
  <si>
    <t>Master-Studium</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</si>
  <si>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</si>
  <si>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</si>
  <si>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</si>
  <si>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</si>
  <si>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</si>
  <si>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Studiengang spezifisch</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</si>
  <si>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</si>
  <si>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</si>
  <si>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</si>
  <si>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</si>
  <si>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</si>
  <si>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</si>
  <si>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</si>
  <si>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</si>
  <si>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</si>
  <si>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</si>
  <si>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FAQ</t>
  </si>
  <si>
    <t>Ich studiere im Bachelor woanders und möchte an die WiSo Köln wechseln. Was muss ich tun?</t>
  </si>
  <si>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</si>
  <si>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</si>
  <si>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</si>
  <si>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</si>
  <si>
    <t>['html', 'pdf', 'pdf', 'html', 'pdf']</t>
  </si>
  <si>
    <t>Was ist das Besondere am Master Business Administration Corporate Development an der WiSo-Fakultät und welche Vorteile habe ich dadurch?</t>
  </si>
  <si>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</si>
  <si>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</si>
  <si>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</si>
  <si>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</si>
  <si>
    <t>Wie groß ist der Bachelor Wirtschaftsinformatik an der Uni Köln ungefähr, und seit wann gibt es den Studiengang?</t>
  </si>
  <si>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</si>
  <si>
    <t>Im Bachelor Wirtschaftsinformatik starten jährlich rund 100 Studierende. Der Studiengang besteht bereits seit 2008 und ist sehr erfolgreich, mit mehr als 1.100 Bewerbungen pro Jahr.</t>
  </si>
  <si>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</si>
  <si>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</si>
  <si>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['pdf', 'pdf', 'pdf', 'pdf', 'pdf']</t>
  </si>
  <si>
    <t>PDF-Spezifisch</t>
  </si>
  <si>
    <t>Ich studiere bzw. plane den M.Sc. International Management (CEMS) in Köln. Wie unterscheiden sich das reguläre MIM-Programm und das CEMS-Curriculum konkret im Aufbau und bei den Anforderungen?</t>
  </si>
  <si>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</si>
  <si>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</si>
  <si>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</si>
  <si>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</si>
  <si>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</si>
  <si>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</si>
  <si>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</si>
  <si>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</si>
  <si>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</si>
  <si>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</si>
  <si>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</si>
  <si>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</si>
  <si>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</si>
  <si>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</si>
  <si>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['pdf', 'pdf', 'pdf', 'pdf', 'html']</t>
  </si>
  <si>
    <t>Wo finden Interessierte studiengangsspezifische Informationen zu einzelnen WiSo-Masterprogrammen, etwa zum Master Information Systems?</t>
  </si>
  <si>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</si>
  <si>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</si>
  <si>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</si>
  <si>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</si>
  <si>
    <t>['html', 'html', 'pdf', 'html', 'html']</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</si>
  <si>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</si>
  <si>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</si>
  <si>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</si>
  <si>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</si>
  <si>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</si>
  <si>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</si>
  <si>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</si>
  <si>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</si>
  <si>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</si>
  <si>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</si>
  <si>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</si>
  <si>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</si>
  <si>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</si>
  <si>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</si>
  <si>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</si>
  <si>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</si>
  <si>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</si>
  <si>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</si>
  <si>
    <t>Studienjahr 2025 / 2026, Bachelor PO 2021, Betriebswirtschaftslehre, Volkswirtschaftslehre, Management, Economics and Social Sciences, Sozialwissenschaften, Gesundheitsökonomie, Wirtschaftsinformatik, Lehramt am Berufskolleg I., Modulhandbuch</t>
  </si>
  <si>
    <t>Modulhandbuch, Bachelor PO 2021, Betriebswirtschaftslehre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</si>
</sst>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
      <sz val="11"/>
      <color rgb="FF000000"/>
      <name val="Calibri"/>
      <family val="2"/>
      <scheme val="minor"/>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5" fillId="0" borderId="0" xfId="0" applyFon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
  <sheetViews>
    <sheetView tabSelected="1" topLeftCell="A16" workbookViewId="0">
      <selection activeCell="A16" sqref="A2:A16"/>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5"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5" ht="409.5" x14ac:dyDescent="0.25">
      <c r="A2">
        <v>1</v>
      </c>
      <c r="B2" t="s">
        <v>20</v>
      </c>
      <c r="C2" t="s">
        <v>21</v>
      </c>
      <c r="D2" s="2" t="s">
        <v>22</v>
      </c>
      <c r="E2" s="2" t="s">
        <v>23</v>
      </c>
      <c r="F2" s="2" t="s">
        <v>24</v>
      </c>
      <c r="G2" s="2" t="s">
        <v>25</v>
      </c>
      <c r="H2" t="s">
        <v>26</v>
      </c>
      <c r="I2" t="s">
        <v>27</v>
      </c>
      <c r="J2" s="3">
        <v>0.94117647058823528</v>
      </c>
      <c r="K2">
        <v>1</v>
      </c>
      <c r="L2">
        <v>0.6791666666496875</v>
      </c>
      <c r="M2">
        <v>0.69174534625042605</v>
      </c>
      <c r="N2">
        <v>0.1111111109876543</v>
      </c>
      <c r="O2">
        <v>0.84578900131503387</v>
      </c>
      <c r="P2">
        <v>0</v>
      </c>
      <c r="Q2">
        <v>0</v>
      </c>
      <c r="R2">
        <v>45.547114849090583</v>
      </c>
      <c r="S2">
        <v>5</v>
      </c>
      <c r="T2">
        <v>45.547114849090583</v>
      </c>
    </row>
    <row r="3" spans="1:25" ht="409.5" x14ac:dyDescent="0.25">
      <c r="A3">
        <v>8</v>
      </c>
      <c r="B3" t="s">
        <v>20</v>
      </c>
      <c r="C3" t="s">
        <v>28</v>
      </c>
      <c r="D3" s="2" t="s">
        <v>29</v>
      </c>
      <c r="E3" s="2" t="s">
        <v>30</v>
      </c>
      <c r="F3" s="2" t="s">
        <v>31</v>
      </c>
      <c r="G3" s="2" t="s">
        <v>32</v>
      </c>
      <c r="H3" t="s">
        <v>33</v>
      </c>
      <c r="I3" t="s">
        <v>34</v>
      </c>
      <c r="J3" s="4">
        <v>0.61538461538461542</v>
      </c>
      <c r="K3">
        <v>0</v>
      </c>
      <c r="L3">
        <v>0</v>
      </c>
      <c r="M3">
        <v>0.71366373138551342</v>
      </c>
      <c r="N3">
        <v>0</v>
      </c>
      <c r="O3">
        <v>0</v>
      </c>
      <c r="P3">
        <v>0</v>
      </c>
      <c r="Q3">
        <v>0</v>
      </c>
      <c r="R3">
        <v>10.010499954223629</v>
      </c>
      <c r="S3">
        <v>5</v>
      </c>
      <c r="T3">
        <v>10.010499954223629</v>
      </c>
    </row>
    <row r="4" spans="1:25" ht="409.5" x14ac:dyDescent="0.25">
      <c r="A4">
        <v>11</v>
      </c>
      <c r="B4" t="s">
        <v>35</v>
      </c>
      <c r="C4" t="s">
        <v>21</v>
      </c>
      <c r="D4" s="2" t="s">
        <v>36</v>
      </c>
      <c r="E4" s="2" t="s">
        <v>37</v>
      </c>
      <c r="F4" s="2" t="s">
        <v>38</v>
      </c>
      <c r="G4" s="2" t="s">
        <v>39</v>
      </c>
      <c r="H4" t="s">
        <v>40</v>
      </c>
      <c r="I4" t="s">
        <v>41</v>
      </c>
      <c r="J4" s="7">
        <f>0.5</f>
        <v>0.5</v>
      </c>
      <c r="K4">
        <v>1</v>
      </c>
      <c r="L4">
        <v>1</v>
      </c>
      <c r="M4">
        <v>0.5</v>
      </c>
      <c r="N4">
        <f t="shared" ref="N4" si="0">IFERROR(X4/(X4+Y4), 0)</f>
        <v>0.27272727272727271</v>
      </c>
      <c r="O4">
        <v>0.5</v>
      </c>
      <c r="P4">
        <v>0.5</v>
      </c>
      <c r="Q4">
        <v>1</v>
      </c>
      <c r="R4">
        <v>9.4738509654998779</v>
      </c>
      <c r="S4">
        <v>5</v>
      </c>
      <c r="T4">
        <v>9.4738509654998779</v>
      </c>
      <c r="U4" s="9" t="s">
        <v>131</v>
      </c>
      <c r="V4" s="9" t="s">
        <v>132</v>
      </c>
      <c r="X4">
        <v>3</v>
      </c>
      <c r="Y4">
        <v>8</v>
      </c>
    </row>
    <row r="5" spans="1:25" ht="409.5" x14ac:dyDescent="0.25">
      <c r="A5">
        <v>17</v>
      </c>
      <c r="B5" t="s">
        <v>42</v>
      </c>
      <c r="C5" t="s">
        <v>43</v>
      </c>
      <c r="D5" s="2" t="s">
        <v>44</v>
      </c>
      <c r="E5" s="2" t="s">
        <v>45</v>
      </c>
      <c r="F5" s="2" t="s">
        <v>46</v>
      </c>
      <c r="G5" s="2" t="s">
        <v>47</v>
      </c>
      <c r="H5" t="s">
        <v>48</v>
      </c>
      <c r="I5" t="s">
        <v>49</v>
      </c>
      <c r="J5" s="4">
        <v>0.6</v>
      </c>
      <c r="K5">
        <v>0</v>
      </c>
      <c r="L5">
        <v>0</v>
      </c>
      <c r="M5">
        <v>0.76307917657424806</v>
      </c>
      <c r="N5">
        <v>0.39999999959999999</v>
      </c>
      <c r="O5">
        <v>0</v>
      </c>
      <c r="P5">
        <v>0.5</v>
      </c>
      <c r="Q5">
        <v>1</v>
      </c>
      <c r="R5">
        <v>7.7230634689331046</v>
      </c>
      <c r="S5">
        <v>5</v>
      </c>
      <c r="T5">
        <v>7.7230634689331046</v>
      </c>
    </row>
    <row r="6" spans="1:25" ht="409.5" x14ac:dyDescent="0.25">
      <c r="A6">
        <v>20</v>
      </c>
      <c r="B6" t="s">
        <v>42</v>
      </c>
      <c r="C6" t="s">
        <v>28</v>
      </c>
      <c r="D6" s="2" t="s">
        <v>50</v>
      </c>
      <c r="E6" s="2" t="s">
        <v>51</v>
      </c>
      <c r="F6" s="2" t="s">
        <v>52</v>
      </c>
      <c r="G6" s="2" t="s">
        <v>53</v>
      </c>
      <c r="H6" t="s">
        <v>54</v>
      </c>
      <c r="I6" t="s">
        <v>49</v>
      </c>
      <c r="J6" s="3">
        <v>0.8</v>
      </c>
      <c r="K6">
        <v>0.88888888888888884</v>
      </c>
      <c r="L6">
        <v>0.69999999996499995</v>
      </c>
      <c r="M6">
        <v>0.54732096792325347</v>
      </c>
      <c r="N6">
        <v>0.1111111109876543</v>
      </c>
      <c r="O6">
        <v>0.79537475669705948</v>
      </c>
      <c r="P6">
        <v>1</v>
      </c>
      <c r="Q6">
        <v>1</v>
      </c>
      <c r="R6">
        <v>8.7654869556427002</v>
      </c>
      <c r="S6">
        <v>5</v>
      </c>
      <c r="T6">
        <v>8.7654869556427002</v>
      </c>
    </row>
    <row r="7" spans="1:25" ht="409.5" x14ac:dyDescent="0.25">
      <c r="A7">
        <v>30</v>
      </c>
      <c r="B7" t="s">
        <v>90</v>
      </c>
      <c r="C7" t="s">
        <v>43</v>
      </c>
      <c r="D7" s="2" t="s">
        <v>107</v>
      </c>
      <c r="E7" s="2" t="s">
        <v>108</v>
      </c>
      <c r="F7" s="2" t="s">
        <v>109</v>
      </c>
      <c r="G7" s="2" t="s">
        <v>110</v>
      </c>
      <c r="H7" t="s">
        <v>111</v>
      </c>
      <c r="I7" t="s">
        <v>112</v>
      </c>
      <c r="J7" s="4">
        <v>0.625</v>
      </c>
      <c r="K7">
        <v>1</v>
      </c>
      <c r="L7">
        <v>0</v>
      </c>
      <c r="M7">
        <v>0.86740094111044419</v>
      </c>
      <c r="N7">
        <v>0.16666666638888891</v>
      </c>
      <c r="O7">
        <v>0.8876142428518099</v>
      </c>
      <c r="P7">
        <v>0</v>
      </c>
      <c r="Q7">
        <v>0</v>
      </c>
      <c r="R7">
        <v>22.873854398727421</v>
      </c>
      <c r="S7">
        <v>5</v>
      </c>
      <c r="T7">
        <v>22.873854398727421</v>
      </c>
    </row>
    <row r="8" spans="1:25" ht="409.5" x14ac:dyDescent="0.25">
      <c r="A8">
        <v>33</v>
      </c>
      <c r="B8" t="s">
        <v>55</v>
      </c>
      <c r="C8" t="s">
        <v>43</v>
      </c>
      <c r="D8" s="2" t="s">
        <v>56</v>
      </c>
      <c r="E8" s="2" t="s">
        <v>57</v>
      </c>
      <c r="F8" s="2" t="s">
        <v>58</v>
      </c>
      <c r="G8" s="2" t="s">
        <v>59</v>
      </c>
      <c r="H8" t="s">
        <v>60</v>
      </c>
      <c r="I8" t="s">
        <v>49</v>
      </c>
      <c r="J8" s="3">
        <v>1</v>
      </c>
      <c r="K8">
        <v>1</v>
      </c>
      <c r="L8">
        <v>0.8666666666377778</v>
      </c>
      <c r="M8">
        <v>0.88175794034474853</v>
      </c>
      <c r="N8">
        <v>0.33333333222222222</v>
      </c>
      <c r="O8">
        <v>0.95019120770547782</v>
      </c>
      <c r="P8">
        <v>0</v>
      </c>
      <c r="Q8">
        <v>0</v>
      </c>
      <c r="R8">
        <v>8.1560134887695313</v>
      </c>
      <c r="S8">
        <v>5</v>
      </c>
      <c r="T8">
        <v>8.1560134887695313</v>
      </c>
    </row>
    <row r="9" spans="1:25" ht="409.5" x14ac:dyDescent="0.25">
      <c r="A9">
        <v>34</v>
      </c>
      <c r="B9" t="s">
        <v>61</v>
      </c>
      <c r="C9" t="s">
        <v>43</v>
      </c>
      <c r="D9" s="2" t="s">
        <v>62</v>
      </c>
      <c r="E9" s="2" t="s">
        <v>63</v>
      </c>
      <c r="F9" s="2" t="s">
        <v>64</v>
      </c>
      <c r="G9" s="2" t="s">
        <v>65</v>
      </c>
      <c r="H9" t="s">
        <v>66</v>
      </c>
      <c r="I9" t="s">
        <v>27</v>
      </c>
      <c r="J9" s="5">
        <v>0</v>
      </c>
      <c r="K9">
        <v>0</v>
      </c>
      <c r="L9">
        <v>0</v>
      </c>
      <c r="M9">
        <v>0.74801993950570767</v>
      </c>
      <c r="N9">
        <v>0</v>
      </c>
      <c r="O9">
        <v>0.96368457269512253</v>
      </c>
      <c r="P9">
        <v>0.33333333333333331</v>
      </c>
      <c r="Q9">
        <v>1</v>
      </c>
      <c r="R9">
        <v>11.905722618103029</v>
      </c>
      <c r="S9">
        <v>5</v>
      </c>
      <c r="T9">
        <v>11.905722618103029</v>
      </c>
    </row>
    <row r="10" spans="1:25" ht="409.5" x14ac:dyDescent="0.25">
      <c r="A10">
        <v>64</v>
      </c>
      <c r="B10" t="s">
        <v>61</v>
      </c>
      <c r="C10" t="s">
        <v>21</v>
      </c>
      <c r="D10" s="2" t="s">
        <v>67</v>
      </c>
      <c r="E10" s="2" t="s">
        <v>68</v>
      </c>
      <c r="F10" s="2" t="s">
        <v>69</v>
      </c>
      <c r="G10" s="2" t="s">
        <v>70</v>
      </c>
      <c r="H10" t="s">
        <v>71</v>
      </c>
      <c r="I10" t="s">
        <v>41</v>
      </c>
      <c r="J10" s="5">
        <v>0.2</v>
      </c>
      <c r="K10">
        <v>0</v>
      </c>
      <c r="L10">
        <v>0</v>
      </c>
      <c r="M10">
        <v>0.80823798188452467</v>
      </c>
      <c r="N10">
        <v>0</v>
      </c>
      <c r="O10">
        <v>0</v>
      </c>
      <c r="P10">
        <v>0</v>
      </c>
      <c r="Q10">
        <v>0</v>
      </c>
      <c r="R10">
        <v>19.49518513679504</v>
      </c>
      <c r="S10">
        <v>5</v>
      </c>
      <c r="T10">
        <v>19.49518513679504</v>
      </c>
    </row>
    <row r="11" spans="1:25" ht="409.5" x14ac:dyDescent="0.25">
      <c r="A11">
        <v>65</v>
      </c>
      <c r="B11" t="s">
        <v>72</v>
      </c>
      <c r="C11" t="s">
        <v>21</v>
      </c>
      <c r="D11" s="2" t="s">
        <v>73</v>
      </c>
      <c r="E11" s="2" t="s">
        <v>74</v>
      </c>
      <c r="F11" s="2" t="s">
        <v>75</v>
      </c>
      <c r="G11" s="2" t="s">
        <v>76</v>
      </c>
      <c r="H11" t="s">
        <v>77</v>
      </c>
      <c r="I11" t="s">
        <v>78</v>
      </c>
      <c r="J11" s="5">
        <v>0.33333333333333331</v>
      </c>
      <c r="K11">
        <v>1</v>
      </c>
      <c r="L11">
        <v>0.7499999999625</v>
      </c>
      <c r="M11">
        <v>0.85041125424598185</v>
      </c>
      <c r="N11">
        <v>0.1714285713795918</v>
      </c>
      <c r="O11">
        <v>0.80572934565912957</v>
      </c>
      <c r="P11">
        <v>1</v>
      </c>
      <c r="Q11">
        <v>1</v>
      </c>
      <c r="R11">
        <v>10.89683628082275</v>
      </c>
      <c r="S11">
        <v>5</v>
      </c>
      <c r="T11">
        <v>10.89683628082275</v>
      </c>
    </row>
    <row r="12" spans="1:25" ht="409.5" x14ac:dyDescent="0.25">
      <c r="A12">
        <v>84</v>
      </c>
      <c r="B12" t="s">
        <v>72</v>
      </c>
      <c r="C12" t="s">
        <v>28</v>
      </c>
      <c r="D12" s="2" t="s">
        <v>79</v>
      </c>
      <c r="E12" s="2" t="s">
        <v>80</v>
      </c>
      <c r="F12" s="2" t="s">
        <v>81</v>
      </c>
      <c r="G12" s="2" t="s">
        <v>82</v>
      </c>
      <c r="H12" t="s">
        <v>83</v>
      </c>
      <c r="I12" t="s">
        <v>49</v>
      </c>
      <c r="J12" s="3">
        <v>0.9</v>
      </c>
      <c r="K12">
        <v>1</v>
      </c>
      <c r="L12">
        <v>0.75555555553037035</v>
      </c>
      <c r="M12">
        <v>0.72480963765983408</v>
      </c>
      <c r="N12">
        <v>0</v>
      </c>
      <c r="O12">
        <v>0.95987955397349634</v>
      </c>
      <c r="P12">
        <v>0</v>
      </c>
      <c r="Q12">
        <v>0</v>
      </c>
      <c r="R12">
        <v>11.943759441375731</v>
      </c>
      <c r="S12">
        <v>5</v>
      </c>
      <c r="T12">
        <v>11.943759441375731</v>
      </c>
    </row>
    <row r="13" spans="1:25" ht="409.5" x14ac:dyDescent="0.25">
      <c r="A13">
        <v>89</v>
      </c>
      <c r="B13" t="s">
        <v>61</v>
      </c>
      <c r="C13" t="s">
        <v>21</v>
      </c>
      <c r="D13" s="2" t="s">
        <v>84</v>
      </c>
      <c r="E13" s="2" t="s">
        <v>85</v>
      </c>
      <c r="F13" s="2" t="s">
        <v>86</v>
      </c>
      <c r="G13" s="2" t="s">
        <v>87</v>
      </c>
      <c r="H13" t="s">
        <v>88</v>
      </c>
      <c r="I13" t="s">
        <v>89</v>
      </c>
      <c r="J13" s="4">
        <v>0.66666666666666663</v>
      </c>
      <c r="K13">
        <v>0</v>
      </c>
      <c r="L13">
        <v>0</v>
      </c>
      <c r="M13">
        <v>0.57422403734337246</v>
      </c>
      <c r="N13">
        <v>0</v>
      </c>
      <c r="O13">
        <v>0</v>
      </c>
      <c r="P13">
        <v>0</v>
      </c>
      <c r="Q13">
        <v>0</v>
      </c>
      <c r="R13">
        <v>8.4058101177215576</v>
      </c>
      <c r="S13">
        <v>5</v>
      </c>
      <c r="T13">
        <v>8.4058101177215576</v>
      </c>
    </row>
    <row r="14" spans="1:25" ht="409.5" x14ac:dyDescent="0.25">
      <c r="A14">
        <v>91</v>
      </c>
      <c r="B14" t="s">
        <v>90</v>
      </c>
      <c r="C14" t="s">
        <v>43</v>
      </c>
      <c r="D14" s="2" t="s">
        <v>91</v>
      </c>
      <c r="E14" s="2" t="s">
        <v>92</v>
      </c>
      <c r="F14" s="2" t="s">
        <v>93</v>
      </c>
      <c r="G14" s="2" t="s">
        <v>94</v>
      </c>
      <c r="H14" t="s">
        <v>95</v>
      </c>
      <c r="I14" t="s">
        <v>89</v>
      </c>
      <c r="J14" s="4">
        <v>0.66666666666666663</v>
      </c>
      <c r="K14">
        <v>0.6</v>
      </c>
      <c r="M14">
        <v>0.83352148197934484</v>
      </c>
      <c r="N14">
        <v>0.1999999999</v>
      </c>
      <c r="O14">
        <v>0</v>
      </c>
      <c r="P14">
        <v>0</v>
      </c>
      <c r="Q14">
        <v>0</v>
      </c>
      <c r="R14">
        <v>14.452758550643919</v>
      </c>
      <c r="S14">
        <v>5</v>
      </c>
      <c r="T14">
        <v>14.452758550643919</v>
      </c>
    </row>
    <row r="15" spans="1:25" ht="409.5" x14ac:dyDescent="0.25">
      <c r="A15">
        <v>97</v>
      </c>
      <c r="B15" t="s">
        <v>90</v>
      </c>
      <c r="C15" t="s">
        <v>28</v>
      </c>
      <c r="D15" s="2" t="s">
        <v>96</v>
      </c>
      <c r="E15" s="2" t="s">
        <v>97</v>
      </c>
      <c r="F15" s="2" t="s">
        <v>98</v>
      </c>
      <c r="G15" s="2" t="s">
        <v>99</v>
      </c>
      <c r="H15" t="s">
        <v>100</v>
      </c>
      <c r="I15" t="s">
        <v>89</v>
      </c>
      <c r="J15" s="5">
        <v>0.44444444444444442</v>
      </c>
      <c r="K15">
        <v>0.75</v>
      </c>
      <c r="L15">
        <v>0.99999999998</v>
      </c>
      <c r="M15">
        <v>0.83696191881469706</v>
      </c>
      <c r="N15">
        <v>0.12499999984375</v>
      </c>
      <c r="O15">
        <v>0.87541687137405289</v>
      </c>
      <c r="P15">
        <v>0</v>
      </c>
      <c r="Q15">
        <v>0</v>
      </c>
      <c r="R15">
        <v>15.475528955459589</v>
      </c>
      <c r="S15">
        <v>5</v>
      </c>
      <c r="T15">
        <v>15.475528955459589</v>
      </c>
    </row>
    <row r="16" spans="1:25" ht="409.5" x14ac:dyDescent="0.25">
      <c r="A16">
        <v>110</v>
      </c>
      <c r="B16" t="s">
        <v>90</v>
      </c>
      <c r="C16" t="s">
        <v>28</v>
      </c>
      <c r="D16" s="2" t="s">
        <v>101</v>
      </c>
      <c r="E16" s="2" t="s">
        <v>102</v>
      </c>
      <c r="F16" s="2" t="s">
        <v>103</v>
      </c>
      <c r="G16" s="2" t="s">
        <v>104</v>
      </c>
      <c r="H16" t="s">
        <v>105</v>
      </c>
      <c r="I16" t="s">
        <v>106</v>
      </c>
      <c r="J16" s="5">
        <v>0.3</v>
      </c>
      <c r="K16">
        <v>0.25</v>
      </c>
      <c r="L16">
        <v>0.99999999995</v>
      </c>
      <c r="M16">
        <v>0.76220810325268817</v>
      </c>
      <c r="N16">
        <v>4.9999999975000001E-2</v>
      </c>
      <c r="O16">
        <v>0.98361773256739216</v>
      </c>
      <c r="P16">
        <v>0</v>
      </c>
      <c r="Q16">
        <v>0</v>
      </c>
      <c r="R16">
        <v>16.019131183624271</v>
      </c>
      <c r="S16">
        <v>5</v>
      </c>
      <c r="T16">
        <v>16.019131183624271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10" t="s">
        <v>113</v>
      </c>
      <c r="B1" s="11"/>
      <c r="C1" s="11"/>
      <c r="D1" s="11"/>
    </row>
    <row r="3" spans="1:10" ht="15.75" x14ac:dyDescent="0.25">
      <c r="A3" s="6" t="s">
        <v>114</v>
      </c>
    </row>
    <row r="4" spans="1:10" x14ac:dyDescent="0.25">
      <c r="A4" t="s">
        <v>9</v>
      </c>
      <c r="B4" s="5">
        <v>0.55062259091670851</v>
      </c>
    </row>
    <row r="5" spans="1:10" x14ac:dyDescent="0.25">
      <c r="A5" t="s">
        <v>10</v>
      </c>
      <c r="B5" s="5">
        <v>0.56592592592592594</v>
      </c>
    </row>
    <row r="6" spans="1:10" x14ac:dyDescent="0.25">
      <c r="A6" t="s">
        <v>11</v>
      </c>
      <c r="B6" s="5">
        <v>0.4424145298981027</v>
      </c>
    </row>
    <row r="7" spans="1:10" x14ac:dyDescent="0.25">
      <c r="A7" t="s">
        <v>12</v>
      </c>
      <c r="B7" s="4">
        <v>0.75471839456626111</v>
      </c>
    </row>
    <row r="8" spans="1:10" x14ac:dyDescent="0.25">
      <c r="A8" t="s">
        <v>13</v>
      </c>
      <c r="B8" s="5">
        <v>0.14760702241622919</v>
      </c>
    </row>
    <row r="9" spans="1:10" x14ac:dyDescent="0.25">
      <c r="A9" t="s">
        <v>14</v>
      </c>
      <c r="B9" s="5">
        <v>0.53781981898923825</v>
      </c>
    </row>
    <row r="10" spans="1:10" x14ac:dyDescent="0.25">
      <c r="A10" t="s">
        <v>115</v>
      </c>
      <c r="B10" s="5">
        <v>0.22222222222222221</v>
      </c>
    </row>
    <row r="11" spans="1:10" x14ac:dyDescent="0.25">
      <c r="A11" t="s">
        <v>116</v>
      </c>
      <c r="B11" s="5">
        <v>0.33333333333333331</v>
      </c>
    </row>
    <row r="12" spans="1:10" x14ac:dyDescent="0.25">
      <c r="A12" t="s">
        <v>17</v>
      </c>
      <c r="B12" s="7">
        <v>14.742974424362179</v>
      </c>
    </row>
    <row r="15" spans="1:10" ht="15.75" x14ac:dyDescent="0.25">
      <c r="A15" s="6" t="s">
        <v>117</v>
      </c>
    </row>
    <row r="16" spans="1:10" x14ac:dyDescent="0.25">
      <c r="A16" s="8" t="s">
        <v>118</v>
      </c>
      <c r="B16" s="8" t="s">
        <v>119</v>
      </c>
      <c r="C16" s="8" t="s">
        <v>120</v>
      </c>
      <c r="D16" s="8" t="s">
        <v>121</v>
      </c>
      <c r="E16" s="8" t="s">
        <v>122</v>
      </c>
      <c r="F16" s="8" t="s">
        <v>123</v>
      </c>
      <c r="G16" s="8" t="s">
        <v>124</v>
      </c>
      <c r="H16" s="8" t="s">
        <v>115</v>
      </c>
      <c r="I16" s="8" t="s">
        <v>116</v>
      </c>
      <c r="J16" s="8" t="s">
        <v>125</v>
      </c>
    </row>
    <row r="17" spans="1:10" x14ac:dyDescent="0.25">
      <c r="A17" t="s">
        <v>20</v>
      </c>
      <c r="B17" s="7">
        <v>0.77828054298642535</v>
      </c>
      <c r="C17" s="7">
        <v>0.5</v>
      </c>
      <c r="D17" s="7">
        <v>0.33958333332484381</v>
      </c>
      <c r="E17" s="7">
        <v>0.70270453881796979</v>
      </c>
      <c r="F17" s="7">
        <v>5.5555555493827152E-2</v>
      </c>
      <c r="G17" s="7">
        <v>0.42289450065751688</v>
      </c>
      <c r="H17" s="7">
        <v>0</v>
      </c>
      <c r="I17" s="7">
        <v>0</v>
      </c>
      <c r="J17" s="7">
        <v>27.778807401657101</v>
      </c>
    </row>
    <row r="18" spans="1:10" x14ac:dyDescent="0.25">
      <c r="A18" t="s">
        <v>42</v>
      </c>
      <c r="B18" s="7">
        <v>0.7</v>
      </c>
      <c r="C18" s="7">
        <v>0.44444444444444442</v>
      </c>
      <c r="D18" s="7">
        <v>0.34999999998249998</v>
      </c>
      <c r="E18" s="7">
        <v>0.65520007224875076</v>
      </c>
      <c r="F18" s="7">
        <v>0.25555555529382712</v>
      </c>
      <c r="G18" s="7">
        <v>0.39768737834852969</v>
      </c>
      <c r="H18" s="7">
        <v>0.75</v>
      </c>
      <c r="I18" s="7">
        <v>1</v>
      </c>
      <c r="J18" s="7">
        <v>8.2442752122879028</v>
      </c>
    </row>
    <row r="19" spans="1:10" x14ac:dyDescent="0.25">
      <c r="A19" t="s">
        <v>72</v>
      </c>
      <c r="B19" s="7">
        <v>0.6166666666666667</v>
      </c>
      <c r="C19" s="7">
        <v>1</v>
      </c>
      <c r="D19" s="7">
        <v>0.75277777774643517</v>
      </c>
      <c r="E19" s="7">
        <v>0.78761044595290797</v>
      </c>
      <c r="F19" s="7">
        <v>8.5714285689795916E-2</v>
      </c>
      <c r="G19" s="7">
        <v>0.88280444981631301</v>
      </c>
      <c r="H19" s="7">
        <v>0.5</v>
      </c>
      <c r="I19" s="7">
        <v>0.5</v>
      </c>
      <c r="J19" s="7">
        <v>11.42029786109924</v>
      </c>
    </row>
    <row r="20" spans="1:10" x14ac:dyDescent="0.25">
      <c r="A20" t="s">
        <v>55</v>
      </c>
      <c r="B20" s="7">
        <v>1</v>
      </c>
      <c r="C20" s="7">
        <v>1</v>
      </c>
      <c r="D20" s="7">
        <v>0.8666666666377778</v>
      </c>
      <c r="E20" s="7">
        <v>0.88175794034474853</v>
      </c>
      <c r="F20" s="7">
        <v>0.33333333222222222</v>
      </c>
      <c r="G20" s="7">
        <v>0.95019120770547782</v>
      </c>
      <c r="H20" s="7">
        <v>0</v>
      </c>
      <c r="I20" s="7">
        <v>0</v>
      </c>
      <c r="J20" s="7">
        <v>8.1560134887695313</v>
      </c>
    </row>
    <row r="21" spans="1:10" x14ac:dyDescent="0.25">
      <c r="A21" t="s">
        <v>35</v>
      </c>
      <c r="B21" s="7">
        <v>0.16666666666666671</v>
      </c>
      <c r="C21" s="7">
        <v>1</v>
      </c>
      <c r="D21" s="7"/>
      <c r="E21" s="7">
        <v>0.71741346021913099</v>
      </c>
      <c r="F21" s="7">
        <v>0.54545454495867762</v>
      </c>
      <c r="G21" s="7">
        <v>0</v>
      </c>
      <c r="H21" s="7">
        <v>0.5</v>
      </c>
      <c r="I21" s="7">
        <v>1</v>
      </c>
      <c r="J21" s="7">
        <v>9.4738509654998779</v>
      </c>
    </row>
    <row r="22" spans="1:10" x14ac:dyDescent="0.25">
      <c r="A22" t="s">
        <v>90</v>
      </c>
      <c r="B22" s="7">
        <v>0.50902777777777786</v>
      </c>
      <c r="C22" s="7">
        <v>0.65</v>
      </c>
      <c r="D22" s="7">
        <v>0.66666666664333329</v>
      </c>
      <c r="E22" s="7">
        <v>0.82502311128929351</v>
      </c>
      <c r="F22" s="7">
        <v>0.1354166665269097</v>
      </c>
      <c r="G22" s="7">
        <v>0.68666221169831376</v>
      </c>
      <c r="H22" s="7">
        <v>0</v>
      </c>
      <c r="I22" s="7">
        <v>0</v>
      </c>
      <c r="J22" s="7">
        <v>17.2053182721138</v>
      </c>
    </row>
    <row r="23" spans="1:10" x14ac:dyDescent="0.25">
      <c r="A23" t="s">
        <v>61</v>
      </c>
      <c r="B23" s="7">
        <v>0.28888888888888892</v>
      </c>
      <c r="C23" s="7">
        <v>0</v>
      </c>
      <c r="D23" s="7">
        <v>0</v>
      </c>
      <c r="E23" s="7">
        <v>0.71016065291120167</v>
      </c>
      <c r="F23" s="7">
        <v>0</v>
      </c>
      <c r="G23" s="7">
        <v>0.32122819089837418</v>
      </c>
      <c r="H23" s="7">
        <v>0.1111111111111111</v>
      </c>
      <c r="I23" s="7">
        <v>0.33333333333333331</v>
      </c>
      <c r="J23" s="7">
        <v>13.26890595753988</v>
      </c>
    </row>
    <row r="26" spans="1:10" ht="15.75" x14ac:dyDescent="0.25">
      <c r="A26" s="6" t="s">
        <v>126</v>
      </c>
    </row>
    <row r="27" spans="1:10" x14ac:dyDescent="0.25">
      <c r="A27" s="8" t="s">
        <v>127</v>
      </c>
      <c r="B27" s="8" t="s">
        <v>119</v>
      </c>
      <c r="C27" s="8" t="s">
        <v>120</v>
      </c>
      <c r="D27" s="8" t="s">
        <v>121</v>
      </c>
      <c r="E27" s="8" t="s">
        <v>122</v>
      </c>
      <c r="F27" s="8" t="s">
        <v>123</v>
      </c>
      <c r="G27" s="8" t="s">
        <v>124</v>
      </c>
      <c r="H27" s="8" t="s">
        <v>115</v>
      </c>
      <c r="I27" s="8" t="s">
        <v>116</v>
      </c>
      <c r="J27" s="8" t="s">
        <v>125</v>
      </c>
    </row>
    <row r="28" spans="1:10" x14ac:dyDescent="0.25">
      <c r="A28" t="s">
        <v>128</v>
      </c>
      <c r="B28" s="7">
        <v>0.57833333333333337</v>
      </c>
      <c r="C28" s="7">
        <v>0.52</v>
      </c>
      <c r="D28" s="7">
        <v>0.21666666665944451</v>
      </c>
      <c r="E28" s="7">
        <v>0.81875589590289866</v>
      </c>
      <c r="F28" s="7">
        <v>0.21999999962222219</v>
      </c>
      <c r="G28" s="7">
        <v>0.56029800465048196</v>
      </c>
      <c r="H28" s="7">
        <v>0.16666666666666671</v>
      </c>
      <c r="I28" s="7">
        <v>0.4</v>
      </c>
      <c r="J28" s="7">
        <v>13.022282505035401</v>
      </c>
    </row>
    <row r="29" spans="1:10" x14ac:dyDescent="0.25">
      <c r="A29" t="s">
        <v>129</v>
      </c>
      <c r="B29" s="7">
        <v>0.46156862745098037</v>
      </c>
      <c r="C29" s="7">
        <v>0.6</v>
      </c>
      <c r="D29" s="7">
        <v>0.3572916666530469</v>
      </c>
      <c r="E29" s="7">
        <v>0.72840641598868716</v>
      </c>
      <c r="F29" s="7">
        <v>0.16559884546518469</v>
      </c>
      <c r="G29" s="7">
        <v>0.33030366939483269</v>
      </c>
      <c r="H29" s="7">
        <v>0.3</v>
      </c>
      <c r="I29" s="7">
        <v>0.4</v>
      </c>
      <c r="J29" s="7">
        <v>18.76375946998596</v>
      </c>
    </row>
    <row r="30" spans="1:10" x14ac:dyDescent="0.25">
      <c r="A30" t="s">
        <v>130</v>
      </c>
      <c r="B30" s="7">
        <v>0.6119658119658119</v>
      </c>
      <c r="C30" s="7">
        <v>0.57777777777777772</v>
      </c>
      <c r="D30" s="7">
        <v>0.69111111108507406</v>
      </c>
      <c r="E30" s="7">
        <v>0.71699287180719717</v>
      </c>
      <c r="F30" s="7">
        <v>5.7222222161280853E-2</v>
      </c>
      <c r="G30" s="7">
        <v>0.72285778292240022</v>
      </c>
      <c r="H30" s="7">
        <v>0.2</v>
      </c>
      <c r="I30" s="7">
        <v>0.2</v>
      </c>
      <c r="J30" s="7">
        <v>12.44288129806518</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2026-01-13T13:15:45Z</dcterms:created>
  <dcterms:modified xsi:type="dcterms:W3CDTF">2026-01-13T13:57:09Z</dcterms:modified>
</cp:coreProperties>
</file>