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Backup\qwen25_7b_validation\"/>
    </mc:Choice>
  </mc:AlternateContent>
  <xr:revisionPtr revIDLastSave="0" documentId="13_ncr:1_{E10F2C24-7AFC-4DCA-8075-B75ADA492F06}" xr6:coauthVersionLast="47" xr6:coauthVersionMax="47" xr10:uidLastSave="{00000000-0000-0000-0000-000000000000}"/>
  <bookViews>
    <workbookView xWindow="-120" yWindow="-120" windowWidth="29040" windowHeight="15840" activeTab="5" xr2:uid="{00000000-000D-0000-FFFF-FFFF00000000}"/>
  </bookViews>
  <sheets>
    <sheet name="Ränge" sheetId="9" r:id="rId1"/>
    <sheet name="Korrelationen" sheetId="20" r:id="rId2"/>
    <sheet name="Metriken_qwen" sheetId="5" r:id="rId3"/>
    <sheet name="Metriken_gpt4o-mini" sheetId="6" state="hidden" r:id="rId4"/>
    <sheet name="Metriken gpt-4.1" sheetId="19" state="hidden" r:id="rId5"/>
    <sheet name="Metriken gpt-4.1-mini" sheetId="22" r:id="rId6"/>
    <sheet name="Metriken_gpt5.2" sheetId="10" state="hidden" r:id="rId7"/>
    <sheet name="Human Details" sheetId="3" r:id="rId8"/>
    <sheet name="Human Erläuterungen" sheetId="4" r:id="rId9"/>
    <sheet name="LLM-As-Judge Details" sheetId="1" state="hidden" r:id="rId10"/>
    <sheet name="GPT4o-mini-Details" sheetId="8" state="hidden" r:id="rId11"/>
    <sheet name="gpt-4.1-mini-Details" sheetId="21" r:id="rId12"/>
    <sheet name="gpt-4.1-Details" sheetId="11" r:id="rId13"/>
    <sheet name="gpt-5.2-Details" sheetId="7" state="hidden" r:id="rId14"/>
    <sheet name="LLM-As-Judge Zusammenfassung" sheetId="2" r:id="rId15"/>
  </sheets>
  <definedNames>
    <definedName name="_xlnm._FilterDatabase" localSheetId="12" hidden="1">'gpt-4.1-Details'!$A$1:$V$16</definedName>
    <definedName name="_xlnm._FilterDatabase" localSheetId="13" hidden="1">'gpt-5.2-Details'!$A$1:$T$16</definedName>
    <definedName name="_xlnm._FilterDatabase" localSheetId="9" hidden="1">'LLM-As-Judge Details'!$A$1:$T$16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3" i="22" l="1"/>
  <c r="X42" i="22"/>
  <c r="X41" i="22"/>
  <c r="T43" i="22"/>
  <c r="T42" i="22"/>
  <c r="T41" i="22"/>
  <c r="P43" i="22"/>
  <c r="P42" i="22"/>
  <c r="P41" i="22"/>
  <c r="L43" i="22"/>
  <c r="L42" i="22"/>
  <c r="L41" i="22"/>
  <c r="H43" i="22"/>
  <c r="H42" i="22"/>
  <c r="H41" i="22"/>
  <c r="D42" i="22"/>
  <c r="D43" i="22"/>
  <c r="D41" i="22"/>
  <c r="V26" i="22"/>
  <c r="W26" i="22"/>
  <c r="V27" i="22"/>
  <c r="W27" i="22"/>
  <c r="V28" i="22"/>
  <c r="W28" i="22"/>
  <c r="V29" i="22"/>
  <c r="W29" i="22"/>
  <c r="V30" i="22"/>
  <c r="W30" i="22"/>
  <c r="V31" i="22"/>
  <c r="W31" i="22"/>
  <c r="V32" i="22"/>
  <c r="W32" i="22"/>
  <c r="V33" i="22"/>
  <c r="W33" i="22"/>
  <c r="V34" i="22"/>
  <c r="W34" i="22"/>
  <c r="V35" i="22"/>
  <c r="W35" i="22"/>
  <c r="V36" i="22"/>
  <c r="W36" i="22"/>
  <c r="V37" i="22"/>
  <c r="W37" i="22"/>
  <c r="V38" i="22"/>
  <c r="W38" i="22"/>
  <c r="V39" i="22"/>
  <c r="W39" i="22"/>
  <c r="W43" i="22"/>
  <c r="W42" i="22"/>
  <c r="W41" i="22"/>
  <c r="O43" i="22"/>
  <c r="O42" i="22"/>
  <c r="O41" i="22"/>
  <c r="S43" i="22"/>
  <c r="S42" i="22"/>
  <c r="S41" i="22"/>
  <c r="K43" i="22"/>
  <c r="K42" i="22"/>
  <c r="K41" i="22"/>
  <c r="G43" i="22"/>
  <c r="G42" i="22"/>
  <c r="G41" i="22"/>
  <c r="C43" i="22"/>
  <c r="C42" i="22"/>
  <c r="C41" i="22"/>
  <c r="R26" i="22"/>
  <c r="S26" i="22"/>
  <c r="R27" i="22"/>
  <c r="S27" i="22"/>
  <c r="R28" i="22"/>
  <c r="S28" i="22"/>
  <c r="R29" i="22"/>
  <c r="S29" i="22"/>
  <c r="R30" i="22"/>
  <c r="S30" i="22"/>
  <c r="R31" i="22"/>
  <c r="S31" i="22"/>
  <c r="R32" i="22"/>
  <c r="S32" i="22"/>
  <c r="R33" i="22"/>
  <c r="S33" i="22"/>
  <c r="R34" i="22"/>
  <c r="S34" i="22"/>
  <c r="R35" i="22"/>
  <c r="S35" i="22"/>
  <c r="R36" i="22"/>
  <c r="S36" i="22"/>
  <c r="R37" i="22"/>
  <c r="S37" i="22"/>
  <c r="R38" i="22"/>
  <c r="S38" i="22"/>
  <c r="R39" i="22"/>
  <c r="S39" i="22"/>
  <c r="N26" i="22"/>
  <c r="O26" i="22"/>
  <c r="N27" i="22"/>
  <c r="O27" i="22"/>
  <c r="N28" i="22"/>
  <c r="O28" i="22"/>
  <c r="N29" i="22"/>
  <c r="O29" i="22"/>
  <c r="N30" i="22"/>
  <c r="O30" i="22"/>
  <c r="N31" i="22"/>
  <c r="O31" i="22"/>
  <c r="N32" i="22"/>
  <c r="O32" i="22"/>
  <c r="N33" i="22"/>
  <c r="O33" i="22"/>
  <c r="N34" i="22"/>
  <c r="O34" i="22"/>
  <c r="N35" i="22"/>
  <c r="O35" i="22"/>
  <c r="N36" i="22"/>
  <c r="O36" i="22"/>
  <c r="N37" i="22"/>
  <c r="O37" i="22"/>
  <c r="N38" i="22"/>
  <c r="O38" i="22"/>
  <c r="N39" i="22"/>
  <c r="O39" i="22"/>
  <c r="J26" i="22"/>
  <c r="K26" i="22"/>
  <c r="J27" i="22"/>
  <c r="K27" i="22"/>
  <c r="J28" i="22"/>
  <c r="K28" i="22"/>
  <c r="J29" i="22"/>
  <c r="K29" i="22"/>
  <c r="J30" i="22"/>
  <c r="K30" i="22"/>
  <c r="J31" i="22"/>
  <c r="K31" i="22"/>
  <c r="J32" i="22"/>
  <c r="K32" i="22"/>
  <c r="J33" i="22"/>
  <c r="K33" i="22"/>
  <c r="J34" i="22"/>
  <c r="K34" i="22"/>
  <c r="J35" i="22"/>
  <c r="K35" i="22"/>
  <c r="J36" i="22"/>
  <c r="K36" i="22"/>
  <c r="J37" i="22"/>
  <c r="K37" i="22"/>
  <c r="J38" i="22"/>
  <c r="K38" i="22"/>
  <c r="J39" i="22"/>
  <c r="K39" i="22"/>
  <c r="F26" i="22"/>
  <c r="G26" i="22"/>
  <c r="F27" i="22"/>
  <c r="G27" i="22"/>
  <c r="F28" i="22"/>
  <c r="G28" i="22"/>
  <c r="F29" i="22"/>
  <c r="G29" i="22"/>
  <c r="F30" i="22"/>
  <c r="G30" i="22"/>
  <c r="F31" i="22"/>
  <c r="G31" i="22"/>
  <c r="F32" i="22"/>
  <c r="G32" i="22"/>
  <c r="F33" i="22"/>
  <c r="G33" i="22"/>
  <c r="F34" i="22"/>
  <c r="G34" i="22"/>
  <c r="F35" i="22"/>
  <c r="G35" i="22"/>
  <c r="F36" i="22"/>
  <c r="G36" i="22"/>
  <c r="F37" i="22"/>
  <c r="G37" i="22"/>
  <c r="F38" i="22"/>
  <c r="G38" i="22"/>
  <c r="F39" i="22"/>
  <c r="G39" i="22"/>
  <c r="B26" i="22"/>
  <c r="C26" i="22"/>
  <c r="B27" i="22"/>
  <c r="C27" i="22"/>
  <c r="B28" i="22"/>
  <c r="C28" i="22"/>
  <c r="B29" i="22"/>
  <c r="C29" i="22"/>
  <c r="B30" i="22"/>
  <c r="C30" i="22"/>
  <c r="B31" i="22"/>
  <c r="C31" i="22"/>
  <c r="B32" i="22"/>
  <c r="C32" i="22"/>
  <c r="B33" i="22"/>
  <c r="C33" i="22"/>
  <c r="B34" i="22"/>
  <c r="C34" i="22"/>
  <c r="B35" i="22"/>
  <c r="C35" i="22"/>
  <c r="B36" i="22"/>
  <c r="C36" i="22"/>
  <c r="B37" i="22"/>
  <c r="C37" i="22"/>
  <c r="B38" i="22"/>
  <c r="C38" i="22"/>
  <c r="B39" i="22"/>
  <c r="C39" i="22"/>
  <c r="G25" i="22"/>
  <c r="K25" i="22"/>
  <c r="O25" i="22"/>
  <c r="S25" i="22"/>
  <c r="W25" i="22"/>
  <c r="C25" i="22"/>
  <c r="F25" i="22"/>
  <c r="J25" i="22"/>
  <c r="N25" i="22"/>
  <c r="R25" i="22"/>
  <c r="V25" i="22"/>
  <c r="B25" i="22"/>
  <c r="S4" i="22"/>
  <c r="T4" i="22"/>
  <c r="U4" i="22"/>
  <c r="V4" i="22"/>
  <c r="W4" i="22"/>
  <c r="X4" i="22"/>
  <c r="S5" i="22"/>
  <c r="T5" i="22"/>
  <c r="U5" i="22"/>
  <c r="V5" i="22"/>
  <c r="W5" i="22"/>
  <c r="X5" i="22"/>
  <c r="S6" i="22"/>
  <c r="T6" i="22"/>
  <c r="U6" i="22"/>
  <c r="V6" i="22"/>
  <c r="W6" i="22"/>
  <c r="X6" i="22"/>
  <c r="S7" i="22"/>
  <c r="T7" i="22"/>
  <c r="U7" i="22"/>
  <c r="V7" i="22"/>
  <c r="W7" i="22"/>
  <c r="X7" i="22"/>
  <c r="X20" i="22" s="1"/>
  <c r="S8" i="22"/>
  <c r="T8" i="22"/>
  <c r="U8" i="22"/>
  <c r="V8" i="22"/>
  <c r="W8" i="22"/>
  <c r="X8" i="22"/>
  <c r="S9" i="22"/>
  <c r="T9" i="22"/>
  <c r="U9" i="22"/>
  <c r="V9" i="22"/>
  <c r="W9" i="22"/>
  <c r="X9" i="22"/>
  <c r="S10" i="22"/>
  <c r="T10" i="22"/>
  <c r="U10" i="22"/>
  <c r="V10" i="22"/>
  <c r="W10" i="22"/>
  <c r="X10" i="22"/>
  <c r="S11" i="22"/>
  <c r="T11" i="22"/>
  <c r="U11" i="22"/>
  <c r="V11" i="22"/>
  <c r="W11" i="22"/>
  <c r="X11" i="22"/>
  <c r="S12" i="22"/>
  <c r="T12" i="22"/>
  <c r="U12" i="22"/>
  <c r="V12" i="22"/>
  <c r="W12" i="22"/>
  <c r="X12" i="22"/>
  <c r="S13" i="22"/>
  <c r="T13" i="22"/>
  <c r="U13" i="22"/>
  <c r="V13" i="22"/>
  <c r="W13" i="22"/>
  <c r="X13" i="22"/>
  <c r="S14" i="22"/>
  <c r="T14" i="22"/>
  <c r="U14" i="22"/>
  <c r="V14" i="22"/>
  <c r="W14" i="22"/>
  <c r="X14" i="22"/>
  <c r="S15" i="22"/>
  <c r="T15" i="22"/>
  <c r="U15" i="22"/>
  <c r="V15" i="22"/>
  <c r="W15" i="22"/>
  <c r="X15" i="22"/>
  <c r="S16" i="22"/>
  <c r="T16" i="22"/>
  <c r="U16" i="22"/>
  <c r="V16" i="22"/>
  <c r="W16" i="22"/>
  <c r="X16" i="22"/>
  <c r="S17" i="22"/>
  <c r="T17" i="22"/>
  <c r="U17" i="22"/>
  <c r="V17" i="22"/>
  <c r="W17" i="22"/>
  <c r="X17" i="22"/>
  <c r="T3" i="22"/>
  <c r="U3" i="22"/>
  <c r="V3" i="22"/>
  <c r="W3" i="22"/>
  <c r="X3" i="22"/>
  <c r="S3" i="22"/>
  <c r="S20" i="22"/>
  <c r="C6" i="20"/>
  <c r="D6" i="20"/>
  <c r="E6" i="20"/>
  <c r="F6" i="20"/>
  <c r="G6" i="20"/>
  <c r="B6" i="20"/>
  <c r="G118" i="9"/>
  <c r="G119" i="9"/>
  <c r="G120" i="9"/>
  <c r="G121" i="9"/>
  <c r="G122" i="9"/>
  <c r="G123" i="9"/>
  <c r="G124" i="9"/>
  <c r="G125" i="9"/>
  <c r="G126" i="9"/>
  <c r="G127" i="9"/>
  <c r="G128" i="9"/>
  <c r="G129" i="9"/>
  <c r="G130" i="9"/>
  <c r="G131" i="9"/>
  <c r="G117" i="9"/>
  <c r="F118" i="9"/>
  <c r="F119" i="9"/>
  <c r="F120" i="9"/>
  <c r="F121" i="9"/>
  <c r="F122" i="9"/>
  <c r="F123" i="9"/>
  <c r="F124" i="9"/>
  <c r="F125" i="9"/>
  <c r="F126" i="9"/>
  <c r="F127" i="9"/>
  <c r="F128" i="9"/>
  <c r="F129" i="9"/>
  <c r="F130" i="9"/>
  <c r="F131" i="9"/>
  <c r="F117" i="9"/>
  <c r="E118" i="9"/>
  <c r="E119" i="9"/>
  <c r="E120" i="9"/>
  <c r="E121" i="9"/>
  <c r="E122" i="9"/>
  <c r="E123" i="9"/>
  <c r="E124" i="9"/>
  <c r="E125" i="9"/>
  <c r="E126" i="9"/>
  <c r="E127" i="9"/>
  <c r="E128" i="9"/>
  <c r="E129" i="9"/>
  <c r="E130" i="9"/>
  <c r="E131" i="9"/>
  <c r="E117" i="9"/>
  <c r="D118" i="9"/>
  <c r="D119" i="9"/>
  <c r="D120" i="9"/>
  <c r="D121" i="9"/>
  <c r="D122" i="9"/>
  <c r="D123" i="9"/>
  <c r="D124" i="9"/>
  <c r="D125" i="9"/>
  <c r="D126" i="9"/>
  <c r="D127" i="9"/>
  <c r="D128" i="9"/>
  <c r="D129" i="9"/>
  <c r="D130" i="9"/>
  <c r="D131" i="9"/>
  <c r="D117" i="9"/>
  <c r="C118" i="9"/>
  <c r="C119" i="9"/>
  <c r="C120" i="9"/>
  <c r="C121" i="9"/>
  <c r="C122" i="9"/>
  <c r="C123" i="9"/>
  <c r="C124" i="9"/>
  <c r="C125" i="9"/>
  <c r="C126" i="9"/>
  <c r="C127" i="9"/>
  <c r="C128" i="9"/>
  <c r="C129" i="9"/>
  <c r="C130" i="9"/>
  <c r="C131" i="9"/>
  <c r="C117" i="9"/>
  <c r="B118" i="9"/>
  <c r="B119" i="9"/>
  <c r="B120" i="9"/>
  <c r="B121" i="9"/>
  <c r="B122" i="9"/>
  <c r="B123" i="9"/>
  <c r="B124" i="9"/>
  <c r="B125" i="9"/>
  <c r="B126" i="9"/>
  <c r="B127" i="9"/>
  <c r="B128" i="9"/>
  <c r="B129" i="9"/>
  <c r="B130" i="9"/>
  <c r="B131" i="9"/>
  <c r="B117" i="9"/>
  <c r="K4" i="22"/>
  <c r="L4" i="22"/>
  <c r="M4" i="22"/>
  <c r="N4" i="22"/>
  <c r="O4" i="22"/>
  <c r="P4" i="22"/>
  <c r="P20" i="22" s="1"/>
  <c r="K5" i="22"/>
  <c r="K20" i="22" s="1"/>
  <c r="L5" i="22"/>
  <c r="M5" i="22"/>
  <c r="N5" i="22"/>
  <c r="O5" i="22"/>
  <c r="P5" i="22"/>
  <c r="K6" i="22"/>
  <c r="L6" i="22"/>
  <c r="M6" i="22"/>
  <c r="N6" i="22"/>
  <c r="O6" i="22"/>
  <c r="P6" i="22"/>
  <c r="K7" i="22"/>
  <c r="L7" i="22"/>
  <c r="M7" i="22"/>
  <c r="N7" i="22"/>
  <c r="O7" i="22"/>
  <c r="P7" i="22"/>
  <c r="K8" i="22"/>
  <c r="L8" i="22"/>
  <c r="M8" i="22"/>
  <c r="N8" i="22"/>
  <c r="O8" i="22"/>
  <c r="P8" i="22"/>
  <c r="K9" i="22"/>
  <c r="L9" i="22"/>
  <c r="M9" i="22"/>
  <c r="N9" i="22"/>
  <c r="O9" i="22"/>
  <c r="P9" i="22"/>
  <c r="K10" i="22"/>
  <c r="L10" i="22"/>
  <c r="M10" i="22"/>
  <c r="N10" i="22"/>
  <c r="O10" i="22"/>
  <c r="P10" i="22"/>
  <c r="K11" i="22"/>
  <c r="L11" i="22"/>
  <c r="M11" i="22"/>
  <c r="N11" i="22"/>
  <c r="O11" i="22"/>
  <c r="P11" i="22"/>
  <c r="K12" i="22"/>
  <c r="L12" i="22"/>
  <c r="M12" i="22"/>
  <c r="N12" i="22"/>
  <c r="O12" i="22"/>
  <c r="P12" i="22"/>
  <c r="K13" i="22"/>
  <c r="L13" i="22"/>
  <c r="M13" i="22"/>
  <c r="N13" i="22"/>
  <c r="O13" i="22"/>
  <c r="P13" i="22"/>
  <c r="K14" i="22"/>
  <c r="L14" i="22"/>
  <c r="M14" i="22"/>
  <c r="N14" i="22"/>
  <c r="O14" i="22"/>
  <c r="P14" i="22"/>
  <c r="K15" i="22"/>
  <c r="L15" i="22"/>
  <c r="M15" i="22"/>
  <c r="N15" i="22"/>
  <c r="O15" i="22"/>
  <c r="P15" i="22"/>
  <c r="K16" i="22"/>
  <c r="L16" i="22"/>
  <c r="M16" i="22"/>
  <c r="N16" i="22"/>
  <c r="O16" i="22"/>
  <c r="P16" i="22"/>
  <c r="K17" i="22"/>
  <c r="L17" i="22"/>
  <c r="M17" i="22"/>
  <c r="N17" i="22"/>
  <c r="O17" i="22"/>
  <c r="P17" i="22"/>
  <c r="L3" i="22"/>
  <c r="M3" i="22"/>
  <c r="N3" i="22"/>
  <c r="O3" i="22"/>
  <c r="P3" i="22"/>
  <c r="K3" i="22"/>
  <c r="G17" i="22"/>
  <c r="F17" i="22"/>
  <c r="E17" i="22"/>
  <c r="D17" i="22"/>
  <c r="C17" i="22"/>
  <c r="B17" i="22"/>
  <c r="G16" i="22"/>
  <c r="F16" i="22"/>
  <c r="E16" i="22"/>
  <c r="D16" i="22"/>
  <c r="C16" i="22"/>
  <c r="B16" i="22"/>
  <c r="G15" i="22"/>
  <c r="F15" i="22"/>
  <c r="E15" i="22"/>
  <c r="D15" i="22"/>
  <c r="C15" i="22"/>
  <c r="B15" i="22"/>
  <c r="G14" i="22"/>
  <c r="F14" i="22"/>
  <c r="E14" i="22"/>
  <c r="D14" i="22"/>
  <c r="C14" i="22"/>
  <c r="B14" i="22"/>
  <c r="G13" i="22"/>
  <c r="F13" i="22"/>
  <c r="E13" i="22"/>
  <c r="D13" i="22"/>
  <c r="C13" i="22"/>
  <c r="B13" i="22"/>
  <c r="G12" i="22"/>
  <c r="F12" i="22"/>
  <c r="E12" i="22"/>
  <c r="D12" i="22"/>
  <c r="C12" i="22"/>
  <c r="B12" i="22"/>
  <c r="G11" i="22"/>
  <c r="F11" i="22"/>
  <c r="E11" i="22"/>
  <c r="D11" i="22"/>
  <c r="C11" i="22"/>
  <c r="B11" i="22"/>
  <c r="G10" i="22"/>
  <c r="F10" i="22"/>
  <c r="E10" i="22"/>
  <c r="D10" i="22"/>
  <c r="C10" i="22"/>
  <c r="B10" i="22"/>
  <c r="G9" i="22"/>
  <c r="F9" i="22"/>
  <c r="E9" i="22"/>
  <c r="D9" i="22"/>
  <c r="C9" i="22"/>
  <c r="B9" i="22"/>
  <c r="G8" i="22"/>
  <c r="F8" i="22"/>
  <c r="E8" i="22"/>
  <c r="D8" i="22"/>
  <c r="C8" i="22"/>
  <c r="B8" i="22"/>
  <c r="G7" i="22"/>
  <c r="F7" i="22"/>
  <c r="E7" i="22"/>
  <c r="D7" i="22"/>
  <c r="C7" i="22"/>
  <c r="B7" i="22"/>
  <c r="G6" i="22"/>
  <c r="F6" i="22"/>
  <c r="E6" i="22"/>
  <c r="D6" i="22"/>
  <c r="C6" i="22"/>
  <c r="B6" i="22"/>
  <c r="G5" i="22"/>
  <c r="F5" i="22"/>
  <c r="E5" i="22"/>
  <c r="D5" i="22"/>
  <c r="C5" i="22"/>
  <c r="B5" i="22"/>
  <c r="G4" i="22"/>
  <c r="F4" i="22"/>
  <c r="E4" i="22"/>
  <c r="D4" i="22"/>
  <c r="C4" i="22"/>
  <c r="B4" i="22"/>
  <c r="C3" i="22"/>
  <c r="D3" i="22"/>
  <c r="E3" i="22"/>
  <c r="F3" i="22"/>
  <c r="G3" i="22"/>
  <c r="B3" i="22"/>
  <c r="G14" i="20"/>
  <c r="F14" i="20"/>
  <c r="E14" i="20"/>
  <c r="D14" i="20"/>
  <c r="C14" i="20"/>
  <c r="B14" i="20"/>
  <c r="B99" i="9"/>
  <c r="C99" i="9"/>
  <c r="D99" i="9"/>
  <c r="E99" i="9"/>
  <c r="F99" i="9"/>
  <c r="G99" i="9"/>
  <c r="B100" i="9"/>
  <c r="C100" i="9"/>
  <c r="D100" i="9"/>
  <c r="E100" i="9"/>
  <c r="F100" i="9"/>
  <c r="G100" i="9"/>
  <c r="B101" i="9"/>
  <c r="C101" i="9"/>
  <c r="D101" i="9"/>
  <c r="E101" i="9"/>
  <c r="F101" i="9"/>
  <c r="G101" i="9"/>
  <c r="B102" i="9"/>
  <c r="C102" i="9"/>
  <c r="D102" i="9"/>
  <c r="E102" i="9"/>
  <c r="F102" i="9"/>
  <c r="G102" i="9"/>
  <c r="B103" i="9"/>
  <c r="C103" i="9"/>
  <c r="D103" i="9"/>
  <c r="E103" i="9"/>
  <c r="F103" i="9"/>
  <c r="G103" i="9"/>
  <c r="B104" i="9"/>
  <c r="C104" i="9"/>
  <c r="D104" i="9"/>
  <c r="E104" i="9"/>
  <c r="F104" i="9"/>
  <c r="G104" i="9"/>
  <c r="B105" i="9"/>
  <c r="C105" i="9"/>
  <c r="D105" i="9"/>
  <c r="E105" i="9"/>
  <c r="F105" i="9"/>
  <c r="G105" i="9"/>
  <c r="B106" i="9"/>
  <c r="C106" i="9"/>
  <c r="D106" i="9"/>
  <c r="E106" i="9"/>
  <c r="F106" i="9"/>
  <c r="G106" i="9"/>
  <c r="B107" i="9"/>
  <c r="C107" i="9"/>
  <c r="D107" i="9"/>
  <c r="E107" i="9"/>
  <c r="F107" i="9"/>
  <c r="G107" i="9"/>
  <c r="B108" i="9"/>
  <c r="C108" i="9"/>
  <c r="D108" i="9"/>
  <c r="E108" i="9"/>
  <c r="F108" i="9"/>
  <c r="G108" i="9"/>
  <c r="B109" i="9"/>
  <c r="C109" i="9"/>
  <c r="D109" i="9"/>
  <c r="E109" i="9"/>
  <c r="F109" i="9"/>
  <c r="G109" i="9"/>
  <c r="B110" i="9"/>
  <c r="C110" i="9"/>
  <c r="D110" i="9"/>
  <c r="E110" i="9"/>
  <c r="F110" i="9"/>
  <c r="G110" i="9"/>
  <c r="B111" i="9"/>
  <c r="C111" i="9"/>
  <c r="D111" i="9"/>
  <c r="E111" i="9"/>
  <c r="F111" i="9"/>
  <c r="G111" i="9"/>
  <c r="B112" i="9"/>
  <c r="C112" i="9"/>
  <c r="D112" i="9"/>
  <c r="E112" i="9"/>
  <c r="F112" i="9"/>
  <c r="G112" i="9"/>
  <c r="G98" i="9"/>
  <c r="F98" i="9"/>
  <c r="E98" i="9"/>
  <c r="D98" i="9"/>
  <c r="C98" i="9"/>
  <c r="B98" i="9"/>
  <c r="B12" i="20"/>
  <c r="F62" i="9"/>
  <c r="B5" i="19"/>
  <c r="F63" i="9"/>
  <c r="G13" i="20"/>
  <c r="F13" i="20"/>
  <c r="E13" i="20"/>
  <c r="D13" i="20"/>
  <c r="C13" i="20"/>
  <c r="B13" i="20"/>
  <c r="G12" i="20"/>
  <c r="F12" i="20"/>
  <c r="E12" i="20"/>
  <c r="D12" i="20"/>
  <c r="C12" i="20"/>
  <c r="G11" i="20"/>
  <c r="F11" i="20"/>
  <c r="E11" i="20"/>
  <c r="D11" i="20"/>
  <c r="C11" i="20"/>
  <c r="B11" i="20"/>
  <c r="G10" i="20"/>
  <c r="F10" i="20"/>
  <c r="E10" i="20"/>
  <c r="D10" i="20"/>
  <c r="C10" i="20"/>
  <c r="B10" i="20"/>
  <c r="G61" i="9"/>
  <c r="G62" i="9"/>
  <c r="G63" i="9"/>
  <c r="G64" i="9"/>
  <c r="G65" i="9"/>
  <c r="G66" i="9"/>
  <c r="G67" i="9"/>
  <c r="G68" i="9"/>
  <c r="G69" i="9"/>
  <c r="G70" i="9"/>
  <c r="G71" i="9"/>
  <c r="G72" i="9"/>
  <c r="G73" i="9"/>
  <c r="G74" i="9"/>
  <c r="F66" i="9"/>
  <c r="F67" i="9"/>
  <c r="B4" i="19"/>
  <c r="C4" i="19"/>
  <c r="D4" i="19"/>
  <c r="E4" i="19"/>
  <c r="F4" i="19"/>
  <c r="G4" i="19"/>
  <c r="C5" i="19"/>
  <c r="D5" i="19"/>
  <c r="E5" i="19"/>
  <c r="G5" i="19"/>
  <c r="B6" i="19"/>
  <c r="C6" i="19"/>
  <c r="D6" i="19"/>
  <c r="E6" i="19"/>
  <c r="F6" i="19"/>
  <c r="G6" i="19"/>
  <c r="B7" i="19"/>
  <c r="C7" i="19"/>
  <c r="D7" i="19"/>
  <c r="E7" i="19"/>
  <c r="F7" i="19"/>
  <c r="G7" i="19"/>
  <c r="B8" i="19"/>
  <c r="C8" i="19"/>
  <c r="D8" i="19"/>
  <c r="E8" i="19"/>
  <c r="F8" i="19"/>
  <c r="G8" i="19"/>
  <c r="B9" i="19"/>
  <c r="C9" i="19"/>
  <c r="D9" i="19"/>
  <c r="E9" i="19"/>
  <c r="F9" i="19"/>
  <c r="G9" i="19"/>
  <c r="B10" i="19"/>
  <c r="C10" i="19"/>
  <c r="D10" i="19"/>
  <c r="E10" i="19"/>
  <c r="F10" i="19"/>
  <c r="G10" i="19"/>
  <c r="B11" i="19"/>
  <c r="C11" i="19"/>
  <c r="D11" i="19"/>
  <c r="E11" i="19"/>
  <c r="F11" i="19"/>
  <c r="G11" i="19"/>
  <c r="B12" i="19"/>
  <c r="C12" i="19"/>
  <c r="D12" i="19"/>
  <c r="E12" i="19"/>
  <c r="F12" i="19"/>
  <c r="G12" i="19"/>
  <c r="B13" i="19"/>
  <c r="C13" i="19"/>
  <c r="D13" i="19"/>
  <c r="E13" i="19"/>
  <c r="F13" i="19"/>
  <c r="G13" i="19"/>
  <c r="B14" i="19"/>
  <c r="C14" i="19"/>
  <c r="D14" i="19"/>
  <c r="E14" i="19"/>
  <c r="F14" i="19"/>
  <c r="G14" i="19"/>
  <c r="B15" i="19"/>
  <c r="C15" i="19"/>
  <c r="D15" i="19"/>
  <c r="E15" i="19"/>
  <c r="F15" i="19"/>
  <c r="G15" i="19"/>
  <c r="B16" i="19"/>
  <c r="C16" i="19"/>
  <c r="D16" i="19"/>
  <c r="E16" i="19"/>
  <c r="F16" i="19"/>
  <c r="G16" i="19"/>
  <c r="B17" i="19"/>
  <c r="C17" i="19"/>
  <c r="D17" i="19"/>
  <c r="E17" i="19"/>
  <c r="F17" i="19"/>
  <c r="G17" i="19"/>
  <c r="C3" i="19"/>
  <c r="D3" i="19"/>
  <c r="E3" i="19"/>
  <c r="F3" i="19"/>
  <c r="G3" i="19"/>
  <c r="B3" i="19"/>
  <c r="B61" i="9"/>
  <c r="C61" i="9"/>
  <c r="D61" i="9"/>
  <c r="E61" i="9"/>
  <c r="C62" i="9"/>
  <c r="D62" i="9"/>
  <c r="E62" i="9"/>
  <c r="B63" i="9"/>
  <c r="C63" i="9"/>
  <c r="D63" i="9"/>
  <c r="E63" i="9"/>
  <c r="C64" i="9"/>
  <c r="D64" i="9"/>
  <c r="E64" i="9"/>
  <c r="B65" i="9"/>
  <c r="C65" i="9"/>
  <c r="D65" i="9"/>
  <c r="E65" i="9"/>
  <c r="C66" i="9"/>
  <c r="D66" i="9"/>
  <c r="E66" i="9"/>
  <c r="B67" i="9"/>
  <c r="C67" i="9"/>
  <c r="D67" i="9"/>
  <c r="E67" i="9"/>
  <c r="C68" i="9"/>
  <c r="D68" i="9"/>
  <c r="E68" i="9"/>
  <c r="C69" i="9"/>
  <c r="D69" i="9"/>
  <c r="E69" i="9"/>
  <c r="C70" i="9"/>
  <c r="D70" i="9"/>
  <c r="E70" i="9"/>
  <c r="B71" i="9"/>
  <c r="C71" i="9"/>
  <c r="D71" i="9"/>
  <c r="E71" i="9"/>
  <c r="C72" i="9"/>
  <c r="D72" i="9"/>
  <c r="E72" i="9"/>
  <c r="B73" i="9"/>
  <c r="C73" i="9"/>
  <c r="D73" i="9"/>
  <c r="E73" i="9"/>
  <c r="C74" i="9"/>
  <c r="D74" i="9"/>
  <c r="E74" i="9"/>
  <c r="G60" i="9"/>
  <c r="E60" i="9"/>
  <c r="B60" i="9"/>
  <c r="D60" i="9"/>
  <c r="C60" i="9"/>
  <c r="B80" i="9"/>
  <c r="C80" i="9"/>
  <c r="D80" i="9"/>
  <c r="E80" i="9"/>
  <c r="F80" i="9"/>
  <c r="G80" i="9"/>
  <c r="B81" i="9"/>
  <c r="C81" i="9"/>
  <c r="D81" i="9"/>
  <c r="E81" i="9"/>
  <c r="F81" i="9"/>
  <c r="G81" i="9"/>
  <c r="B82" i="9"/>
  <c r="C82" i="9"/>
  <c r="D82" i="9"/>
  <c r="E82" i="9"/>
  <c r="F82" i="9"/>
  <c r="G82" i="9"/>
  <c r="B83" i="9"/>
  <c r="C83" i="9"/>
  <c r="D83" i="9"/>
  <c r="E83" i="9"/>
  <c r="F83" i="9"/>
  <c r="G83" i="9"/>
  <c r="B84" i="9"/>
  <c r="C84" i="9"/>
  <c r="D84" i="9"/>
  <c r="E84" i="9"/>
  <c r="F84" i="9"/>
  <c r="G84" i="9"/>
  <c r="B85" i="9"/>
  <c r="C85" i="9"/>
  <c r="D85" i="9"/>
  <c r="E85" i="9"/>
  <c r="F85" i="9"/>
  <c r="G85" i="9"/>
  <c r="B86" i="9"/>
  <c r="C86" i="9"/>
  <c r="D86" i="9"/>
  <c r="E86" i="9"/>
  <c r="F86" i="9"/>
  <c r="G86" i="9"/>
  <c r="B87" i="9"/>
  <c r="C87" i="9"/>
  <c r="D87" i="9"/>
  <c r="E87" i="9"/>
  <c r="F87" i="9"/>
  <c r="G87" i="9"/>
  <c r="B88" i="9"/>
  <c r="C88" i="9"/>
  <c r="D88" i="9"/>
  <c r="E88" i="9"/>
  <c r="F88" i="9"/>
  <c r="G88" i="9"/>
  <c r="B89" i="9"/>
  <c r="C89" i="9"/>
  <c r="D89" i="9"/>
  <c r="E89" i="9"/>
  <c r="F89" i="9"/>
  <c r="G89" i="9"/>
  <c r="B90" i="9"/>
  <c r="C90" i="9"/>
  <c r="D90" i="9"/>
  <c r="E90" i="9"/>
  <c r="F90" i="9"/>
  <c r="G90" i="9"/>
  <c r="B91" i="9"/>
  <c r="C91" i="9"/>
  <c r="D91" i="9"/>
  <c r="E91" i="9"/>
  <c r="F91" i="9"/>
  <c r="G91" i="9"/>
  <c r="B92" i="9"/>
  <c r="C92" i="9"/>
  <c r="D92" i="9"/>
  <c r="E92" i="9"/>
  <c r="F92" i="9"/>
  <c r="G92" i="9"/>
  <c r="B93" i="9"/>
  <c r="C93" i="9"/>
  <c r="D93" i="9"/>
  <c r="E93" i="9"/>
  <c r="F93" i="9"/>
  <c r="G93" i="9"/>
  <c r="G79" i="9"/>
  <c r="F79" i="9"/>
  <c r="E79" i="9"/>
  <c r="D79" i="9"/>
  <c r="C79" i="9"/>
  <c r="B79" i="9"/>
  <c r="B4" i="10"/>
  <c r="C4" i="10"/>
  <c r="D4" i="10"/>
  <c r="E4" i="10"/>
  <c r="F4" i="10"/>
  <c r="G4" i="10"/>
  <c r="B5" i="10"/>
  <c r="C5" i="10"/>
  <c r="D5" i="10"/>
  <c r="E5" i="10"/>
  <c r="F5" i="10"/>
  <c r="G5" i="10"/>
  <c r="B6" i="10"/>
  <c r="C6" i="10"/>
  <c r="D6" i="10"/>
  <c r="E6" i="10"/>
  <c r="F6" i="10"/>
  <c r="G6" i="10"/>
  <c r="B7" i="10"/>
  <c r="C7" i="10"/>
  <c r="D7" i="10"/>
  <c r="E7" i="10"/>
  <c r="F7" i="10"/>
  <c r="G7" i="10"/>
  <c r="B8" i="10"/>
  <c r="C8" i="10"/>
  <c r="D8" i="10"/>
  <c r="E8" i="10"/>
  <c r="F8" i="10"/>
  <c r="G8" i="10"/>
  <c r="B9" i="10"/>
  <c r="C9" i="10"/>
  <c r="D9" i="10"/>
  <c r="E9" i="10"/>
  <c r="F9" i="10"/>
  <c r="G9" i="10"/>
  <c r="B10" i="10"/>
  <c r="C10" i="10"/>
  <c r="D10" i="10"/>
  <c r="E10" i="10"/>
  <c r="F10" i="10"/>
  <c r="G10" i="10"/>
  <c r="B11" i="10"/>
  <c r="C11" i="10"/>
  <c r="D11" i="10"/>
  <c r="E11" i="10"/>
  <c r="F11" i="10"/>
  <c r="G11" i="10"/>
  <c r="B12" i="10"/>
  <c r="C12" i="10"/>
  <c r="D12" i="10"/>
  <c r="E12" i="10"/>
  <c r="F12" i="10"/>
  <c r="G12" i="10"/>
  <c r="B13" i="10"/>
  <c r="C13" i="10"/>
  <c r="D13" i="10"/>
  <c r="E13" i="10"/>
  <c r="F13" i="10"/>
  <c r="G13" i="10"/>
  <c r="B14" i="10"/>
  <c r="C14" i="10"/>
  <c r="D14" i="10"/>
  <c r="E14" i="10"/>
  <c r="F14" i="10"/>
  <c r="G14" i="10"/>
  <c r="B15" i="10"/>
  <c r="C15" i="10"/>
  <c r="D15" i="10"/>
  <c r="E15" i="10"/>
  <c r="F15" i="10"/>
  <c r="G15" i="10"/>
  <c r="B16" i="10"/>
  <c r="C16" i="10"/>
  <c r="D16" i="10"/>
  <c r="E16" i="10"/>
  <c r="F16" i="10"/>
  <c r="G16" i="10"/>
  <c r="B17" i="10"/>
  <c r="C17" i="10"/>
  <c r="D17" i="10"/>
  <c r="E17" i="10"/>
  <c r="F17" i="10"/>
  <c r="G17" i="10"/>
  <c r="C3" i="10"/>
  <c r="D3" i="10"/>
  <c r="E3" i="10"/>
  <c r="F3" i="10"/>
  <c r="G3" i="10"/>
  <c r="B3" i="10"/>
  <c r="B42" i="9"/>
  <c r="C42" i="9"/>
  <c r="D42" i="9"/>
  <c r="E42" i="9"/>
  <c r="F42" i="9"/>
  <c r="G42" i="9"/>
  <c r="B43" i="9"/>
  <c r="C43" i="9"/>
  <c r="D43" i="9"/>
  <c r="E43" i="9"/>
  <c r="F43" i="9"/>
  <c r="G43" i="9"/>
  <c r="B44" i="9"/>
  <c r="C44" i="9"/>
  <c r="D44" i="9"/>
  <c r="E44" i="9"/>
  <c r="F44" i="9"/>
  <c r="G44" i="9"/>
  <c r="B45" i="9"/>
  <c r="C45" i="9"/>
  <c r="D45" i="9"/>
  <c r="E45" i="9"/>
  <c r="F45" i="9"/>
  <c r="G45" i="9"/>
  <c r="B46" i="9"/>
  <c r="C46" i="9"/>
  <c r="D46" i="9"/>
  <c r="E46" i="9"/>
  <c r="F46" i="9"/>
  <c r="G46" i="9"/>
  <c r="B47" i="9"/>
  <c r="C47" i="9"/>
  <c r="D47" i="9"/>
  <c r="E47" i="9"/>
  <c r="F47" i="9"/>
  <c r="G47" i="9"/>
  <c r="B48" i="9"/>
  <c r="C48" i="9"/>
  <c r="D48" i="9"/>
  <c r="E48" i="9"/>
  <c r="F48" i="9"/>
  <c r="G48" i="9"/>
  <c r="B49" i="9"/>
  <c r="C49" i="9"/>
  <c r="D49" i="9"/>
  <c r="E49" i="9"/>
  <c r="F49" i="9"/>
  <c r="G49" i="9"/>
  <c r="B50" i="9"/>
  <c r="C50" i="9"/>
  <c r="D50" i="9"/>
  <c r="E50" i="9"/>
  <c r="F50" i="9"/>
  <c r="G50" i="9"/>
  <c r="B51" i="9"/>
  <c r="C51" i="9"/>
  <c r="D51" i="9"/>
  <c r="E51" i="9"/>
  <c r="F51" i="9"/>
  <c r="G51" i="9"/>
  <c r="B52" i="9"/>
  <c r="C52" i="9"/>
  <c r="D52" i="9"/>
  <c r="E52" i="9"/>
  <c r="F52" i="9"/>
  <c r="G52" i="9"/>
  <c r="B53" i="9"/>
  <c r="C53" i="9"/>
  <c r="D53" i="9"/>
  <c r="E53" i="9"/>
  <c r="F53" i="9"/>
  <c r="G53" i="9"/>
  <c r="B54" i="9"/>
  <c r="C54" i="9"/>
  <c r="D54" i="9"/>
  <c r="E54" i="9"/>
  <c r="F54" i="9"/>
  <c r="G54" i="9"/>
  <c r="B55" i="9"/>
  <c r="C55" i="9"/>
  <c r="D55" i="9"/>
  <c r="E55" i="9"/>
  <c r="F55" i="9"/>
  <c r="G55" i="9"/>
  <c r="G41" i="9"/>
  <c r="F41" i="9"/>
  <c r="E41" i="9"/>
  <c r="D41" i="9"/>
  <c r="C41" i="9"/>
  <c r="B41" i="9"/>
  <c r="B22" i="9"/>
  <c r="B23" i="9"/>
  <c r="C23" i="9"/>
  <c r="D23" i="9"/>
  <c r="E23" i="9"/>
  <c r="F23" i="9"/>
  <c r="G23" i="9"/>
  <c r="B24" i="9"/>
  <c r="C24" i="9"/>
  <c r="D24" i="9"/>
  <c r="E24" i="9"/>
  <c r="F24" i="9"/>
  <c r="G24" i="9"/>
  <c r="B25" i="9"/>
  <c r="C25" i="9"/>
  <c r="D25" i="9"/>
  <c r="E25" i="9"/>
  <c r="F25" i="9"/>
  <c r="G25" i="9"/>
  <c r="B26" i="9"/>
  <c r="C26" i="9"/>
  <c r="D26" i="9"/>
  <c r="E26" i="9"/>
  <c r="F26" i="9"/>
  <c r="G26" i="9"/>
  <c r="B27" i="9"/>
  <c r="C27" i="9"/>
  <c r="D27" i="9"/>
  <c r="E27" i="9"/>
  <c r="F27" i="9"/>
  <c r="G27" i="9"/>
  <c r="B28" i="9"/>
  <c r="C28" i="9"/>
  <c r="D28" i="9"/>
  <c r="E28" i="9"/>
  <c r="F28" i="9"/>
  <c r="G28" i="9"/>
  <c r="B29" i="9"/>
  <c r="C29" i="9"/>
  <c r="D29" i="9"/>
  <c r="E29" i="9"/>
  <c r="F29" i="9"/>
  <c r="G29" i="9"/>
  <c r="B30" i="9"/>
  <c r="C30" i="9"/>
  <c r="D30" i="9"/>
  <c r="E30" i="9"/>
  <c r="F30" i="9"/>
  <c r="G30" i="9"/>
  <c r="B31" i="9"/>
  <c r="C31" i="9"/>
  <c r="D31" i="9"/>
  <c r="E31" i="9"/>
  <c r="F31" i="9"/>
  <c r="G31" i="9"/>
  <c r="B32" i="9"/>
  <c r="C32" i="9"/>
  <c r="D32" i="9"/>
  <c r="E32" i="9"/>
  <c r="F32" i="9"/>
  <c r="G32" i="9"/>
  <c r="B33" i="9"/>
  <c r="C33" i="9"/>
  <c r="D33" i="9"/>
  <c r="E33" i="9"/>
  <c r="F33" i="9"/>
  <c r="G33" i="9"/>
  <c r="B34" i="9"/>
  <c r="C34" i="9"/>
  <c r="D34" i="9"/>
  <c r="E34" i="9"/>
  <c r="F34" i="9"/>
  <c r="G34" i="9"/>
  <c r="B35" i="9"/>
  <c r="C35" i="9"/>
  <c r="D35" i="9"/>
  <c r="E35" i="9"/>
  <c r="F35" i="9"/>
  <c r="G35" i="9"/>
  <c r="B36" i="9"/>
  <c r="C36" i="9"/>
  <c r="D36" i="9"/>
  <c r="E36" i="9"/>
  <c r="F36" i="9"/>
  <c r="G36" i="9"/>
  <c r="G22" i="9"/>
  <c r="F22" i="9"/>
  <c r="E22" i="9"/>
  <c r="D22" i="9"/>
  <c r="C22" i="9"/>
  <c r="B4" i="9"/>
  <c r="C4" i="9"/>
  <c r="D4" i="9"/>
  <c r="E4" i="9"/>
  <c r="F4" i="9"/>
  <c r="G4" i="9"/>
  <c r="B5" i="9"/>
  <c r="C5" i="9"/>
  <c r="D5" i="9"/>
  <c r="E5" i="9"/>
  <c r="F5" i="9"/>
  <c r="G5" i="9"/>
  <c r="B6" i="9"/>
  <c r="C6" i="9"/>
  <c r="D6" i="9"/>
  <c r="E6" i="9"/>
  <c r="F6" i="9"/>
  <c r="G6" i="9"/>
  <c r="B7" i="9"/>
  <c r="C7" i="9"/>
  <c r="D7" i="9"/>
  <c r="E7" i="9"/>
  <c r="F7" i="9"/>
  <c r="G7" i="9"/>
  <c r="B8" i="9"/>
  <c r="C8" i="9"/>
  <c r="D8" i="9"/>
  <c r="E8" i="9"/>
  <c r="F8" i="9"/>
  <c r="G8" i="9"/>
  <c r="B9" i="9"/>
  <c r="C9" i="9"/>
  <c r="D9" i="9"/>
  <c r="E9" i="9"/>
  <c r="F9" i="9"/>
  <c r="G9" i="9"/>
  <c r="B10" i="9"/>
  <c r="C10" i="9"/>
  <c r="D10" i="9"/>
  <c r="E10" i="9"/>
  <c r="F10" i="9"/>
  <c r="G10" i="9"/>
  <c r="B11" i="9"/>
  <c r="C11" i="9"/>
  <c r="D11" i="9"/>
  <c r="E11" i="9"/>
  <c r="F11" i="9"/>
  <c r="G11" i="9"/>
  <c r="B12" i="9"/>
  <c r="C12" i="9"/>
  <c r="D12" i="9"/>
  <c r="E12" i="9"/>
  <c r="F12" i="9"/>
  <c r="G12" i="9"/>
  <c r="B13" i="9"/>
  <c r="C13" i="9"/>
  <c r="D13" i="9"/>
  <c r="E13" i="9"/>
  <c r="F13" i="9"/>
  <c r="G13" i="9"/>
  <c r="B14" i="9"/>
  <c r="C14" i="9"/>
  <c r="D14" i="9"/>
  <c r="E14" i="9"/>
  <c r="F14" i="9"/>
  <c r="G14" i="9"/>
  <c r="B15" i="9"/>
  <c r="C15" i="9"/>
  <c r="D15" i="9"/>
  <c r="E15" i="9"/>
  <c r="F15" i="9"/>
  <c r="G15" i="9"/>
  <c r="B16" i="9"/>
  <c r="C16" i="9"/>
  <c r="D16" i="9"/>
  <c r="E16" i="9"/>
  <c r="F16" i="9"/>
  <c r="G16" i="9"/>
  <c r="B17" i="9"/>
  <c r="C17" i="9"/>
  <c r="D17" i="9"/>
  <c r="E17" i="9"/>
  <c r="F17" i="9"/>
  <c r="G17" i="9"/>
  <c r="G3" i="9"/>
  <c r="F3" i="9"/>
  <c r="E3" i="9"/>
  <c r="E2" i="20" s="1"/>
  <c r="D3" i="9"/>
  <c r="C3" i="9"/>
  <c r="B3" i="9"/>
  <c r="E17" i="5"/>
  <c r="E16" i="5"/>
  <c r="E15" i="5"/>
  <c r="E14" i="5"/>
  <c r="E13" i="5"/>
  <c r="E12" i="5"/>
  <c r="E11" i="5"/>
  <c r="E10" i="5"/>
  <c r="E9" i="5"/>
  <c r="E8" i="5"/>
  <c r="E7" i="5"/>
  <c r="E6" i="5"/>
  <c r="E5" i="5"/>
  <c r="E4" i="5"/>
  <c r="E3" i="5"/>
  <c r="B4" i="5"/>
  <c r="C4" i="5"/>
  <c r="D4" i="5"/>
  <c r="F4" i="5"/>
  <c r="G4" i="5"/>
  <c r="B5" i="5"/>
  <c r="C5" i="5"/>
  <c r="D5" i="5"/>
  <c r="F5" i="5"/>
  <c r="G5" i="5"/>
  <c r="B6" i="5"/>
  <c r="C6" i="5"/>
  <c r="D6" i="5"/>
  <c r="F6" i="5"/>
  <c r="G6" i="5"/>
  <c r="B7" i="5"/>
  <c r="C7" i="5"/>
  <c r="D7" i="5"/>
  <c r="F7" i="5"/>
  <c r="G7" i="5"/>
  <c r="B8" i="5"/>
  <c r="C8" i="5"/>
  <c r="D8" i="5"/>
  <c r="F8" i="5"/>
  <c r="G8" i="5"/>
  <c r="B9" i="5"/>
  <c r="C9" i="5"/>
  <c r="D9" i="5"/>
  <c r="F9" i="5"/>
  <c r="G9" i="5"/>
  <c r="B10" i="5"/>
  <c r="C10" i="5"/>
  <c r="D10" i="5"/>
  <c r="F10" i="5"/>
  <c r="G10" i="5"/>
  <c r="B11" i="5"/>
  <c r="C11" i="5"/>
  <c r="D11" i="5"/>
  <c r="F11" i="5"/>
  <c r="G11" i="5"/>
  <c r="B12" i="5"/>
  <c r="C12" i="5"/>
  <c r="D12" i="5"/>
  <c r="F12" i="5"/>
  <c r="G12" i="5"/>
  <c r="B13" i="5"/>
  <c r="C13" i="5"/>
  <c r="D13" i="5"/>
  <c r="F13" i="5"/>
  <c r="G13" i="5"/>
  <c r="B14" i="5"/>
  <c r="C14" i="5"/>
  <c r="D14" i="5"/>
  <c r="F14" i="5"/>
  <c r="G14" i="5"/>
  <c r="B15" i="5"/>
  <c r="C15" i="5"/>
  <c r="D15" i="5"/>
  <c r="F15" i="5"/>
  <c r="G15" i="5"/>
  <c r="B16" i="5"/>
  <c r="C16" i="5"/>
  <c r="D16" i="5"/>
  <c r="F16" i="5"/>
  <c r="G16" i="5"/>
  <c r="B17" i="5"/>
  <c r="C17" i="5"/>
  <c r="D17" i="5"/>
  <c r="F17" i="5"/>
  <c r="G17" i="5"/>
  <c r="B4" i="6"/>
  <c r="C4" i="6"/>
  <c r="D4" i="6"/>
  <c r="E4" i="6"/>
  <c r="F4" i="6"/>
  <c r="G4" i="6"/>
  <c r="B5" i="6"/>
  <c r="C5" i="6"/>
  <c r="D5" i="6"/>
  <c r="E5" i="6"/>
  <c r="F5" i="6"/>
  <c r="G5" i="6"/>
  <c r="B6" i="6"/>
  <c r="C6" i="6"/>
  <c r="D6" i="6"/>
  <c r="E6" i="6"/>
  <c r="F6" i="6"/>
  <c r="G6" i="6"/>
  <c r="B7" i="6"/>
  <c r="C7" i="6"/>
  <c r="D7" i="6"/>
  <c r="E7" i="6"/>
  <c r="F7" i="6"/>
  <c r="G7" i="6"/>
  <c r="B8" i="6"/>
  <c r="C8" i="6"/>
  <c r="D8" i="6"/>
  <c r="E8" i="6"/>
  <c r="F8" i="6"/>
  <c r="G8" i="6"/>
  <c r="B9" i="6"/>
  <c r="C9" i="6"/>
  <c r="D9" i="6"/>
  <c r="E9" i="6"/>
  <c r="F9" i="6"/>
  <c r="G9" i="6"/>
  <c r="B10" i="6"/>
  <c r="C10" i="6"/>
  <c r="D10" i="6"/>
  <c r="E10" i="6"/>
  <c r="F10" i="6"/>
  <c r="G10" i="6"/>
  <c r="B11" i="6"/>
  <c r="C11" i="6"/>
  <c r="D11" i="6"/>
  <c r="E11" i="6"/>
  <c r="F11" i="6"/>
  <c r="G11" i="6"/>
  <c r="B12" i="6"/>
  <c r="C12" i="6"/>
  <c r="D12" i="6"/>
  <c r="E12" i="6"/>
  <c r="F12" i="6"/>
  <c r="G12" i="6"/>
  <c r="B13" i="6"/>
  <c r="C13" i="6"/>
  <c r="D13" i="6"/>
  <c r="E13" i="6"/>
  <c r="F13" i="6"/>
  <c r="G13" i="6"/>
  <c r="B14" i="6"/>
  <c r="C14" i="6"/>
  <c r="D14" i="6"/>
  <c r="E14" i="6"/>
  <c r="F14" i="6"/>
  <c r="G14" i="6"/>
  <c r="B15" i="6"/>
  <c r="C15" i="6"/>
  <c r="D15" i="6"/>
  <c r="E15" i="6"/>
  <c r="F15" i="6"/>
  <c r="G15" i="6"/>
  <c r="B16" i="6"/>
  <c r="C16" i="6"/>
  <c r="D16" i="6"/>
  <c r="E16" i="6"/>
  <c r="F16" i="6"/>
  <c r="G16" i="6"/>
  <c r="B17" i="6"/>
  <c r="C17" i="6"/>
  <c r="D17" i="6"/>
  <c r="E17" i="6"/>
  <c r="F17" i="6"/>
  <c r="G17" i="6"/>
  <c r="J7" i="3"/>
  <c r="L16" i="3"/>
  <c r="K16" i="3"/>
  <c r="J16" i="3"/>
  <c r="O14" i="3"/>
  <c r="L15" i="3"/>
  <c r="K15" i="3"/>
  <c r="J15" i="3"/>
  <c r="K14" i="3"/>
  <c r="J14" i="3"/>
  <c r="N13" i="3"/>
  <c r="N14" i="3"/>
  <c r="K12" i="3"/>
  <c r="J12" i="3"/>
  <c r="N12" i="3"/>
  <c r="B3" i="6"/>
  <c r="C3" i="6"/>
  <c r="D3" i="6"/>
  <c r="E3" i="6"/>
  <c r="F3" i="6"/>
  <c r="G3" i="6"/>
  <c r="J11" i="3"/>
  <c r="C3" i="5"/>
  <c r="D3" i="5"/>
  <c r="G3" i="5"/>
  <c r="B3" i="5"/>
  <c r="V20" i="22" l="1"/>
  <c r="W20" i="22"/>
  <c r="U20" i="22"/>
  <c r="T20" i="22"/>
  <c r="O20" i="22"/>
  <c r="M20" i="22"/>
  <c r="N20" i="22"/>
  <c r="L20" i="22"/>
  <c r="E20" i="22"/>
  <c r="C20" i="22"/>
  <c r="F20" i="22"/>
  <c r="D20" i="22"/>
  <c r="B20" i="22"/>
  <c r="G20" i="22"/>
  <c r="B2" i="20"/>
  <c r="D3" i="20"/>
  <c r="B5" i="20"/>
  <c r="F2" i="20"/>
  <c r="G2" i="20"/>
  <c r="D2" i="20"/>
  <c r="C3" i="20"/>
  <c r="C2" i="20"/>
  <c r="G5" i="20"/>
  <c r="B3" i="20"/>
  <c r="F5" i="20"/>
  <c r="G3" i="20"/>
  <c r="E5" i="20"/>
  <c r="F3" i="20"/>
  <c r="D5" i="20"/>
  <c r="E3" i="20"/>
  <c r="C5" i="20"/>
  <c r="F60" i="9"/>
  <c r="B69" i="9"/>
  <c r="F74" i="9"/>
  <c r="F73" i="9"/>
  <c r="F70" i="9"/>
  <c r="C20" i="19"/>
  <c r="E20" i="19"/>
  <c r="F69" i="9"/>
  <c r="F61" i="9"/>
  <c r="C4" i="20"/>
  <c r="B74" i="9"/>
  <c r="B72" i="9"/>
  <c r="B70" i="9"/>
  <c r="B68" i="9"/>
  <c r="B66" i="9"/>
  <c r="B64" i="9"/>
  <c r="B62" i="9"/>
  <c r="F68" i="9"/>
  <c r="F65" i="9"/>
  <c r="F5" i="19"/>
  <c r="F20" i="19" s="1"/>
  <c r="F72" i="9"/>
  <c r="F64" i="9"/>
  <c r="F71" i="9"/>
  <c r="G20" i="19"/>
  <c r="D20" i="19"/>
  <c r="E4" i="20"/>
  <c r="G4" i="20"/>
  <c r="D4" i="20"/>
  <c r="B20" i="19"/>
  <c r="E20" i="10"/>
  <c r="F20" i="10"/>
  <c r="B20" i="10"/>
  <c r="D20" i="10"/>
  <c r="C20" i="10"/>
  <c r="G20" i="10"/>
  <c r="E20" i="6"/>
  <c r="D20" i="6"/>
  <c r="G20" i="6"/>
  <c r="K5" i="3"/>
  <c r="J5" i="3"/>
  <c r="J4" i="3"/>
  <c r="N4" i="3"/>
  <c r="N5" i="3"/>
  <c r="N3" i="3"/>
  <c r="N7" i="3"/>
  <c r="N10" i="3"/>
  <c r="N15" i="3"/>
  <c r="N16" i="3"/>
  <c r="D20" i="5"/>
  <c r="N2" i="3"/>
  <c r="B4" i="20" l="1"/>
  <c r="F4" i="20"/>
  <c r="C20" i="5"/>
  <c r="C20" i="6"/>
  <c r="F3" i="5"/>
  <c r="G20" i="5"/>
  <c r="E20" i="5"/>
  <c r="B20" i="6" l="1"/>
  <c r="F20" i="5"/>
  <c r="B20" i="5"/>
  <c r="F20" i="6"/>
</calcChain>
</file>

<file path=xl/sharedStrings.xml><?xml version="1.0" encoding="utf-8"?>
<sst xmlns="http://schemas.openxmlformats.org/spreadsheetml/2006/main" count="1243" uniqueCount="200">
  <si>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</si>
  <si>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</si>
  <si>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</si>
  <si>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</si>
  <si>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</si>
  <si>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</si>
  <si>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</si>
  <si>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</si>
  <si>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</si>
  <si>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</si>
  <si>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</si>
  <si>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</si>
  <si>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</si>
  <si>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</si>
  <si>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</si>
  <si>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</si>
  <si>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</si>
  <si>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</si>
  <si>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</si>
  <si>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</si>
  <si>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</si>
  <si>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</si>
  <si>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</si>
  <si>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</si>
  <si>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</si>
  <si>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</si>
  <si>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</si>
  <si>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</si>
  <si>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</si>
  <si>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['html', 'pdf', 'pdf', 'pdf', 'pdf']</t>
  </si>
  <si>
    <t>['html', 'html', 'html', 'html', 'html']</t>
  </si>
  <si>
    <t>['pdf', 'pdf', 'pdf', 'pdf', 'pdf']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</si>
  <si>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</si>
  <si>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</si>
  <si>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</si>
  <si>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</si>
  <si>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</si>
  <si>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</si>
  <si>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</si>
  <si>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</si>
  <si>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</si>
  <si>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</si>
  <si>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</si>
  <si>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</si>
  <si>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</si>
  <si>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['html', 'html', 'pdf', 'html', 'html']</t>
  </si>
  <si>
    <t>Bachelor-Studium</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</si>
  <si>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</si>
  <si>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</si>
  <si>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</si>
  <si>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</si>
  <si>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</si>
  <si>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['pdf', 'pdf', 'pdf', 'pdf', 'html']</t>
  </si>
  <si>
    <t>Services/Info</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</si>
  <si>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</si>
  <si>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</si>
  <si>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</si>
  <si>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</si>
  <si>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</si>
  <si>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</si>
  <si>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</si>
  <si>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</si>
  <si>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</si>
  <si>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</si>
  <si>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</si>
  <si>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</si>
  <si>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</si>
  <si>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</si>
  <si>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</si>
  <si>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</si>
  <si>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</si>
  <si>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</si>
  <si>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</si>
  <si>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</si>
  <si>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</si>
  <si>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</si>
  <si>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International</t>
  </si>
  <si>
    <t>FAQ</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</si>
  <si>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</si>
  <si>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</si>
  <si>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</si>
  <si>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</si>
  <si>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</si>
  <si>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</si>
  <si>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</si>
  <si>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</si>
  <si>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</si>
  <si>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</si>
  <si>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</si>
  <si>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</si>
  <si>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</si>
  <si>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</si>
  <si>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</si>
  <si>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</si>
  <si>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</si>
  <si>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</si>
  <si>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</si>
  <si>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</si>
  <si>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</si>
  <si>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</si>
  <si>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</si>
  <si>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</si>
  <si>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</si>
  <si>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</si>
  <si>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</si>
  <si>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</si>
  <si>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</si>
  <si>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</si>
  <si>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</si>
  <si>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</si>
  <si>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</si>
  <si>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</si>
  <si>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</si>
  <si>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</si>
  <si>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</si>
  <si>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</si>
  <si>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</si>
  <si>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</si>
  <si>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</si>
  <si>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</si>
  <si>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</si>
  <si>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</si>
  <si>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</si>
  <si>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</si>
  <si>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</si>
  <si>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</si>
  <si>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</si>
  <si>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</si>
  <si>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</si>
  <si>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</si>
  <si>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</si>
  <si>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</si>
  <si>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</si>
  <si>
    <t>Entitäten (Referenz)</t>
  </si>
  <si>
    <t>Student, Theorie- und methodenorientierter Studienansatz, Forschung, Lehre, Praxis, Praxisnähe, Langjährige Zusammenarbeit, WiSo-Fakultät, Unternehmen, Lehrbeauftragte, Berufsfelder</t>
  </si>
  <si>
    <t>Gedeckte Entitäten (Retrieved Context)</t>
  </si>
  <si>
    <t>Nicht gedeckte Entitäten (Retrieved Context)</t>
  </si>
  <si>
    <t>Student, Forschung, Lehre, Praxis, WiSo-Fakultät</t>
  </si>
  <si>
    <t>Theorie- und methodenorientierter Studienansatz, Praxisnähe, Langjährige Zusammenarbeit, Unternehmen, Lehrbeauftragte, Berufsfelder</t>
  </si>
  <si>
    <t>Anzahl Gedeckte Entitäten (Retrieved Context)</t>
  </si>
  <si>
    <t>Anzahl nicht-gedeckter Entitäten (Retrieved Context)</t>
  </si>
  <si>
    <t>Komplett abweichend</t>
  </si>
  <si>
    <t>Komplett zutreffend</t>
  </si>
  <si>
    <t>Annähernd identisch</t>
  </si>
  <si>
    <t>Stark abweichend</t>
  </si>
  <si>
    <t>Teilweise ähnlich</t>
  </si>
  <si>
    <t>Irrelevant</t>
  </si>
  <si>
    <t>Teilweise Relevant</t>
  </si>
  <si>
    <t>Absolut Relevant</t>
  </si>
  <si>
    <t>Sehr Relevant</t>
  </si>
  <si>
    <t>Fast Irrelevant</t>
  </si>
  <si>
    <t>Anmerkungen</t>
  </si>
  <si>
    <t>Obwohl nicht die Gold-Referenz gefunden wurde, sind die Chunks sehr relevant. Im Grunde genommen zeigt dies, wie schwierig es ist tatsächlich ein RAG-System zu evaluieren. Der Testsatz ist bspw. Bei dieser Frage sehr gut auf den eigentlichen Inhalt zugeschnitten, aber die Gold-Referenz wird nicht gefetched. Stattdessen wird Context gefetched, der sehr relevant ist</t>
  </si>
  <si>
    <t>Ein gutes Beispiel, wie Context-Precision durch LLM versagt. E-PLUS klingt ähnlich wie E-homework und somit wird es als "relevant" eingestuft, obwohl es das nicht ist. Das LLM kann diesen Unterschied aber nicht erkennen. Zusätzlich dazu werden Chunks nicht gefetched, da SEMANTISCHE ÄHNLICHKEIT zu niedrig --&gt; hybrid-search könnte hier sehr gut Abhilfe schaffen</t>
  </si>
  <si>
    <t>MAE</t>
  </si>
  <si>
    <t>Spearman</t>
  </si>
  <si>
    <t>Mittelwert</t>
  </si>
  <si>
    <t>ID</t>
  </si>
  <si>
    <t>Abs</t>
  </si>
  <si>
    <t>Studienjahr 2025 / 2026, Bachelor PO 2021, Betriebswirtschaftslehre, Volkswirtschaftslehre, Management, Economics and Social Sciences, Sozialwissenschaften, Gesundheitsökonomie, Wirtschaftsinformatik, Lehramt am Berufskolleg I., Modulhandbuch</t>
  </si>
  <si>
    <t>Modulhandbuch, Bachelor PO 2021, Betriebswirtschaftslehre</t>
  </si>
  <si>
    <t>Claims: "basierend auf Suchergebnissen (es sind nicht alle in den Suchergebnissen genannt)", True: "die aufgeführten"</t>
  </si>
  <si>
    <t>Bachelorprogramm / Bachelorstudiengang, Betriebswirtschaftslehre, Volkswirtschaftslehre</t>
  </si>
  <si>
    <t>Sozialwissenschaften, Management, Economics &amp; Social Sciences, Wirtschaftsinformatik, Gesundheitsökonomie, Lehramts-Bachelor</t>
  </si>
  <si>
    <t>Bachelorprogramme, Betriebswirtschaftslehre, Volkswirtschaftslehre, Sozialwissenschaften, Management, Economics &amp; Social Sciences, Wirtschaftsinformatik, Gesundheitsökonomie, Lehramts-Bachelor</t>
  </si>
  <si>
    <t>Es sind nicht ALLE aufgelistet
Fehler in der Frage (nur Bachelorstudiengänge sind gemeint!) --&gt; Frage ist also nicht präzise genug formuliert, was aber auch in der Realität passieren kann</t>
  </si>
  <si>
    <t>Frage wird aus Validation entfernt und ersetzt. Zusätzlich wird die Frage im Testset angepasst. Selbst als Mensch habe ich große Probleme diese Frage wirklich akkurat zu beantworten</t>
  </si>
  <si>
    <t>Gold Dokumente wurden gefunden, allerdings auf englisch; Eigentlicher Gold-Chunk knapp verfehlt; Frage ist unklar / unglücklich formuliert --&gt; wird angepasst</t>
  </si>
  <si>
    <t>MAE Mittelwert</t>
  </si>
  <si>
    <t>Frage wurde nun präziser formuliert</t>
  </si>
  <si>
    <t>Frage wurde nun präziser formuliert; Gold-Chunk teilweise gefunden</t>
  </si>
  <si>
    <t>MIM-Programm
120 ECTS
Core-Bereich
International Management
Spezialisierungsbereich
Applied International Management
Zusätzlicher Bereich
Business
Economics
Auslandssemester
Masterarbeit 15 ECTS
Verpflichtende Praktika
Zusätzliche Sprachauflagen
gesonderte formale Vorgaben
ECTS-Verteilung
Regelstudienzeit
CEMS Curriculum 66 ECTS
Core Courses
Electives 45 ECTS
Hard Skills
Business Project 15 ECTS
Seminare 6 ECTS
Internationales Praktikum
Nachweis Dritte CEMS-Sprache</t>
  </si>
  <si>
    <t>MIM-Programm
Core-Bereich
International Management
Spezialisierungsbereich
Auslandssemester
Masterarbeit
CEMS Curriculum
66 ECTS
Core Courses
Electives
45 ECTS
Hard Skills
Business Project
15 ECTS
Seminare 6 ECTS
Internationales Praktikum
Nachweis Dritte CEMS-Sprache</t>
  </si>
  <si>
    <t>120 ECTS
Spezialisierungsbereich
Economics
Masterarbeit 15 ECTS
Verpflichtende Praktika
Zusätzliche Sprachauflagen
Gesonderte formale Vorgaben
ECTS-Verteilung
Regelstudienzeit</t>
  </si>
  <si>
    <t>Modul
Studies Abroad
Economics III
Leistungen
Auslandsstudium
6 ECTS
Ausländische Hochschule
Volkswirtschaftliche Veranstaltungen
Master-Niveau
Reguläres Modulangebot
Ergänzen
Profil
Inhaltliche Vertiefung
Anerkennung
WiSo Credit Transfer Centre
WiSo Anrechnungszentrum
Antrag
Weitere Informationen
Fristen
Ablauf</t>
  </si>
  <si>
    <t>Modul
Studies Abroad
Economics III
Leistungen
6 ECTS
Ausländische Hochschule
Anerkennung
WiSo Anrechnungszentrum
Antrag
Weitere Informationen
Fristen
Ablauf</t>
  </si>
  <si>
    <t>Auslandsstudium
Volkswirtschaftliche Veranstaltungen
Master-Niveau
Reguläres Modulangebot
Ergänzen
Profil
Inhaltliche Vertiefung
WiSo Credit Transfer Centre</t>
  </si>
  <si>
    <t>Gold-Referenz nicht gefunden, aber relevantes Dokument</t>
  </si>
  <si>
    <t>Masterstudiengang
Business Administration Marketing
Bachelorabschluss
gleichertiger Abschluss
Umfang
180 ECTS in Business Administration
Economics
Ausprägung
Quantitative Methoden
Abschlussnote
2,7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</si>
  <si>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Masterstudiengang
Business Administration Marketing
Bachelorabschluss
gleichertiger Abschluss
Abschlussnote 2,7</t>
  </si>
  <si>
    <t>Umfang
180 ECTS in Business Administration oder Economics
Ausprägung in Quantitativen Methoden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</si>
  <si>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Human</t>
  </si>
  <si>
    <t>qwen2.5:7b</t>
  </si>
  <si>
    <t>gpt4o-mini</t>
  </si>
  <si>
    <t>gpt-4.1</t>
  </si>
  <si>
    <t>gpt-5.2</t>
  </si>
  <si>
    <t>Rangkorrelation</t>
  </si>
  <si>
    <t>qwen</t>
  </si>
  <si>
    <t>Pearson Korrelation</t>
  </si>
  <si>
    <t>gpt-4.1-mini</t>
  </si>
  <si>
    <t>Error</t>
  </si>
  <si>
    <t>ME</t>
  </si>
  <si>
    <t>Relative Error</t>
  </si>
  <si>
    <t>GPT</t>
  </si>
  <si>
    <t>Brauchbar?</t>
  </si>
  <si>
    <t>Ja</t>
  </si>
  <si>
    <t>Nein</t>
  </si>
  <si>
    <t>Anzahl Brauchbar</t>
  </si>
  <si>
    <t>Anzahl Unbrauchbar</t>
  </si>
  <si>
    <t>Anzahl 50-50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</si>
</sst>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
      <sz val="11"/>
      <color rgb="FF000000"/>
      <name val="Calibri"/>
      <family val="2"/>
      <scheme val="minor"/>
    </font>
  </fonts>
  <fills count="10">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0" fillId="0" borderId="0" xfId="0" applyAlignment="1">
      <alignment horizontal="center" vertical="center"/>
    </xf>
    <xf numFmtId="0" fontId="5" fillId="0" borderId="0" xfId="0" applyFont="1"/>
    <xf numFmtId="0" fontId="0" fillId="7" borderId="0" xfId="0" applyFill="1"/>
    <xf numFmtId="0" fontId="0" fillId="0" borderId="0" xfId="0" applyAlignment="1">
      <alignment wrapText="1"/>
    </xf>
    <xf numFmtId="0" fontId="0" fillId="8" borderId="0" xfId="0" applyFill="1"/>
    <xf numFmtId="0" fontId="0" fillId="9" borderId="0" xfId="0" applyFill="1"/>
    <xf numFmtId="0" fontId="2" fillId="0" borderId="0" xfId="0" applyFont="1"/>
    <xf numFmtId="0" fontId="0" fillId="0" borderId="0" xfId="0"/>
    <xf numFmtId="0" fontId="0" fillId="0" borderId="0" xfId="0" quotePrefix="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D467-ACD0-49ED-894B-B12CA7945213}">
  <dimension ref="A1:G131"/>
  <sheetViews>
    <sheetView topLeftCell="A97" workbookViewId="0">
      <selection activeCell="G117" sqref="G117:G131"/>
    </sheetView>
  </sheetViews>
  <sheetFormatPr baseColWidth="10" defaultRowHeight="15" x14ac:dyDescent="0.25"/>
  <cols>
    <col min="2" max="2" width="11.5703125" bestFit="1" customWidth="1"/>
    <col min="3" max="3" width="13.5703125" bestFit="1" customWidth="1"/>
    <col min="4" max="4" width="17" bestFit="1" customWidth="1"/>
    <col min="5" max="5" width="18.42578125" bestFit="1" customWidth="1"/>
    <col min="6" max="6" width="20" bestFit="1" customWidth="1"/>
    <col min="7" max="7" width="17.140625" bestFit="1" customWidth="1"/>
  </cols>
  <sheetData>
    <row r="1" spans="1:7" x14ac:dyDescent="0.25">
      <c r="A1" t="s">
        <v>181</v>
      </c>
    </row>
    <row r="2" spans="1:7" x14ac:dyDescent="0.25">
      <c r="A2" t="s">
        <v>157</v>
      </c>
      <c r="B2" t="s">
        <v>9</v>
      </c>
      <c r="C2" t="s">
        <v>10</v>
      </c>
      <c r="D2" t="s">
        <v>11</v>
      </c>
      <c r="E2" t="s">
        <v>12</v>
      </c>
      <c r="F2" t="s">
        <v>13</v>
      </c>
      <c r="G2" t="s">
        <v>14</v>
      </c>
    </row>
    <row r="3" spans="1:7" x14ac:dyDescent="0.25">
      <c r="A3">
        <v>1</v>
      </c>
      <c r="B3">
        <f>_xlfn.RANK.EQ('Human Details'!J2,'Human Details'!$J$2:$J$16)</f>
        <v>1</v>
      </c>
      <c r="C3">
        <f>_xlfn.RANK.EQ('Human Details'!K2,'Human Details'!$K$2:$K$16)</f>
        <v>1</v>
      </c>
      <c r="D3">
        <f>_xlfn.RANK.EQ('Human Details'!L2,'Human Details'!$L$2:$L$16)</f>
        <v>9</v>
      </c>
      <c r="E3">
        <f>_xlfn.RANK.EQ('Human Details'!M2,'Human Details'!$M$2:$M$16)</f>
        <v>1</v>
      </c>
      <c r="F3">
        <f>_xlfn.RANK.EQ('Human Details'!N2,'Human Details'!$N$2:$N$16)</f>
        <v>5</v>
      </c>
      <c r="G3">
        <f>_xlfn.RANK.EQ('Human Details'!O2,'Human Details'!$O$2:$O$16)</f>
        <v>1</v>
      </c>
    </row>
    <row r="4" spans="1:7" x14ac:dyDescent="0.25">
      <c r="A4">
        <v>8</v>
      </c>
      <c r="B4">
        <f>_xlfn.RANK.EQ('Human Details'!J3,'Human Details'!$J$2:$J$16)</f>
        <v>6</v>
      </c>
      <c r="C4">
        <f>_xlfn.RANK.EQ('Human Details'!K3,'Human Details'!$K$2:$K$16)</f>
        <v>11</v>
      </c>
      <c r="D4">
        <f>_xlfn.RANK.EQ('Human Details'!L3,'Human Details'!$L$2:$L$16)</f>
        <v>1</v>
      </c>
      <c r="E4">
        <f>_xlfn.RANK.EQ('Human Details'!M3,'Human Details'!$M$2:$M$16)</f>
        <v>13</v>
      </c>
      <c r="F4">
        <f>_xlfn.RANK.EQ('Human Details'!N3,'Human Details'!$N$2:$N$16)</f>
        <v>11</v>
      </c>
      <c r="G4">
        <f>_xlfn.RANK.EQ('Human Details'!O3,'Human Details'!$O$2:$O$16)</f>
        <v>14</v>
      </c>
    </row>
    <row r="5" spans="1:7" x14ac:dyDescent="0.25">
      <c r="A5">
        <v>11</v>
      </c>
      <c r="B5">
        <f>_xlfn.RANK.EQ('Human Details'!J4,'Human Details'!$J$2:$J$16)</f>
        <v>6</v>
      </c>
      <c r="C5">
        <f>_xlfn.RANK.EQ('Human Details'!K4,'Human Details'!$K$2:$K$16)</f>
        <v>1</v>
      </c>
      <c r="D5">
        <f>_xlfn.RANK.EQ('Human Details'!L4,'Human Details'!$L$2:$L$16)</f>
        <v>1</v>
      </c>
      <c r="E5">
        <f>_xlfn.RANK.EQ('Human Details'!M4,'Human Details'!$M$2:$M$16)</f>
        <v>3</v>
      </c>
      <c r="F5">
        <f>_xlfn.RANK.EQ('Human Details'!N4,'Human Details'!$N$2:$N$16)</f>
        <v>7</v>
      </c>
      <c r="G5">
        <f>_xlfn.RANK.EQ('Human Details'!O4,'Human Details'!$O$2:$O$16)</f>
        <v>9</v>
      </c>
    </row>
    <row r="6" spans="1:7" x14ac:dyDescent="0.25">
      <c r="A6">
        <v>17</v>
      </c>
      <c r="B6">
        <f>_xlfn.RANK.EQ('Human Details'!J5,'Human Details'!$J$2:$J$16)</f>
        <v>4</v>
      </c>
      <c r="C6">
        <f>_xlfn.RANK.EQ('Human Details'!K5,'Human Details'!$K$2:$K$16)</f>
        <v>9</v>
      </c>
      <c r="D6">
        <f>_xlfn.RANK.EQ('Human Details'!L5,'Human Details'!$L$2:$L$16)</f>
        <v>12</v>
      </c>
      <c r="E6">
        <f>_xlfn.RANK.EQ('Human Details'!M5,'Human Details'!$M$2:$M$16)</f>
        <v>3</v>
      </c>
      <c r="F6">
        <f>_xlfn.RANK.EQ('Human Details'!N5,'Human Details'!$N$2:$N$16)</f>
        <v>6</v>
      </c>
      <c r="G6">
        <f>_xlfn.RANK.EQ('Human Details'!O5,'Human Details'!$O$2:$O$16)</f>
        <v>9</v>
      </c>
    </row>
    <row r="7" spans="1:7" x14ac:dyDescent="0.25">
      <c r="A7">
        <v>20</v>
      </c>
      <c r="B7">
        <f>_xlfn.RANK.EQ('Human Details'!J6,'Human Details'!$J$2:$J$16)</f>
        <v>2</v>
      </c>
      <c r="C7">
        <f>_xlfn.RANK.EQ('Human Details'!K6,'Human Details'!$K$2:$K$16)</f>
        <v>5</v>
      </c>
      <c r="D7">
        <f>_xlfn.RANK.EQ('Human Details'!L6,'Human Details'!$L$2:$L$16)</f>
        <v>1</v>
      </c>
      <c r="E7">
        <f>_xlfn.RANK.EQ('Human Details'!M6,'Human Details'!$M$2:$M$16)</f>
        <v>3</v>
      </c>
      <c r="F7">
        <f>_xlfn.RANK.EQ('Human Details'!N6,'Human Details'!$N$2:$N$16)</f>
        <v>9</v>
      </c>
      <c r="G7">
        <f>_xlfn.RANK.EQ('Human Details'!O6,'Human Details'!$O$2:$O$16)</f>
        <v>5</v>
      </c>
    </row>
    <row r="8" spans="1:7" x14ac:dyDescent="0.25">
      <c r="A8">
        <v>30</v>
      </c>
      <c r="B8">
        <f>_xlfn.RANK.EQ('Human Details'!J7,'Human Details'!$J$2:$J$16)</f>
        <v>11</v>
      </c>
      <c r="C8">
        <f>_xlfn.RANK.EQ('Human Details'!K7,'Human Details'!$K$2:$K$16)</f>
        <v>11</v>
      </c>
      <c r="D8">
        <f>_xlfn.RANK.EQ('Human Details'!L7,'Human Details'!$L$2:$L$16)</f>
        <v>8</v>
      </c>
      <c r="E8">
        <f>_xlfn.RANK.EQ('Human Details'!M7,'Human Details'!$M$2:$M$16)</f>
        <v>10</v>
      </c>
      <c r="F8">
        <f>_xlfn.RANK.EQ('Human Details'!N7,'Human Details'!$N$2:$N$16)</f>
        <v>11</v>
      </c>
      <c r="G8">
        <f>_xlfn.RANK.EQ('Human Details'!O7,'Human Details'!$O$2:$O$16)</f>
        <v>11</v>
      </c>
    </row>
    <row r="9" spans="1:7" x14ac:dyDescent="0.25">
      <c r="A9">
        <v>33</v>
      </c>
      <c r="B9">
        <f>_xlfn.RANK.EQ('Human Details'!J8,'Human Details'!$J$2:$J$16)</f>
        <v>6</v>
      </c>
      <c r="C9">
        <f>_xlfn.RANK.EQ('Human Details'!K8,'Human Details'!$K$2:$K$16)</f>
        <v>1</v>
      </c>
      <c r="D9">
        <f>_xlfn.RANK.EQ('Human Details'!L8,'Human Details'!$L$2:$L$16)</f>
        <v>7</v>
      </c>
      <c r="E9">
        <f>_xlfn.RANK.EQ('Human Details'!M8,'Human Details'!$M$2:$M$16)</f>
        <v>1</v>
      </c>
      <c r="F9">
        <f>_xlfn.RANK.EQ('Human Details'!N8,'Human Details'!$N$2:$N$16)</f>
        <v>1</v>
      </c>
      <c r="G9">
        <f>_xlfn.RANK.EQ('Human Details'!O8,'Human Details'!$O$2:$O$16)</f>
        <v>6</v>
      </c>
    </row>
    <row r="10" spans="1:7" x14ac:dyDescent="0.25">
      <c r="A10">
        <v>34</v>
      </c>
      <c r="B10">
        <f>_xlfn.RANK.EQ('Human Details'!J9,'Human Details'!$J$2:$J$16)</f>
        <v>13</v>
      </c>
      <c r="C10">
        <f>_xlfn.RANK.EQ('Human Details'!K9,'Human Details'!$K$2:$K$16)</f>
        <v>11</v>
      </c>
      <c r="D10">
        <f>_xlfn.RANK.EQ('Human Details'!L9,'Human Details'!$L$2:$L$16)</f>
        <v>13</v>
      </c>
      <c r="E10">
        <f>_xlfn.RANK.EQ('Human Details'!M9,'Human Details'!$M$2:$M$16)</f>
        <v>3</v>
      </c>
      <c r="F10">
        <f>_xlfn.RANK.EQ('Human Details'!N9,'Human Details'!$N$2:$N$16)</f>
        <v>11</v>
      </c>
      <c r="G10">
        <f>_xlfn.RANK.EQ('Human Details'!O9,'Human Details'!$O$2:$O$16)</f>
        <v>1</v>
      </c>
    </row>
    <row r="11" spans="1:7" x14ac:dyDescent="0.25">
      <c r="A11">
        <v>64</v>
      </c>
      <c r="B11">
        <f>_xlfn.RANK.EQ('Human Details'!J10,'Human Details'!$J$2:$J$16)</f>
        <v>13</v>
      </c>
      <c r="C11">
        <f>_xlfn.RANK.EQ('Human Details'!K10,'Human Details'!$K$2:$K$16)</f>
        <v>11</v>
      </c>
      <c r="D11">
        <f>_xlfn.RANK.EQ('Human Details'!L10,'Human Details'!$L$2:$L$16)</f>
        <v>13</v>
      </c>
      <c r="E11">
        <f>_xlfn.RANK.EQ('Human Details'!M10,'Human Details'!$M$2:$M$16)</f>
        <v>13</v>
      </c>
      <c r="F11">
        <f>_xlfn.RANK.EQ('Human Details'!N10,'Human Details'!$N$2:$N$16)</f>
        <v>11</v>
      </c>
      <c r="G11">
        <f>_xlfn.RANK.EQ('Human Details'!O10,'Human Details'!$O$2:$O$16)</f>
        <v>14</v>
      </c>
    </row>
    <row r="12" spans="1:7" x14ac:dyDescent="0.25">
      <c r="A12">
        <v>65</v>
      </c>
      <c r="B12">
        <f>_xlfn.RANK.EQ('Human Details'!J11,'Human Details'!$J$2:$J$16)</f>
        <v>4</v>
      </c>
      <c r="C12">
        <f>_xlfn.RANK.EQ('Human Details'!K11,'Human Details'!$K$2:$K$16)</f>
        <v>1</v>
      </c>
      <c r="D12">
        <f>_xlfn.RANK.EQ('Human Details'!L11,'Human Details'!$L$2:$L$16)</f>
        <v>1</v>
      </c>
      <c r="E12">
        <f>_xlfn.RANK.EQ('Human Details'!M11,'Human Details'!$M$2:$M$16)</f>
        <v>3</v>
      </c>
      <c r="F12">
        <f>_xlfn.RANK.EQ('Human Details'!N11,'Human Details'!$N$2:$N$16)</f>
        <v>1</v>
      </c>
      <c r="G12">
        <f>_xlfn.RANK.EQ('Human Details'!O11,'Human Details'!$O$2:$O$16)</f>
        <v>1</v>
      </c>
    </row>
    <row r="13" spans="1:7" x14ac:dyDescent="0.25">
      <c r="A13">
        <v>84</v>
      </c>
      <c r="B13">
        <f>_xlfn.RANK.EQ('Human Details'!J12,'Human Details'!$J$2:$J$16)</f>
        <v>3</v>
      </c>
      <c r="C13">
        <f>_xlfn.RANK.EQ('Human Details'!K12,'Human Details'!$K$2:$K$16)</f>
        <v>7</v>
      </c>
      <c r="D13">
        <f>_xlfn.RANK.EQ('Human Details'!L12,'Human Details'!$L$2:$L$16)</f>
        <v>1</v>
      </c>
      <c r="E13">
        <f>_xlfn.RANK.EQ('Human Details'!M12,'Human Details'!$M$2:$M$16)</f>
        <v>3</v>
      </c>
      <c r="F13">
        <f>_xlfn.RANK.EQ('Human Details'!N12,'Human Details'!$N$2:$N$16)</f>
        <v>10</v>
      </c>
      <c r="G13">
        <f>_xlfn.RANK.EQ('Human Details'!O12,'Human Details'!$O$2:$O$16)</f>
        <v>1</v>
      </c>
    </row>
    <row r="14" spans="1:7" x14ac:dyDescent="0.25">
      <c r="A14">
        <v>89</v>
      </c>
      <c r="B14">
        <f>_xlfn.RANK.EQ('Human Details'!J13,'Human Details'!$J$2:$J$16)</f>
        <v>13</v>
      </c>
      <c r="C14">
        <f>_xlfn.RANK.EQ('Human Details'!K13,'Human Details'!$K$2:$K$16)</f>
        <v>11</v>
      </c>
      <c r="D14">
        <f>_xlfn.RANK.EQ('Human Details'!L13,'Human Details'!$L$2:$L$16)</f>
        <v>13</v>
      </c>
      <c r="E14">
        <f>_xlfn.RANK.EQ('Human Details'!M13,'Human Details'!$M$2:$M$16)</f>
        <v>13</v>
      </c>
      <c r="F14">
        <f>_xlfn.RANK.EQ('Human Details'!N13,'Human Details'!$N$2:$N$16)</f>
        <v>11</v>
      </c>
      <c r="G14">
        <f>_xlfn.RANK.EQ('Human Details'!O13,'Human Details'!$O$2:$O$16)</f>
        <v>13</v>
      </c>
    </row>
    <row r="15" spans="1:7" x14ac:dyDescent="0.25">
      <c r="A15">
        <v>91</v>
      </c>
      <c r="B15">
        <f>_xlfn.RANK.EQ('Human Details'!J14,'Human Details'!$J$2:$J$16)</f>
        <v>9</v>
      </c>
      <c r="C15">
        <f>_xlfn.RANK.EQ('Human Details'!K14,'Human Details'!$K$2:$K$16)</f>
        <v>6</v>
      </c>
      <c r="D15">
        <f>_xlfn.RANK.EQ('Human Details'!L14,'Human Details'!$L$2:$L$16)</f>
        <v>10</v>
      </c>
      <c r="E15">
        <f>_xlfn.RANK.EQ('Human Details'!M14,'Human Details'!$M$2:$M$16)</f>
        <v>3</v>
      </c>
      <c r="F15">
        <f>_xlfn.RANK.EQ('Human Details'!N14,'Human Details'!$N$2:$N$16)</f>
        <v>3</v>
      </c>
      <c r="G15">
        <f>_xlfn.RANK.EQ('Human Details'!O14,'Human Details'!$O$2:$O$16)</f>
        <v>6</v>
      </c>
    </row>
    <row r="16" spans="1:7" x14ac:dyDescent="0.25">
      <c r="A16">
        <v>97</v>
      </c>
      <c r="B16">
        <f>_xlfn.RANK.EQ('Human Details'!J15,'Human Details'!$J$2:$J$16)</f>
        <v>10</v>
      </c>
      <c r="C16">
        <f>_xlfn.RANK.EQ('Human Details'!K15,'Human Details'!$K$2:$K$16)</f>
        <v>7</v>
      </c>
      <c r="D16">
        <f>_xlfn.RANK.EQ('Human Details'!L15,'Human Details'!$L$2:$L$16)</f>
        <v>10</v>
      </c>
      <c r="E16">
        <f>_xlfn.RANK.EQ('Human Details'!M15,'Human Details'!$M$2:$M$16)</f>
        <v>10</v>
      </c>
      <c r="F16">
        <f>_xlfn.RANK.EQ('Human Details'!N15,'Human Details'!$N$2:$N$16)</f>
        <v>4</v>
      </c>
      <c r="G16">
        <f>_xlfn.RANK.EQ('Human Details'!O15,'Human Details'!$O$2:$O$16)</f>
        <v>6</v>
      </c>
    </row>
    <row r="17" spans="1:7" x14ac:dyDescent="0.25">
      <c r="A17">
        <v>110</v>
      </c>
      <c r="B17">
        <f>_xlfn.RANK.EQ('Human Details'!J16,'Human Details'!$J$2:$J$16)</f>
        <v>12</v>
      </c>
      <c r="C17">
        <f>_xlfn.RANK.EQ('Human Details'!K16,'Human Details'!$K$2:$K$16)</f>
        <v>10</v>
      </c>
      <c r="D17">
        <f>_xlfn.RANK.EQ('Human Details'!L16,'Human Details'!$L$2:$L$16)</f>
        <v>6</v>
      </c>
      <c r="E17">
        <f>_xlfn.RANK.EQ('Human Details'!M16,'Human Details'!$M$2:$M$16)</f>
        <v>10</v>
      </c>
      <c r="F17">
        <f>_xlfn.RANK.EQ('Human Details'!N16,'Human Details'!$N$2:$N$16)</f>
        <v>8</v>
      </c>
      <c r="G17">
        <f>_xlfn.RANK.EQ('Human Details'!O16,'Human Details'!$O$2:$O$16)</f>
        <v>11</v>
      </c>
    </row>
    <row r="20" spans="1:7" x14ac:dyDescent="0.25">
      <c r="A20" t="s">
        <v>182</v>
      </c>
    </row>
    <row r="21" spans="1:7" x14ac:dyDescent="0.25">
      <c r="A21" t="s">
        <v>157</v>
      </c>
      <c r="B21" t="s">
        <v>9</v>
      </c>
      <c r="C21" t="s">
        <v>10</v>
      </c>
      <c r="D21" t="s">
        <v>11</v>
      </c>
      <c r="E21" t="s">
        <v>12</v>
      </c>
      <c r="F21" t="s">
        <v>13</v>
      </c>
      <c r="G21" t="s">
        <v>14</v>
      </c>
    </row>
    <row r="22" spans="1:7" x14ac:dyDescent="0.25">
      <c r="A22">
        <v>1</v>
      </c>
      <c r="B22">
        <f>_xlfn.RANK.EQ('LLM-As-Judge Details'!J2,'LLM-As-Judge Details'!$J$2:$J$16)</f>
        <v>1</v>
      </c>
      <c r="C22">
        <f>_xlfn.RANK.EQ('LLM-As-Judge Details'!K2,'LLM-As-Judge Details'!$K$2:$K$16)</f>
        <v>1</v>
      </c>
      <c r="D22">
        <f>_xlfn.RANK.EQ('LLM-As-Judge Details'!L2,'LLM-As-Judge Details'!$L$2:$L$16)</f>
        <v>13</v>
      </c>
      <c r="E22">
        <f>_xlfn.RANK.EQ('LLM-As-Judge Details'!M2,'LLM-As-Judge Details'!$M$2:$M$16)</f>
        <v>13</v>
      </c>
      <c r="F22">
        <f>_xlfn.RANK.EQ('LLM-As-Judge Details'!N2,'LLM-As-Judge Details'!$N$2:$N$16)</f>
        <v>3</v>
      </c>
      <c r="G22">
        <f>_xlfn.RANK.EQ('LLM-As-Judge Details'!O7,'LLM-As-Judge Details'!$O$2:$O$16)</f>
        <v>9</v>
      </c>
    </row>
    <row r="23" spans="1:7" x14ac:dyDescent="0.25">
      <c r="A23">
        <v>8</v>
      </c>
      <c r="B23">
        <f>_xlfn.RANK.EQ('LLM-As-Judge Details'!J3,'LLM-As-Judge Details'!$J$2:$J$16)</f>
        <v>10</v>
      </c>
      <c r="C23">
        <f>_xlfn.RANK.EQ('LLM-As-Judge Details'!K3,'LLM-As-Judge Details'!$K$2:$K$16)</f>
        <v>12</v>
      </c>
      <c r="D23">
        <f>_xlfn.RANK.EQ('LLM-As-Judge Details'!L3,'LLM-As-Judge Details'!$L$2:$L$16)</f>
        <v>6</v>
      </c>
      <c r="E23">
        <f>_xlfn.RANK.EQ('LLM-As-Judge Details'!M3,'LLM-As-Judge Details'!$M$2:$M$16)</f>
        <v>12</v>
      </c>
      <c r="F23">
        <f>_xlfn.RANK.EQ('LLM-As-Judge Details'!N3,'LLM-As-Judge Details'!$N$2:$N$16)</f>
        <v>7</v>
      </c>
      <c r="G23">
        <f>_xlfn.RANK.EQ('LLM-As-Judge Details'!O8,'LLM-As-Judge Details'!$O$2:$O$16)</f>
        <v>5</v>
      </c>
    </row>
    <row r="24" spans="1:7" x14ac:dyDescent="0.25">
      <c r="A24">
        <v>11</v>
      </c>
      <c r="B24">
        <f>_xlfn.RANK.EQ('LLM-As-Judge Details'!J4,'LLM-As-Judge Details'!$J$2:$J$16)</f>
        <v>8</v>
      </c>
      <c r="C24">
        <f>_xlfn.RANK.EQ('LLM-As-Judge Details'!K4,'LLM-As-Judge Details'!$K$2:$K$16)</f>
        <v>1</v>
      </c>
      <c r="D24">
        <f>_xlfn.RANK.EQ('LLM-As-Judge Details'!L4,'LLM-As-Judge Details'!$L$2:$L$16)</f>
        <v>3</v>
      </c>
      <c r="E24">
        <f>_xlfn.RANK.EQ('LLM-As-Judge Details'!M4,'LLM-As-Judge Details'!$M$2:$M$16)</f>
        <v>11</v>
      </c>
      <c r="F24">
        <f>_xlfn.RANK.EQ('LLM-As-Judge Details'!N4,'LLM-As-Judge Details'!$N$2:$N$16)</f>
        <v>1</v>
      </c>
      <c r="G24">
        <f>_xlfn.RANK.EQ('LLM-As-Judge Details'!O9,'LLM-As-Judge Details'!$O$2:$O$16)</f>
        <v>3</v>
      </c>
    </row>
    <row r="25" spans="1:7" x14ac:dyDescent="0.25">
      <c r="A25">
        <v>17</v>
      </c>
      <c r="B25">
        <f>_xlfn.RANK.EQ('LLM-As-Judge Details'!J5,'LLM-As-Judge Details'!$J$2:$J$16)</f>
        <v>8</v>
      </c>
      <c r="C25">
        <f>_xlfn.RANK.EQ('LLM-As-Judge Details'!K5,'LLM-As-Judge Details'!$K$2:$K$16)</f>
        <v>12</v>
      </c>
      <c r="D25">
        <f>_xlfn.RANK.EQ('LLM-As-Judge Details'!L5,'LLM-As-Judge Details'!$L$2:$L$16)</f>
        <v>4</v>
      </c>
      <c r="E25">
        <f>_xlfn.RANK.EQ('LLM-As-Judge Details'!M5,'LLM-As-Judge Details'!$M$2:$M$16)</f>
        <v>7</v>
      </c>
      <c r="F25">
        <f>_xlfn.RANK.EQ('LLM-As-Judge Details'!N5,'LLM-As-Judge Details'!$N$2:$N$16)</f>
        <v>3</v>
      </c>
      <c r="G25">
        <f>_xlfn.RANK.EQ('LLM-As-Judge Details'!O10,'LLM-As-Judge Details'!$O$2:$O$16)</f>
        <v>4</v>
      </c>
    </row>
    <row r="26" spans="1:7" x14ac:dyDescent="0.25">
      <c r="A26">
        <v>20</v>
      </c>
      <c r="B26">
        <f>_xlfn.RANK.EQ('LLM-As-Judge Details'!J6,'LLM-As-Judge Details'!$J$2:$J$16)</f>
        <v>2</v>
      </c>
      <c r="C26">
        <f>_xlfn.RANK.EQ('LLM-As-Judge Details'!K6,'LLM-As-Judge Details'!$K$2:$K$16)</f>
        <v>1</v>
      </c>
      <c r="D26">
        <f>_xlfn.RANK.EQ('LLM-As-Judge Details'!L6,'LLM-As-Judge Details'!$L$2:$L$16)</f>
        <v>11</v>
      </c>
      <c r="E26">
        <f>_xlfn.RANK.EQ('LLM-As-Judge Details'!M6,'LLM-As-Judge Details'!$M$2:$M$16)</f>
        <v>15</v>
      </c>
      <c r="F26">
        <f>_xlfn.RANK.EQ('LLM-As-Judge Details'!N6,'LLM-As-Judge Details'!$N$2:$N$16)</f>
        <v>7</v>
      </c>
      <c r="G26">
        <f>_xlfn.RANK.EQ('LLM-As-Judge Details'!O11,'LLM-As-Judge Details'!$O$2:$O$16)</f>
        <v>7</v>
      </c>
    </row>
    <row r="27" spans="1:7" x14ac:dyDescent="0.25">
      <c r="A27">
        <v>30</v>
      </c>
      <c r="B27">
        <f>_xlfn.RANK.EQ('LLM-As-Judge Details'!J7,'LLM-As-Judge Details'!$J$2:$J$16)</f>
        <v>13</v>
      </c>
      <c r="C27">
        <f>_xlfn.RANK.EQ('LLM-As-Judge Details'!K7,'LLM-As-Judge Details'!$K$2:$K$16)</f>
        <v>1</v>
      </c>
      <c r="D27">
        <f>_xlfn.RANK.EQ('LLM-As-Judge Details'!L7,'LLM-As-Judge Details'!$L$2:$L$16)</f>
        <v>6</v>
      </c>
      <c r="E27">
        <f>_xlfn.RANK.EQ('LLM-As-Judge Details'!M7,'LLM-As-Judge Details'!$M$2:$M$16)</f>
        <v>2</v>
      </c>
      <c r="F27">
        <f>_xlfn.RANK.EQ('LLM-As-Judge Details'!N7,'LLM-As-Judge Details'!$N$2:$N$16)</f>
        <v>7</v>
      </c>
      <c r="G27">
        <f>_xlfn.RANK.EQ('LLM-As-Judge Details'!O12,'LLM-As-Judge Details'!$O$2:$O$16)</f>
        <v>1</v>
      </c>
    </row>
    <row r="28" spans="1:7" x14ac:dyDescent="0.25">
      <c r="A28">
        <v>33</v>
      </c>
      <c r="B28">
        <f>_xlfn.RANK.EQ('LLM-As-Judge Details'!J8,'LLM-As-Judge Details'!$J$2:$J$16)</f>
        <v>12</v>
      </c>
      <c r="C28">
        <f>_xlfn.RANK.EQ('LLM-As-Judge Details'!K8,'LLM-As-Judge Details'!$K$2:$K$16)</f>
        <v>1</v>
      </c>
      <c r="D28">
        <f>_xlfn.RANK.EQ('LLM-As-Judge Details'!L8,'LLM-As-Judge Details'!$L$2:$L$16)</f>
        <v>9</v>
      </c>
      <c r="E28">
        <f>_xlfn.RANK.EQ('LLM-As-Judge Details'!M8,'LLM-As-Judge Details'!$M$2:$M$16)</f>
        <v>1</v>
      </c>
      <c r="F28">
        <f>_xlfn.RANK.EQ('LLM-As-Judge Details'!N8,'LLM-As-Judge Details'!$N$2:$N$16)</f>
        <v>2</v>
      </c>
      <c r="G28">
        <f>_xlfn.RANK.EQ('LLM-As-Judge Details'!O13,'LLM-As-Judge Details'!$O$2:$O$16)</f>
        <v>9</v>
      </c>
    </row>
    <row r="29" spans="1:7" x14ac:dyDescent="0.25">
      <c r="A29">
        <v>34</v>
      </c>
      <c r="B29">
        <f>_xlfn.RANK.EQ('LLM-As-Judge Details'!J9,'LLM-As-Judge Details'!$J$2:$J$16)</f>
        <v>14</v>
      </c>
      <c r="C29">
        <f>_xlfn.RANK.EQ('LLM-As-Judge Details'!K9,'LLM-As-Judge Details'!$K$2:$K$16)</f>
        <v>12</v>
      </c>
      <c r="D29">
        <f>_xlfn.RANK.EQ('LLM-As-Judge Details'!L9,'LLM-As-Judge Details'!$L$2:$L$16)</f>
        <v>15</v>
      </c>
      <c r="E29">
        <f>_xlfn.RANK.EQ('LLM-As-Judge Details'!M9,'LLM-As-Judge Details'!$M$2:$M$16)</f>
        <v>9</v>
      </c>
      <c r="F29">
        <f>_xlfn.RANK.EQ('LLM-As-Judge Details'!N9,'LLM-As-Judge Details'!$N$2:$N$16)</f>
        <v>7</v>
      </c>
      <c r="G29">
        <f>_xlfn.RANK.EQ('LLM-As-Judge Details'!O14,'LLM-As-Judge Details'!$O$2:$O$16)</f>
        <v>9</v>
      </c>
    </row>
    <row r="30" spans="1:7" x14ac:dyDescent="0.25">
      <c r="A30">
        <v>64</v>
      </c>
      <c r="B30">
        <f>_xlfn.RANK.EQ('LLM-As-Judge Details'!J10,'LLM-As-Judge Details'!$J$2:$J$16)</f>
        <v>2</v>
      </c>
      <c r="C30">
        <f>_xlfn.RANK.EQ('LLM-As-Judge Details'!K10,'LLM-As-Judge Details'!$K$2:$K$16)</f>
        <v>11</v>
      </c>
      <c r="D30">
        <f>_xlfn.RANK.EQ('LLM-As-Judge Details'!L10,'LLM-As-Judge Details'!$L$2:$L$16)</f>
        <v>4</v>
      </c>
      <c r="E30">
        <f>_xlfn.RANK.EQ('LLM-As-Judge Details'!M10,'LLM-As-Judge Details'!$M$2:$M$16)</f>
        <v>6</v>
      </c>
      <c r="F30">
        <f>_xlfn.RANK.EQ('LLM-As-Judge Details'!N10,'LLM-As-Judge Details'!$N$2:$N$16)</f>
        <v>7</v>
      </c>
      <c r="G30">
        <f>_xlfn.RANK.EQ('LLM-As-Judge Details'!O15,'LLM-As-Judge Details'!$O$2:$O$16)</f>
        <v>9</v>
      </c>
    </row>
    <row r="31" spans="1:7" x14ac:dyDescent="0.25">
      <c r="A31">
        <v>65</v>
      </c>
      <c r="B31">
        <f>_xlfn.RANK.EQ('LLM-As-Judge Details'!J11,'LLM-As-Judge Details'!$J$2:$J$16)</f>
        <v>5</v>
      </c>
      <c r="C31">
        <f>_xlfn.RANK.EQ('LLM-As-Judge Details'!K11,'LLM-As-Judge Details'!$K$2:$K$16)</f>
        <v>1</v>
      </c>
      <c r="D31">
        <f>_xlfn.RANK.EQ('LLM-As-Judge Details'!L11,'LLM-As-Judge Details'!$L$2:$L$16)</f>
        <v>1</v>
      </c>
      <c r="E31">
        <f>_xlfn.RANK.EQ('LLM-As-Judge Details'!M11,'LLM-As-Judge Details'!$M$2:$M$16)</f>
        <v>3</v>
      </c>
      <c r="F31">
        <f>_xlfn.RANK.EQ('LLM-As-Judge Details'!N11,'LLM-As-Judge Details'!$N$2:$N$16)</f>
        <v>6</v>
      </c>
      <c r="G31">
        <f>_xlfn.RANK.EQ('LLM-As-Judge Details'!O16,'LLM-As-Judge Details'!$O$2:$O$16)</f>
        <v>2</v>
      </c>
    </row>
    <row r="32" spans="1:7" x14ac:dyDescent="0.25">
      <c r="A32">
        <v>84</v>
      </c>
      <c r="B32">
        <f>_xlfn.RANK.EQ('LLM-As-Judge Details'!J12,'LLM-As-Judge Details'!$J$2:$J$16)</f>
        <v>2</v>
      </c>
      <c r="C32">
        <f>_xlfn.RANK.EQ('LLM-As-Judge Details'!K12,'LLM-As-Judge Details'!$K$2:$K$16)</f>
        <v>1</v>
      </c>
      <c r="D32">
        <f>_xlfn.RANK.EQ('LLM-As-Judge Details'!L12,'LLM-As-Judge Details'!$L$2:$L$16)</f>
        <v>10</v>
      </c>
      <c r="E32">
        <f>_xlfn.RANK.EQ('LLM-As-Judge Details'!M12,'LLM-As-Judge Details'!$M$2:$M$16)</f>
        <v>10</v>
      </c>
      <c r="F32">
        <f>_xlfn.RANK.EQ('LLM-As-Judge Details'!N12,'LLM-As-Judge Details'!$N$2:$N$16)</f>
        <v>7</v>
      </c>
      <c r="G32">
        <f>_xlfn.RANK.EQ('LLM-As-Judge Details'!O17,'LLM-As-Judge Details'!$O$2:$O$16)</f>
        <v>9</v>
      </c>
    </row>
    <row r="33" spans="1:7" x14ac:dyDescent="0.25">
      <c r="A33">
        <v>89</v>
      </c>
      <c r="B33">
        <f>_xlfn.RANK.EQ('LLM-As-Judge Details'!J13,'LLM-As-Judge Details'!$J$2:$J$16)</f>
        <v>14</v>
      </c>
      <c r="C33">
        <f>_xlfn.RANK.EQ('LLM-As-Judge Details'!K13,'LLM-As-Judge Details'!$K$2:$K$16)</f>
        <v>12</v>
      </c>
      <c r="D33">
        <f>_xlfn.RANK.EQ('LLM-As-Judge Details'!L13,'LLM-As-Judge Details'!$L$2:$L$16)</f>
        <v>14</v>
      </c>
      <c r="E33">
        <f>_xlfn.RANK.EQ('LLM-As-Judge Details'!M13,'LLM-As-Judge Details'!$M$2:$M$16)</f>
        <v>14</v>
      </c>
      <c r="F33">
        <f>_xlfn.RANK.EQ('LLM-As-Judge Details'!N13,'LLM-As-Judge Details'!$N$2:$N$16)</f>
        <v>7</v>
      </c>
      <c r="G33">
        <f>_xlfn.RANK.EQ('LLM-As-Judge Details'!O18,'LLM-As-Judge Details'!$O$2:$O$16)</f>
        <v>9</v>
      </c>
    </row>
    <row r="34" spans="1:7" x14ac:dyDescent="0.25">
      <c r="A34">
        <v>91</v>
      </c>
      <c r="B34">
        <f>_xlfn.RANK.EQ('LLM-As-Judge Details'!J14,'LLM-As-Judge Details'!$J$2:$J$16)</f>
        <v>6</v>
      </c>
      <c r="C34">
        <f>_xlfn.RANK.EQ('LLM-As-Judge Details'!K14,'LLM-As-Judge Details'!$K$2:$K$16)</f>
        <v>8</v>
      </c>
      <c r="D34">
        <f>_xlfn.RANK.EQ('LLM-As-Judge Details'!L14,'LLM-As-Judge Details'!$L$2:$L$16)</f>
        <v>8</v>
      </c>
      <c r="E34">
        <f>_xlfn.RANK.EQ('LLM-As-Judge Details'!M14,'LLM-As-Judge Details'!$M$2:$M$16)</f>
        <v>5</v>
      </c>
      <c r="F34">
        <f>_xlfn.RANK.EQ('LLM-As-Judge Details'!N14,'LLM-As-Judge Details'!$N$2:$N$16)</f>
        <v>7</v>
      </c>
      <c r="G34">
        <f>_xlfn.RANK.EQ('LLM-As-Judge Details'!O19,'LLM-As-Judge Details'!$O$2:$O$16)</f>
        <v>9</v>
      </c>
    </row>
    <row r="35" spans="1:7" x14ac:dyDescent="0.25">
      <c r="A35">
        <v>97</v>
      </c>
      <c r="B35">
        <f>_xlfn.RANK.EQ('LLM-As-Judge Details'!J15,'LLM-As-Judge Details'!$J$2:$J$16)</f>
        <v>11</v>
      </c>
      <c r="C35">
        <f>_xlfn.RANK.EQ('LLM-As-Judge Details'!K15,'LLM-As-Judge Details'!$K$2:$K$16)</f>
        <v>9</v>
      </c>
      <c r="D35">
        <f>_xlfn.RANK.EQ('LLM-As-Judge Details'!L15,'LLM-As-Judge Details'!$L$2:$L$16)</f>
        <v>1</v>
      </c>
      <c r="E35">
        <f>_xlfn.RANK.EQ('LLM-As-Judge Details'!M15,'LLM-As-Judge Details'!$M$2:$M$16)</f>
        <v>4</v>
      </c>
      <c r="F35">
        <f>_xlfn.RANK.EQ('LLM-As-Judge Details'!N15,'LLM-As-Judge Details'!$N$2:$N$16)</f>
        <v>7</v>
      </c>
      <c r="G35">
        <f>_xlfn.RANK.EQ('LLM-As-Judge Details'!O20,'LLM-As-Judge Details'!$O$2:$O$16)</f>
        <v>9</v>
      </c>
    </row>
    <row r="36" spans="1:7" x14ac:dyDescent="0.25">
      <c r="A36">
        <v>110</v>
      </c>
      <c r="B36">
        <f>_xlfn.RANK.EQ('LLM-As-Judge Details'!J16,'LLM-As-Judge Details'!$J$2:$J$16)</f>
        <v>7</v>
      </c>
      <c r="C36">
        <f>_xlfn.RANK.EQ('LLM-As-Judge Details'!K16,'LLM-As-Judge Details'!$K$2:$K$16)</f>
        <v>9</v>
      </c>
      <c r="D36">
        <f>_xlfn.RANK.EQ('LLM-As-Judge Details'!L16,'LLM-As-Judge Details'!$L$2:$L$16)</f>
        <v>12</v>
      </c>
      <c r="E36">
        <f>_xlfn.RANK.EQ('LLM-As-Judge Details'!M16,'LLM-As-Judge Details'!$M$2:$M$16)</f>
        <v>8</v>
      </c>
      <c r="F36">
        <f>_xlfn.RANK.EQ('LLM-As-Judge Details'!N16,'LLM-As-Judge Details'!$N$2:$N$16)</f>
        <v>5</v>
      </c>
      <c r="G36">
        <f>_xlfn.RANK.EQ('LLM-As-Judge Details'!O21,'LLM-As-Judge Details'!$O$2:$O$16)</f>
        <v>9</v>
      </c>
    </row>
    <row r="39" spans="1:7" x14ac:dyDescent="0.25">
      <c r="A39" t="s">
        <v>183</v>
      </c>
    </row>
    <row r="40" spans="1:7" x14ac:dyDescent="0.25">
      <c r="A40" t="s">
        <v>157</v>
      </c>
      <c r="B40" t="s">
        <v>9</v>
      </c>
      <c r="C40" t="s">
        <v>10</v>
      </c>
      <c r="D40" t="s">
        <v>11</v>
      </c>
      <c r="E40" t="s">
        <v>12</v>
      </c>
      <c r="F40" t="s">
        <v>13</v>
      </c>
      <c r="G40" t="s">
        <v>14</v>
      </c>
    </row>
    <row r="41" spans="1:7" x14ac:dyDescent="0.25">
      <c r="A41">
        <v>1</v>
      </c>
      <c r="B41">
        <f>_xlfn.RANK.EQ('GPT4o-mini-Details'!J2,'GPT4o-mini-Details'!$J$2:$J$16)</f>
        <v>4</v>
      </c>
      <c r="C41">
        <f>_xlfn.RANK.EQ('GPT4o-mini-Details'!K2,'GPT4o-mini-Details'!$K$2:$K$16)</f>
        <v>1</v>
      </c>
      <c r="D41">
        <f>_xlfn.RANK.EQ('GPT4o-mini-Details'!L2,'GPT4o-mini-Details'!$L$2:$L$16)</f>
        <v>1</v>
      </c>
      <c r="E41">
        <f>_xlfn.RANK.EQ('GPT4o-mini-Details'!M2,'GPT4o-mini-Details'!$M$2:$M$16)</f>
        <v>13</v>
      </c>
      <c r="F41">
        <f>_xlfn.RANK.EQ('GPT4o-mini-Details'!N2,'GPT4o-mini-Details'!$N$2:$N$16)</f>
        <v>6</v>
      </c>
      <c r="G41">
        <f>_xlfn.RANK.EQ('GPT4o-mini-Details'!O2,'GPT4o-mini-Details'!$O$2:$O$16)</f>
        <v>5</v>
      </c>
    </row>
    <row r="42" spans="1:7" x14ac:dyDescent="0.25">
      <c r="A42">
        <v>8</v>
      </c>
      <c r="B42">
        <f>_xlfn.RANK.EQ('GPT4o-mini-Details'!J3,'GPT4o-mini-Details'!$J$2:$J$16)</f>
        <v>10</v>
      </c>
      <c r="C42">
        <f>_xlfn.RANK.EQ('GPT4o-mini-Details'!K3,'GPT4o-mini-Details'!$K$2:$K$16)</f>
        <v>9</v>
      </c>
      <c r="D42">
        <f>_xlfn.RANK.EQ('GPT4o-mini-Details'!L3,'GPT4o-mini-Details'!$L$2:$L$16)</f>
        <v>8</v>
      </c>
      <c r="E42">
        <f>_xlfn.RANK.EQ('GPT4o-mini-Details'!M3,'GPT4o-mini-Details'!$M$2:$M$16)</f>
        <v>12</v>
      </c>
      <c r="F42">
        <f>_xlfn.RANK.EQ('GPT4o-mini-Details'!N3,'GPT4o-mini-Details'!$N$2:$N$16)</f>
        <v>9</v>
      </c>
      <c r="G42">
        <f>_xlfn.RANK.EQ('GPT4o-mini-Details'!O3,'GPT4o-mini-Details'!$O$2:$O$16)</f>
        <v>9</v>
      </c>
    </row>
    <row r="43" spans="1:7" x14ac:dyDescent="0.25">
      <c r="A43">
        <v>11</v>
      </c>
      <c r="B43">
        <f>_xlfn.RANK.EQ('GPT4o-mini-Details'!J4,'GPT4o-mini-Details'!$J$2:$J$16)</f>
        <v>5</v>
      </c>
      <c r="C43">
        <f>_xlfn.RANK.EQ('GPT4o-mini-Details'!K4,'GPT4o-mini-Details'!$K$2:$K$16)</f>
        <v>1</v>
      </c>
      <c r="D43">
        <f>_xlfn.RANK.EQ('GPT4o-mini-Details'!L4,'GPT4o-mini-Details'!$L$2:$L$16)</f>
        <v>6</v>
      </c>
      <c r="E43">
        <f>_xlfn.RANK.EQ('GPT4o-mini-Details'!M4,'GPT4o-mini-Details'!$M$2:$M$16)</f>
        <v>11</v>
      </c>
      <c r="F43">
        <f>_xlfn.RANK.EQ('GPT4o-mini-Details'!N4,'GPT4o-mini-Details'!$N$2:$N$16)</f>
        <v>1</v>
      </c>
      <c r="G43">
        <f>_xlfn.RANK.EQ('GPT4o-mini-Details'!O4,'GPT4o-mini-Details'!$O$2:$O$16)</f>
        <v>9</v>
      </c>
    </row>
    <row r="44" spans="1:7" x14ac:dyDescent="0.25">
      <c r="A44">
        <v>17</v>
      </c>
      <c r="B44">
        <f>_xlfn.RANK.EQ('GPT4o-mini-Details'!J5,'GPT4o-mini-Details'!$J$2:$J$16)</f>
        <v>8</v>
      </c>
      <c r="C44">
        <f>_xlfn.RANK.EQ('GPT4o-mini-Details'!K5,'GPT4o-mini-Details'!$K$2:$K$16)</f>
        <v>1</v>
      </c>
      <c r="D44">
        <f>_xlfn.RANK.EQ('GPT4o-mini-Details'!L5,'GPT4o-mini-Details'!$L$2:$L$16)</f>
        <v>14</v>
      </c>
      <c r="E44">
        <f>_xlfn.RANK.EQ('GPT4o-mini-Details'!M5,'GPT4o-mini-Details'!$M$2:$M$16)</f>
        <v>7</v>
      </c>
      <c r="F44">
        <f>_xlfn.RANK.EQ('GPT4o-mini-Details'!N5,'GPT4o-mini-Details'!$N$2:$N$16)</f>
        <v>6</v>
      </c>
      <c r="G44">
        <f>_xlfn.RANK.EQ('GPT4o-mini-Details'!O5,'GPT4o-mini-Details'!$O$2:$O$16)</f>
        <v>9</v>
      </c>
    </row>
    <row r="45" spans="1:7" x14ac:dyDescent="0.25">
      <c r="A45">
        <v>20</v>
      </c>
      <c r="B45">
        <f>_xlfn.RANK.EQ('GPT4o-mini-Details'!J6,'GPT4o-mini-Details'!$J$2:$J$16)</f>
        <v>7</v>
      </c>
      <c r="C45">
        <f>_xlfn.RANK.EQ('GPT4o-mini-Details'!K6,'GPT4o-mini-Details'!$K$2:$K$16)</f>
        <v>10</v>
      </c>
      <c r="D45">
        <f>_xlfn.RANK.EQ('GPT4o-mini-Details'!L6,'GPT4o-mini-Details'!$L$2:$L$16)</f>
        <v>7</v>
      </c>
      <c r="E45">
        <f>_xlfn.RANK.EQ('GPT4o-mini-Details'!M6,'GPT4o-mini-Details'!$M$2:$M$16)</f>
        <v>15</v>
      </c>
      <c r="F45">
        <f>_xlfn.RANK.EQ('GPT4o-mini-Details'!N6,'GPT4o-mini-Details'!$N$2:$N$16)</f>
        <v>9</v>
      </c>
      <c r="G45">
        <f>_xlfn.RANK.EQ('GPT4o-mini-Details'!O6,'GPT4o-mini-Details'!$O$2:$O$16)</f>
        <v>7</v>
      </c>
    </row>
    <row r="46" spans="1:7" x14ac:dyDescent="0.25">
      <c r="A46">
        <v>30</v>
      </c>
      <c r="B46">
        <f>_xlfn.RANK.EQ('GPT4o-mini-Details'!J7,'GPT4o-mini-Details'!$J$2:$J$16)</f>
        <v>1</v>
      </c>
      <c r="C46">
        <f>_xlfn.RANK.EQ('GPT4o-mini-Details'!K7,'GPT4o-mini-Details'!$K$2:$K$16)</f>
        <v>1</v>
      </c>
      <c r="D46">
        <f>_xlfn.RANK.EQ('GPT4o-mini-Details'!L7,'GPT4o-mini-Details'!$L$2:$L$16)</f>
        <v>9</v>
      </c>
      <c r="E46">
        <f>_xlfn.RANK.EQ('GPT4o-mini-Details'!M7,'GPT4o-mini-Details'!$M$2:$M$16)</f>
        <v>2</v>
      </c>
      <c r="F46">
        <f>_xlfn.RANK.EQ('GPT4o-mini-Details'!N7,'GPT4o-mini-Details'!$N$2:$N$16)</f>
        <v>9</v>
      </c>
      <c r="G46">
        <f>_xlfn.RANK.EQ('GPT4o-mini-Details'!O7,'GPT4o-mini-Details'!$O$2:$O$16)</f>
        <v>4</v>
      </c>
    </row>
    <row r="47" spans="1:7" x14ac:dyDescent="0.25">
      <c r="A47">
        <v>33</v>
      </c>
      <c r="B47">
        <f>_xlfn.RANK.EQ('GPT4o-mini-Details'!J8,'GPT4o-mini-Details'!$J$2:$J$16)</f>
        <v>8</v>
      </c>
      <c r="C47">
        <f>_xlfn.RANK.EQ('GPT4o-mini-Details'!K8,'GPT4o-mini-Details'!$K$2:$K$16)</f>
        <v>1</v>
      </c>
      <c r="D47">
        <f>_xlfn.RANK.EQ('GPT4o-mini-Details'!L8,'GPT4o-mini-Details'!$L$2:$L$16)</f>
        <v>10</v>
      </c>
      <c r="E47">
        <f>_xlfn.RANK.EQ('GPT4o-mini-Details'!M8,'GPT4o-mini-Details'!$M$2:$M$16)</f>
        <v>1</v>
      </c>
      <c r="F47">
        <f>_xlfn.RANK.EQ('GPT4o-mini-Details'!N8,'GPT4o-mini-Details'!$N$2:$N$16)</f>
        <v>9</v>
      </c>
      <c r="G47">
        <f>_xlfn.RANK.EQ('GPT4o-mini-Details'!O8,'GPT4o-mini-Details'!$O$2:$O$16)</f>
        <v>2</v>
      </c>
    </row>
    <row r="48" spans="1:7" x14ac:dyDescent="0.25">
      <c r="A48">
        <v>34</v>
      </c>
      <c r="B48">
        <f>_xlfn.RANK.EQ('GPT4o-mini-Details'!J9,'GPT4o-mini-Details'!$J$2:$J$16)</f>
        <v>14</v>
      </c>
      <c r="C48">
        <f>_xlfn.RANK.EQ('GPT4o-mini-Details'!K9,'GPT4o-mini-Details'!$K$2:$K$16)</f>
        <v>12</v>
      </c>
      <c r="D48">
        <f>_xlfn.RANK.EQ('GPT4o-mini-Details'!L9,'GPT4o-mini-Details'!$L$2:$L$16)</f>
        <v>15</v>
      </c>
      <c r="E48">
        <f>_xlfn.RANK.EQ('GPT4o-mini-Details'!M9,'GPT4o-mini-Details'!$M$2:$M$16)</f>
        <v>9</v>
      </c>
      <c r="F48">
        <f>_xlfn.RANK.EQ('GPT4o-mini-Details'!N9,'GPT4o-mini-Details'!$N$2:$N$16)</f>
        <v>9</v>
      </c>
      <c r="G48">
        <f>_xlfn.RANK.EQ('GPT4o-mini-Details'!O9,'GPT4o-mini-Details'!$O$2:$O$16)</f>
        <v>1</v>
      </c>
    </row>
    <row r="49" spans="1:7" x14ac:dyDescent="0.25">
      <c r="A49">
        <v>64</v>
      </c>
      <c r="B49">
        <f>_xlfn.RANK.EQ('GPT4o-mini-Details'!J10,'GPT4o-mini-Details'!$J$2:$J$16)</f>
        <v>11</v>
      </c>
      <c r="C49">
        <f>_xlfn.RANK.EQ('GPT4o-mini-Details'!K10,'GPT4o-mini-Details'!$K$2:$K$16)</f>
        <v>13</v>
      </c>
      <c r="D49">
        <f>_xlfn.RANK.EQ('GPT4o-mini-Details'!L10,'GPT4o-mini-Details'!$L$2:$L$16)</f>
        <v>4</v>
      </c>
      <c r="E49">
        <f>_xlfn.RANK.EQ('GPT4o-mini-Details'!M10,'GPT4o-mini-Details'!$M$2:$M$16)</f>
        <v>6</v>
      </c>
      <c r="F49">
        <f>_xlfn.RANK.EQ('GPT4o-mini-Details'!N10,'GPT4o-mini-Details'!$N$2:$N$16)</f>
        <v>9</v>
      </c>
      <c r="G49">
        <f>_xlfn.RANK.EQ('GPT4o-mini-Details'!O10,'GPT4o-mini-Details'!$O$2:$O$16)</f>
        <v>9</v>
      </c>
    </row>
    <row r="50" spans="1:7" x14ac:dyDescent="0.25">
      <c r="A50">
        <v>65</v>
      </c>
      <c r="B50">
        <f>_xlfn.RANK.EQ('GPT4o-mini-Details'!J11,'GPT4o-mini-Details'!$J$2:$J$16)</f>
        <v>1</v>
      </c>
      <c r="C50">
        <f>_xlfn.RANK.EQ('GPT4o-mini-Details'!K11,'GPT4o-mini-Details'!$K$2:$K$16)</f>
        <v>1</v>
      </c>
      <c r="D50">
        <f>_xlfn.RANK.EQ('GPT4o-mini-Details'!L11,'GPT4o-mini-Details'!$L$2:$L$16)</f>
        <v>1</v>
      </c>
      <c r="E50">
        <f>_xlfn.RANK.EQ('GPT4o-mini-Details'!M11,'GPT4o-mini-Details'!$M$2:$M$16)</f>
        <v>3</v>
      </c>
      <c r="F50">
        <f>_xlfn.RANK.EQ('GPT4o-mini-Details'!N11,'GPT4o-mini-Details'!$N$2:$N$16)</f>
        <v>2</v>
      </c>
      <c r="G50">
        <f>_xlfn.RANK.EQ('GPT4o-mini-Details'!O11,'GPT4o-mini-Details'!$O$2:$O$16)</f>
        <v>8</v>
      </c>
    </row>
    <row r="51" spans="1:7" x14ac:dyDescent="0.25">
      <c r="A51">
        <v>84</v>
      </c>
      <c r="B51">
        <f>_xlfn.RANK.EQ('GPT4o-mini-Details'!J12,'GPT4o-mini-Details'!$J$2:$J$16)</f>
        <v>1</v>
      </c>
      <c r="C51">
        <f>_xlfn.RANK.EQ('GPT4o-mini-Details'!K12,'GPT4o-mini-Details'!$K$2:$K$16)</f>
        <v>7</v>
      </c>
      <c r="D51">
        <f>_xlfn.RANK.EQ('GPT4o-mini-Details'!L12,'GPT4o-mini-Details'!$L$2:$L$16)</f>
        <v>11</v>
      </c>
      <c r="E51">
        <f>_xlfn.RANK.EQ('GPT4o-mini-Details'!M12,'GPT4o-mini-Details'!$M$2:$M$16)</f>
        <v>10</v>
      </c>
      <c r="F51">
        <f>_xlfn.RANK.EQ('GPT4o-mini-Details'!N12,'GPT4o-mini-Details'!$N$2:$N$16)</f>
        <v>3</v>
      </c>
      <c r="G51">
        <f>_xlfn.RANK.EQ('GPT4o-mini-Details'!O12,'GPT4o-mini-Details'!$O$2:$O$16)</f>
        <v>3</v>
      </c>
    </row>
    <row r="52" spans="1:7" x14ac:dyDescent="0.25">
      <c r="A52">
        <v>89</v>
      </c>
      <c r="B52">
        <f>_xlfn.RANK.EQ('GPT4o-mini-Details'!J13,'GPT4o-mini-Details'!$J$2:$J$16)</f>
        <v>14</v>
      </c>
      <c r="C52">
        <f>_xlfn.RANK.EQ('GPT4o-mini-Details'!K13,'GPT4o-mini-Details'!$K$2:$K$16)</f>
        <v>15</v>
      </c>
      <c r="D52">
        <f>_xlfn.RANK.EQ('GPT4o-mini-Details'!L13,'GPT4o-mini-Details'!$L$2:$L$16)</f>
        <v>12</v>
      </c>
      <c r="E52">
        <f>_xlfn.RANK.EQ('GPT4o-mini-Details'!M13,'GPT4o-mini-Details'!$M$2:$M$16)</f>
        <v>14</v>
      </c>
      <c r="F52">
        <f>_xlfn.RANK.EQ('GPT4o-mini-Details'!N13,'GPT4o-mini-Details'!$N$2:$N$16)</f>
        <v>9</v>
      </c>
      <c r="G52">
        <f>_xlfn.RANK.EQ('GPT4o-mini-Details'!O13,'GPT4o-mini-Details'!$O$2:$O$16)</f>
        <v>9</v>
      </c>
    </row>
    <row r="53" spans="1:7" x14ac:dyDescent="0.25">
      <c r="A53">
        <v>91</v>
      </c>
      <c r="B53">
        <f>_xlfn.RANK.EQ('GPT4o-mini-Details'!J14,'GPT4o-mini-Details'!$J$2:$J$16)</f>
        <v>12</v>
      </c>
      <c r="C53">
        <f>_xlfn.RANK.EQ('GPT4o-mini-Details'!K14,'GPT4o-mini-Details'!$K$2:$K$16)</f>
        <v>14</v>
      </c>
      <c r="D53">
        <f>_xlfn.RANK.EQ('GPT4o-mini-Details'!L14,'GPT4o-mini-Details'!$L$2:$L$16)</f>
        <v>13</v>
      </c>
      <c r="E53">
        <f>_xlfn.RANK.EQ('GPT4o-mini-Details'!M14,'GPT4o-mini-Details'!$M$2:$M$16)</f>
        <v>5</v>
      </c>
      <c r="F53">
        <f>_xlfn.RANK.EQ('GPT4o-mini-Details'!N14,'GPT4o-mini-Details'!$N$2:$N$16)</f>
        <v>4</v>
      </c>
      <c r="G53">
        <f>_xlfn.RANK.EQ('GPT4o-mini-Details'!O14,'GPT4o-mini-Details'!$O$2:$O$16)</f>
        <v>9</v>
      </c>
    </row>
    <row r="54" spans="1:7" x14ac:dyDescent="0.25">
      <c r="A54">
        <v>97</v>
      </c>
      <c r="B54">
        <f>_xlfn.RANK.EQ('GPT4o-mini-Details'!J15,'GPT4o-mini-Details'!$J$2:$J$16)</f>
        <v>13</v>
      </c>
      <c r="C54">
        <f>_xlfn.RANK.EQ('GPT4o-mini-Details'!K15,'GPT4o-mini-Details'!$K$2:$K$16)</f>
        <v>8</v>
      </c>
      <c r="D54">
        <f>_xlfn.RANK.EQ('GPT4o-mini-Details'!L15,'GPT4o-mini-Details'!$L$2:$L$16)</f>
        <v>1</v>
      </c>
      <c r="E54">
        <f>_xlfn.RANK.EQ('GPT4o-mini-Details'!M15,'GPT4o-mini-Details'!$M$2:$M$16)</f>
        <v>4</v>
      </c>
      <c r="F54">
        <f>_xlfn.RANK.EQ('GPT4o-mini-Details'!N15,'GPT4o-mini-Details'!$N$2:$N$16)</f>
        <v>5</v>
      </c>
      <c r="G54">
        <f>_xlfn.RANK.EQ('GPT4o-mini-Details'!O15,'GPT4o-mini-Details'!$O$2:$O$16)</f>
        <v>6</v>
      </c>
    </row>
    <row r="55" spans="1:7" x14ac:dyDescent="0.25">
      <c r="A55">
        <v>110</v>
      </c>
      <c r="B55">
        <f>_xlfn.RANK.EQ('GPT4o-mini-Details'!J16,'GPT4o-mini-Details'!$J$2:$J$16)</f>
        <v>6</v>
      </c>
      <c r="C55">
        <f>_xlfn.RANK.EQ('GPT4o-mini-Details'!K16,'GPT4o-mini-Details'!$K$2:$K$16)</f>
        <v>10</v>
      </c>
      <c r="D55">
        <f>_xlfn.RANK.EQ('GPT4o-mini-Details'!L16,'GPT4o-mini-Details'!$L$2:$L$16)</f>
        <v>4</v>
      </c>
      <c r="E55">
        <f>_xlfn.RANK.EQ('GPT4o-mini-Details'!M16,'GPT4o-mini-Details'!$M$2:$M$16)</f>
        <v>8</v>
      </c>
      <c r="F55">
        <f>_xlfn.RANK.EQ('GPT4o-mini-Details'!N16,'GPT4o-mini-Details'!$N$2:$N$16)</f>
        <v>8</v>
      </c>
      <c r="G55">
        <f>_xlfn.RANK.EQ('GPT4o-mini-Details'!O16,'GPT4o-mini-Details'!$O$2:$O$16)</f>
        <v>9</v>
      </c>
    </row>
    <row r="58" spans="1:7" x14ac:dyDescent="0.25">
      <c r="A58" t="s">
        <v>184</v>
      </c>
    </row>
    <row r="59" spans="1:7" x14ac:dyDescent="0.25">
      <c r="A59" t="s">
        <v>157</v>
      </c>
      <c r="B59" t="s">
        <v>9</v>
      </c>
      <c r="C59" t="s">
        <v>10</v>
      </c>
      <c r="D59" t="s">
        <v>11</v>
      </c>
      <c r="E59" t="s">
        <v>12</v>
      </c>
      <c r="F59" t="s">
        <v>13</v>
      </c>
      <c r="G59" t="s">
        <v>14</v>
      </c>
    </row>
    <row r="60" spans="1:7" x14ac:dyDescent="0.25">
      <c r="A60">
        <v>1</v>
      </c>
      <c r="B60">
        <f>_xlfn.RANK.EQ('gpt-4.1-Details'!J2,'gpt-4.1-Details'!$J$2:$J$16)</f>
        <v>2</v>
      </c>
      <c r="C60">
        <f>_xlfn.RANK.EQ('gpt-4.1-Details'!K2,'gpt-4.1-Details'!$K$2:$K$16)</f>
        <v>1</v>
      </c>
      <c r="D60">
        <f>_xlfn.RANK.EQ('gpt-4.1-Details'!L2,'gpt-4.1-Details'!$L$2:$L$16)</f>
        <v>9</v>
      </c>
      <c r="E60">
        <f>_xlfn.RANK.EQ('gpt-4.1-Details'!M2,'gpt-4.1-Details'!$M$2:$M$16)</f>
        <v>13</v>
      </c>
      <c r="F60">
        <f>_xlfn.RANK.EQ('gpt-4.1-Details'!N2,'gpt-4.1-Details'!$N$2:$N$16)</f>
        <v>8</v>
      </c>
      <c r="G60">
        <f>_xlfn.RANK.EQ('gpt-4.1-Details'!O2,'gpt-4.1-Details'!$O$2:$O$16)</f>
        <v>7</v>
      </c>
    </row>
    <row r="61" spans="1:7" x14ac:dyDescent="0.25">
      <c r="A61">
        <v>8</v>
      </c>
      <c r="B61">
        <f>_xlfn.RANK.EQ('gpt-4.1-Details'!J3,'gpt-4.1-Details'!$J$2:$J$16)</f>
        <v>7</v>
      </c>
      <c r="C61">
        <f>_xlfn.RANK.EQ('gpt-4.1-Details'!K3,'gpt-4.1-Details'!$K$2:$K$16)</f>
        <v>10</v>
      </c>
      <c r="D61">
        <f>_xlfn.RANK.EQ('gpt-4.1-Details'!L3,'gpt-4.1-Details'!$L$2:$L$16)</f>
        <v>11</v>
      </c>
      <c r="E61">
        <f>_xlfn.RANK.EQ('gpt-4.1-Details'!M3,'gpt-4.1-Details'!$M$2:$M$16)</f>
        <v>12</v>
      </c>
      <c r="F61">
        <f>_xlfn.RANK.EQ('gpt-4.1-Details'!N3,'gpt-4.1-Details'!$N$2:$N$16)</f>
        <v>12</v>
      </c>
      <c r="G61">
        <f>_xlfn.RANK.EQ('gpt-4.1-Details'!O3,'gpt-4.1-Details'!$O$2:$O$16)</f>
        <v>9</v>
      </c>
    </row>
    <row r="62" spans="1:7" x14ac:dyDescent="0.25">
      <c r="A62">
        <v>11</v>
      </c>
      <c r="B62">
        <f>_xlfn.RANK.EQ('gpt-4.1-Details'!J4,'gpt-4.1-Details'!$J$2:$J$16)</f>
        <v>14</v>
      </c>
      <c r="C62">
        <f>_xlfn.RANK.EQ('gpt-4.1-Details'!K4,'gpt-4.1-Details'!$K$2:$K$16)</f>
        <v>1</v>
      </c>
      <c r="D62">
        <f>_xlfn.RANK.EQ('gpt-4.1-Details'!L4,'gpt-4.1-Details'!$L$2:$L$16)</f>
        <v>3</v>
      </c>
      <c r="E62">
        <f>_xlfn.RANK.EQ('gpt-4.1-Details'!M4,'gpt-4.1-Details'!$M$2:$M$16)</f>
        <v>11</v>
      </c>
      <c r="F62">
        <f>_xlfn.RANK.EQ('gpt-4.1-Details'!N4,'gpt-4.1-Details'!$N$2:$N$16)</f>
        <v>1</v>
      </c>
      <c r="G62">
        <f>_xlfn.RANK.EQ('gpt-4.1-Details'!O4,'gpt-4.1-Details'!$O$2:$O$16)</f>
        <v>9</v>
      </c>
    </row>
    <row r="63" spans="1:7" x14ac:dyDescent="0.25">
      <c r="A63">
        <v>17</v>
      </c>
      <c r="B63">
        <f>_xlfn.RANK.EQ('gpt-4.1-Details'!J5,'gpt-4.1-Details'!$J$2:$J$16)</f>
        <v>8</v>
      </c>
      <c r="C63">
        <f>_xlfn.RANK.EQ('gpt-4.1-Details'!K5,'gpt-4.1-Details'!$K$2:$K$16)</f>
        <v>10</v>
      </c>
      <c r="D63">
        <f>_xlfn.RANK.EQ('gpt-4.1-Details'!L5,'gpt-4.1-Details'!$L$2:$L$16)</f>
        <v>10</v>
      </c>
      <c r="E63">
        <f>_xlfn.RANK.EQ('gpt-4.1-Details'!M5,'gpt-4.1-Details'!$M$2:$M$16)</f>
        <v>7</v>
      </c>
      <c r="F63">
        <f>_xlfn.RANK.EQ('gpt-4.1-Details'!N5,'gpt-4.1-Details'!$N$2:$N$16)</f>
        <v>2</v>
      </c>
      <c r="G63">
        <f>_xlfn.RANK.EQ('gpt-4.1-Details'!O5,'gpt-4.1-Details'!$O$2:$O$16)</f>
        <v>9</v>
      </c>
    </row>
    <row r="64" spans="1:7" x14ac:dyDescent="0.25">
      <c r="A64">
        <v>20</v>
      </c>
      <c r="B64">
        <f>_xlfn.RANK.EQ('gpt-4.1-Details'!J6,'gpt-4.1-Details'!$J$2:$J$16)</f>
        <v>4</v>
      </c>
      <c r="C64">
        <f>_xlfn.RANK.EQ('gpt-4.1-Details'!K6,'gpt-4.1-Details'!$K$2:$K$16)</f>
        <v>5</v>
      </c>
      <c r="D64">
        <f>_xlfn.RANK.EQ('gpt-4.1-Details'!L6,'gpt-4.1-Details'!$L$2:$L$16)</f>
        <v>8</v>
      </c>
      <c r="E64">
        <f>_xlfn.RANK.EQ('gpt-4.1-Details'!M6,'gpt-4.1-Details'!$M$2:$M$16)</f>
        <v>15</v>
      </c>
      <c r="F64">
        <f>_xlfn.RANK.EQ('gpt-4.1-Details'!N6,'gpt-4.1-Details'!$N$2:$N$16)</f>
        <v>8</v>
      </c>
      <c r="G64">
        <f>_xlfn.RANK.EQ('gpt-4.1-Details'!O6,'gpt-4.1-Details'!$O$2:$O$16)</f>
        <v>8</v>
      </c>
    </row>
    <row r="65" spans="1:7" x14ac:dyDescent="0.25">
      <c r="A65">
        <v>30</v>
      </c>
      <c r="B65">
        <f>_xlfn.RANK.EQ('gpt-4.1-Details'!J7,'gpt-4.1-Details'!$J$2:$J$16)</f>
        <v>1</v>
      </c>
      <c r="C65">
        <f>_xlfn.RANK.EQ('gpt-4.1-Details'!K7,'gpt-4.1-Details'!$K$2:$K$16)</f>
        <v>1</v>
      </c>
      <c r="D65">
        <f>_xlfn.RANK.EQ('gpt-4.1-Details'!L7,'gpt-4.1-Details'!$L$2:$L$16)</f>
        <v>5</v>
      </c>
      <c r="E65">
        <f>_xlfn.RANK.EQ('gpt-4.1-Details'!M7,'gpt-4.1-Details'!$M$2:$M$16)</f>
        <v>1</v>
      </c>
      <c r="F65">
        <f>_xlfn.RANK.EQ('gpt-4.1-Details'!N7,'gpt-4.1-Details'!$N$2:$N$16)</f>
        <v>3</v>
      </c>
      <c r="G65">
        <f>_xlfn.RANK.EQ('gpt-4.1-Details'!O7,'gpt-4.1-Details'!$O$2:$O$16)</f>
        <v>5</v>
      </c>
    </row>
    <row r="66" spans="1:7" x14ac:dyDescent="0.25">
      <c r="A66">
        <v>33</v>
      </c>
      <c r="B66">
        <f>_xlfn.RANK.EQ('gpt-4.1-Details'!J8,'gpt-4.1-Details'!$J$2:$J$16)</f>
        <v>15</v>
      </c>
      <c r="C66">
        <f>_xlfn.RANK.EQ('gpt-4.1-Details'!K8,'gpt-4.1-Details'!$K$2:$K$16)</f>
        <v>10</v>
      </c>
      <c r="D66">
        <f>_xlfn.RANK.EQ('gpt-4.1-Details'!L8,'gpt-4.1-Details'!$L$2:$L$16)</f>
        <v>11</v>
      </c>
      <c r="E66">
        <f>_xlfn.RANK.EQ('gpt-4.1-Details'!M8,'gpt-4.1-Details'!$M$2:$M$16)</f>
        <v>9</v>
      </c>
      <c r="F66">
        <f>_xlfn.RANK.EQ('gpt-4.1-Details'!N8,'gpt-4.1-Details'!$N$2:$N$16)</f>
        <v>12</v>
      </c>
      <c r="G66">
        <f>_xlfn.RANK.EQ('gpt-4.1-Details'!O8,'gpt-4.1-Details'!$O$2:$O$16)</f>
        <v>2</v>
      </c>
    </row>
    <row r="67" spans="1:7" x14ac:dyDescent="0.25">
      <c r="A67">
        <v>34</v>
      </c>
      <c r="B67">
        <f>_xlfn.RANK.EQ('gpt-4.1-Details'!J9,'gpt-4.1-Details'!$J$2:$J$16)</f>
        <v>13</v>
      </c>
      <c r="C67">
        <f>_xlfn.RANK.EQ('gpt-4.1-Details'!K9,'gpt-4.1-Details'!$K$2:$K$16)</f>
        <v>10</v>
      </c>
      <c r="D67">
        <f>_xlfn.RANK.EQ('gpt-4.1-Details'!L9,'gpt-4.1-Details'!$L$2:$L$16)</f>
        <v>11</v>
      </c>
      <c r="E67">
        <f>_xlfn.RANK.EQ('gpt-4.1-Details'!M9,'gpt-4.1-Details'!$M$2:$M$16)</f>
        <v>6</v>
      </c>
      <c r="F67">
        <f>_xlfn.RANK.EQ('gpt-4.1-Details'!N9,'gpt-4.1-Details'!$N$2:$N$16)</f>
        <v>10</v>
      </c>
      <c r="G67">
        <f>_xlfn.RANK.EQ('gpt-4.1-Details'!O9,'gpt-4.1-Details'!$O$2:$O$16)</f>
        <v>9</v>
      </c>
    </row>
    <row r="68" spans="1:7" x14ac:dyDescent="0.25">
      <c r="A68">
        <v>64</v>
      </c>
      <c r="B68">
        <f>_xlfn.RANK.EQ('gpt-4.1-Details'!J10,'gpt-4.1-Details'!$J$2:$J$16)</f>
        <v>12</v>
      </c>
      <c r="C68">
        <f>_xlfn.RANK.EQ('gpt-4.1-Details'!K10,'gpt-4.1-Details'!$K$2:$K$16)</f>
        <v>1</v>
      </c>
      <c r="D68">
        <f>_xlfn.RANK.EQ('gpt-4.1-Details'!L10,'gpt-4.1-Details'!$L$2:$L$16)</f>
        <v>7</v>
      </c>
      <c r="E68">
        <f>_xlfn.RANK.EQ('gpt-4.1-Details'!M10,'gpt-4.1-Details'!$M$2:$M$16)</f>
        <v>3</v>
      </c>
      <c r="F68">
        <f>_xlfn.RANK.EQ('gpt-4.1-Details'!N10,'gpt-4.1-Details'!$N$2:$N$16)</f>
        <v>4</v>
      </c>
      <c r="G68">
        <f>_xlfn.RANK.EQ('gpt-4.1-Details'!O10,'gpt-4.1-Details'!$O$2:$O$16)</f>
        <v>9</v>
      </c>
    </row>
    <row r="69" spans="1:7" x14ac:dyDescent="0.25">
      <c r="A69">
        <v>65</v>
      </c>
      <c r="B69">
        <f>_xlfn.RANK.EQ('gpt-4.1-Details'!J11,'gpt-4.1-Details'!$J$2:$J$16)</f>
        <v>3</v>
      </c>
      <c r="C69">
        <f>_xlfn.RANK.EQ('gpt-4.1-Details'!K11,'gpt-4.1-Details'!$K$2:$K$16)</f>
        <v>8</v>
      </c>
      <c r="D69">
        <f>_xlfn.RANK.EQ('gpt-4.1-Details'!L11,'gpt-4.1-Details'!$L$2:$L$16)</f>
        <v>6</v>
      </c>
      <c r="E69">
        <f>_xlfn.RANK.EQ('gpt-4.1-Details'!M11,'gpt-4.1-Details'!$M$2:$M$16)</f>
        <v>10</v>
      </c>
      <c r="F69">
        <f>_xlfn.RANK.EQ('gpt-4.1-Details'!N11,'gpt-4.1-Details'!$N$2:$N$16)</f>
        <v>12</v>
      </c>
      <c r="G69">
        <f>_xlfn.RANK.EQ('gpt-4.1-Details'!O11,'gpt-4.1-Details'!$O$2:$O$16)</f>
        <v>3</v>
      </c>
    </row>
    <row r="70" spans="1:7" x14ac:dyDescent="0.25">
      <c r="A70">
        <v>84</v>
      </c>
      <c r="B70">
        <f>_xlfn.RANK.EQ('gpt-4.1-Details'!J12,'gpt-4.1-Details'!$J$2:$J$16)</f>
        <v>10</v>
      </c>
      <c r="C70">
        <f>_xlfn.RANK.EQ('gpt-4.1-Details'!K12,'gpt-4.1-Details'!$K$2:$K$16)</f>
        <v>10</v>
      </c>
      <c r="D70">
        <f>_xlfn.RANK.EQ('gpt-4.1-Details'!L12,'gpt-4.1-Details'!$L$2:$L$16)</f>
        <v>11</v>
      </c>
      <c r="E70">
        <f>_xlfn.RANK.EQ('gpt-4.1-Details'!M12,'gpt-4.1-Details'!$M$2:$M$16)</f>
        <v>14</v>
      </c>
      <c r="F70">
        <f>_xlfn.RANK.EQ('gpt-4.1-Details'!N12,'gpt-4.1-Details'!$N$2:$N$16)</f>
        <v>12</v>
      </c>
      <c r="G70">
        <f>_xlfn.RANK.EQ('gpt-4.1-Details'!O12,'gpt-4.1-Details'!$O$2:$O$16)</f>
        <v>9</v>
      </c>
    </row>
    <row r="71" spans="1:7" x14ac:dyDescent="0.25">
      <c r="A71">
        <v>89</v>
      </c>
      <c r="B71">
        <f>_xlfn.RANK.EQ('gpt-4.1-Details'!J13,'gpt-4.1-Details'!$J$2:$J$16)</f>
        <v>5</v>
      </c>
      <c r="C71">
        <f>_xlfn.RANK.EQ('gpt-4.1-Details'!K13,'gpt-4.1-Details'!$K$2:$K$16)</f>
        <v>7</v>
      </c>
      <c r="D71">
        <f>_xlfn.RANK.EQ('gpt-4.1-Details'!L13,'gpt-4.1-Details'!$L$2:$L$16)</f>
        <v>4</v>
      </c>
      <c r="E71">
        <f>_xlfn.RANK.EQ('gpt-4.1-Details'!M13,'gpt-4.1-Details'!$M$2:$M$16)</f>
        <v>5</v>
      </c>
      <c r="F71">
        <f>_xlfn.RANK.EQ('gpt-4.1-Details'!N13,'gpt-4.1-Details'!$N$2:$N$16)</f>
        <v>6</v>
      </c>
      <c r="G71">
        <f>_xlfn.RANK.EQ('gpt-4.1-Details'!O13,'gpt-4.1-Details'!$O$2:$O$16)</f>
        <v>9</v>
      </c>
    </row>
    <row r="72" spans="1:7" x14ac:dyDescent="0.25">
      <c r="A72">
        <v>91</v>
      </c>
      <c r="B72">
        <f>_xlfn.RANK.EQ('gpt-4.1-Details'!J14,'gpt-4.1-Details'!$J$2:$J$16)</f>
        <v>10</v>
      </c>
      <c r="C72">
        <f>_xlfn.RANK.EQ('gpt-4.1-Details'!K14,'gpt-4.1-Details'!$K$2:$K$16)</f>
        <v>6</v>
      </c>
      <c r="D72">
        <f>_xlfn.RANK.EQ('gpt-4.1-Details'!L14,'gpt-4.1-Details'!$L$2:$L$16)</f>
        <v>1</v>
      </c>
      <c r="E72">
        <f>_xlfn.RANK.EQ('gpt-4.1-Details'!M14,'gpt-4.1-Details'!$M$2:$M$16)</f>
        <v>4</v>
      </c>
      <c r="F72">
        <f>_xlfn.RANK.EQ('gpt-4.1-Details'!N14,'gpt-4.1-Details'!$N$2:$N$16)</f>
        <v>7</v>
      </c>
      <c r="G72">
        <f>_xlfn.RANK.EQ('gpt-4.1-Details'!O14,'gpt-4.1-Details'!$O$2:$O$16)</f>
        <v>6</v>
      </c>
    </row>
    <row r="73" spans="1:7" x14ac:dyDescent="0.25">
      <c r="A73">
        <v>97</v>
      </c>
      <c r="B73">
        <f>_xlfn.RANK.EQ('gpt-4.1-Details'!J15,'gpt-4.1-Details'!$J$2:$J$16)</f>
        <v>8</v>
      </c>
      <c r="C73">
        <f>_xlfn.RANK.EQ('gpt-4.1-Details'!K15,'gpt-4.1-Details'!$K$2:$K$16)</f>
        <v>9</v>
      </c>
      <c r="D73">
        <f>_xlfn.RANK.EQ('gpt-4.1-Details'!L15,'gpt-4.1-Details'!$L$2:$L$16)</f>
        <v>2</v>
      </c>
      <c r="E73">
        <f>_xlfn.RANK.EQ('gpt-4.1-Details'!M15,'gpt-4.1-Details'!$M$2:$M$16)</f>
        <v>8</v>
      </c>
      <c r="F73">
        <f>_xlfn.RANK.EQ('gpt-4.1-Details'!N15,'gpt-4.1-Details'!$N$2:$N$16)</f>
        <v>11</v>
      </c>
      <c r="G73">
        <f>_xlfn.RANK.EQ('gpt-4.1-Details'!O15,'gpt-4.1-Details'!$O$2:$O$16)</f>
        <v>1</v>
      </c>
    </row>
    <row r="74" spans="1:7" x14ac:dyDescent="0.25">
      <c r="A74">
        <v>110</v>
      </c>
      <c r="B74">
        <f>_xlfn.RANK.EQ('gpt-4.1-Details'!J16,'gpt-4.1-Details'!$J$2:$J$16)</f>
        <v>6</v>
      </c>
      <c r="C74">
        <f>_xlfn.RANK.EQ('gpt-4.1-Details'!K16,'gpt-4.1-Details'!$K$2:$K$16)</f>
        <v>10</v>
      </c>
      <c r="D74">
        <f>_xlfn.RANK.EQ('gpt-4.1-Details'!L16,'gpt-4.1-Details'!$L$2:$L$16)</f>
        <v>11</v>
      </c>
      <c r="E74">
        <f>_xlfn.RANK.EQ('gpt-4.1-Details'!M16,'gpt-4.1-Details'!$M$2:$M$16)</f>
        <v>2</v>
      </c>
      <c r="F74">
        <f>_xlfn.RANK.EQ('gpt-4.1-Details'!N16,'gpt-4.1-Details'!$N$2:$N$16)</f>
        <v>5</v>
      </c>
      <c r="G74">
        <f>_xlfn.RANK.EQ('gpt-4.1-Details'!O16,'gpt-4.1-Details'!$O$2:$O$16)</f>
        <v>4</v>
      </c>
    </row>
    <row r="77" spans="1:7" x14ac:dyDescent="0.25">
      <c r="A77" t="s">
        <v>185</v>
      </c>
    </row>
    <row r="78" spans="1:7" x14ac:dyDescent="0.25">
      <c r="A78" t="s">
        <v>157</v>
      </c>
      <c r="B78" t="s">
        <v>9</v>
      </c>
      <c r="C78" t="s">
        <v>10</v>
      </c>
      <c r="D78" t="s">
        <v>11</v>
      </c>
      <c r="E78" t="s">
        <v>12</v>
      </c>
      <c r="F78" t="s">
        <v>13</v>
      </c>
      <c r="G78" t="s">
        <v>14</v>
      </c>
    </row>
    <row r="79" spans="1:7" x14ac:dyDescent="0.25">
      <c r="A79">
        <v>1</v>
      </c>
      <c r="B79">
        <f>_xlfn.RANK.EQ('gpt-5.2-Details'!J2,'gpt-5.2-Details'!$J$2:$J$16)</f>
        <v>5</v>
      </c>
      <c r="C79">
        <f>_xlfn.RANK.EQ('gpt-5.2-Details'!K2,'gpt-5.2-Details'!$K$2:$K$16)</f>
        <v>6</v>
      </c>
      <c r="D79">
        <f>_xlfn.RANK.EQ('gpt-5.2-Details'!L2,'gpt-5.2-Details'!$L$2:$L$16)</f>
        <v>9</v>
      </c>
      <c r="E79">
        <f>_xlfn.RANK.EQ('gpt-5.2-Details'!M2,'gpt-5.2-Details'!$M$2:$M$16)</f>
        <v>13</v>
      </c>
      <c r="F79">
        <f>_xlfn.RANK.EQ('gpt-5.2-Details'!N2,'gpt-5.2-Details'!$N$2:$N$16)</f>
        <v>1</v>
      </c>
      <c r="G79">
        <f>_xlfn.RANK.EQ('gpt-5.2-Details'!O2,'gpt-5.2-Details'!$O$2:$O$16)</f>
        <v>7</v>
      </c>
    </row>
    <row r="80" spans="1:7" x14ac:dyDescent="0.25">
      <c r="A80">
        <v>8</v>
      </c>
      <c r="B80">
        <f>_xlfn.RANK.EQ('gpt-5.2-Details'!J3,'gpt-5.2-Details'!$J$2:$J$16)</f>
        <v>7</v>
      </c>
      <c r="C80">
        <f>_xlfn.RANK.EQ('gpt-5.2-Details'!K3,'gpt-5.2-Details'!$K$2:$K$16)</f>
        <v>6</v>
      </c>
      <c r="D80">
        <f>_xlfn.RANK.EQ('gpt-5.2-Details'!L3,'gpt-5.2-Details'!$L$2:$L$16)</f>
        <v>10</v>
      </c>
      <c r="E80">
        <f>_xlfn.RANK.EQ('gpt-5.2-Details'!M3,'gpt-5.2-Details'!$M$2:$M$16)</f>
        <v>12</v>
      </c>
      <c r="F80">
        <f>_xlfn.RANK.EQ('gpt-5.2-Details'!N3,'gpt-5.2-Details'!$N$2:$N$16)</f>
        <v>10</v>
      </c>
      <c r="G80">
        <f>_xlfn.RANK.EQ('gpt-5.2-Details'!O3,'gpt-5.2-Details'!$O$2:$O$16)</f>
        <v>3</v>
      </c>
    </row>
    <row r="81" spans="1:7" x14ac:dyDescent="0.25">
      <c r="A81">
        <v>11</v>
      </c>
      <c r="B81">
        <f>_xlfn.RANK.EQ('gpt-5.2-Details'!J4,'gpt-5.2-Details'!$J$2:$J$16)</f>
        <v>10</v>
      </c>
      <c r="C81">
        <f>_xlfn.RANK.EQ('gpt-5.2-Details'!K4,'gpt-5.2-Details'!$K$2:$K$16)</f>
        <v>1</v>
      </c>
      <c r="D81">
        <f>_xlfn.RANK.EQ('gpt-5.2-Details'!L4,'gpt-5.2-Details'!$L$2:$L$16)</f>
        <v>1</v>
      </c>
      <c r="E81">
        <f>_xlfn.RANK.EQ('gpt-5.2-Details'!M4,'gpt-5.2-Details'!$M$2:$M$16)</f>
        <v>11</v>
      </c>
      <c r="F81">
        <f>_xlfn.RANK.EQ('gpt-5.2-Details'!N4,'gpt-5.2-Details'!$N$2:$N$16)</f>
        <v>2</v>
      </c>
      <c r="G81">
        <f>_xlfn.RANK.EQ('gpt-5.2-Details'!O4,'gpt-5.2-Details'!$O$2:$O$16)</f>
        <v>12</v>
      </c>
    </row>
    <row r="82" spans="1:7" x14ac:dyDescent="0.25">
      <c r="A82">
        <v>17</v>
      </c>
      <c r="B82">
        <f>_xlfn.RANK.EQ('gpt-5.2-Details'!J5,'gpt-5.2-Details'!$J$2:$J$16)</f>
        <v>13</v>
      </c>
      <c r="C82">
        <f>_xlfn.RANK.EQ('gpt-5.2-Details'!K5,'gpt-5.2-Details'!$K$2:$K$16)</f>
        <v>6</v>
      </c>
      <c r="D82">
        <f>_xlfn.RANK.EQ('gpt-5.2-Details'!L5,'gpt-5.2-Details'!$L$2:$L$16)</f>
        <v>10</v>
      </c>
      <c r="E82">
        <f>_xlfn.RANK.EQ('gpt-5.2-Details'!M5,'gpt-5.2-Details'!$M$2:$M$16)</f>
        <v>7</v>
      </c>
      <c r="F82">
        <f>_xlfn.RANK.EQ('gpt-5.2-Details'!N5,'gpt-5.2-Details'!$N$2:$N$16)</f>
        <v>4</v>
      </c>
      <c r="G82">
        <f>_xlfn.RANK.EQ('gpt-5.2-Details'!O5,'gpt-5.2-Details'!$O$2:$O$16)</f>
        <v>12</v>
      </c>
    </row>
    <row r="83" spans="1:7" x14ac:dyDescent="0.25">
      <c r="A83">
        <v>20</v>
      </c>
      <c r="B83">
        <f>_xlfn.RANK.EQ('gpt-5.2-Details'!J6,'gpt-5.2-Details'!$J$2:$J$16)</f>
        <v>3</v>
      </c>
      <c r="C83">
        <f>_xlfn.RANK.EQ('gpt-5.2-Details'!K6,'gpt-5.2-Details'!$K$2:$K$16)</f>
        <v>6</v>
      </c>
      <c r="D83">
        <f>_xlfn.RANK.EQ('gpt-5.2-Details'!L6,'gpt-5.2-Details'!$L$2:$L$16)</f>
        <v>2</v>
      </c>
      <c r="E83">
        <f>_xlfn.RANK.EQ('gpt-5.2-Details'!M6,'gpt-5.2-Details'!$M$2:$M$16)</f>
        <v>15</v>
      </c>
      <c r="F83">
        <f>_xlfn.RANK.EQ('gpt-5.2-Details'!N6,'gpt-5.2-Details'!$N$2:$N$16)</f>
        <v>8</v>
      </c>
      <c r="G83">
        <f>_xlfn.RANK.EQ('gpt-5.2-Details'!O6,'gpt-5.2-Details'!$O$2:$O$16)</f>
        <v>10</v>
      </c>
    </row>
    <row r="84" spans="1:7" x14ac:dyDescent="0.25">
      <c r="A84">
        <v>30</v>
      </c>
      <c r="B84">
        <f>_xlfn.RANK.EQ('gpt-5.2-Details'!J7,'gpt-5.2-Details'!$J$2:$J$16)</f>
        <v>2</v>
      </c>
      <c r="C84">
        <f>_xlfn.RANK.EQ('gpt-5.2-Details'!K7,'gpt-5.2-Details'!$K$2:$K$16)</f>
        <v>6</v>
      </c>
      <c r="D84">
        <f>_xlfn.RANK.EQ('gpt-5.2-Details'!L7,'gpt-5.2-Details'!$L$2:$L$16)</f>
        <v>10</v>
      </c>
      <c r="E84">
        <f>_xlfn.RANK.EQ('gpt-5.2-Details'!M7,'gpt-5.2-Details'!$M$2:$M$16)</f>
        <v>2</v>
      </c>
      <c r="F84">
        <f>_xlfn.RANK.EQ('gpt-5.2-Details'!N7,'gpt-5.2-Details'!$N$2:$N$16)</f>
        <v>10</v>
      </c>
      <c r="G84">
        <f>_xlfn.RANK.EQ('gpt-5.2-Details'!O7,'gpt-5.2-Details'!$O$2:$O$16)</f>
        <v>5</v>
      </c>
    </row>
    <row r="85" spans="1:7" x14ac:dyDescent="0.25">
      <c r="A85">
        <v>33</v>
      </c>
      <c r="B85">
        <f>_xlfn.RANK.EQ('gpt-5.2-Details'!J8,'gpt-5.2-Details'!$J$2:$J$16)</f>
        <v>6</v>
      </c>
      <c r="C85">
        <f>_xlfn.RANK.EQ('gpt-5.2-Details'!K8,'gpt-5.2-Details'!$K$2:$K$16)</f>
        <v>1</v>
      </c>
      <c r="D85">
        <f>_xlfn.RANK.EQ('gpt-5.2-Details'!L8,'gpt-5.2-Details'!$L$2:$L$16)</f>
        <v>5</v>
      </c>
      <c r="E85">
        <f>_xlfn.RANK.EQ('gpt-5.2-Details'!M8,'gpt-5.2-Details'!$M$2:$M$16)</f>
        <v>1</v>
      </c>
      <c r="F85">
        <f>_xlfn.RANK.EQ('gpt-5.2-Details'!N8,'gpt-5.2-Details'!$N$2:$N$16)</f>
        <v>3</v>
      </c>
      <c r="G85">
        <f>_xlfn.RANK.EQ('gpt-5.2-Details'!O8,'gpt-5.2-Details'!$O$2:$O$16)</f>
        <v>6</v>
      </c>
    </row>
    <row r="86" spans="1:7" x14ac:dyDescent="0.25">
      <c r="A86">
        <v>34</v>
      </c>
      <c r="B86">
        <f>_xlfn.RANK.EQ('gpt-5.2-Details'!J9,'gpt-5.2-Details'!$J$2:$J$16)</f>
        <v>14</v>
      </c>
      <c r="C86">
        <f>_xlfn.RANK.EQ('gpt-5.2-Details'!K9,'gpt-5.2-Details'!$K$2:$K$16)</f>
        <v>6</v>
      </c>
      <c r="D86">
        <f>_xlfn.RANK.EQ('gpt-5.2-Details'!L9,'gpt-5.2-Details'!$L$2:$L$16)</f>
        <v>10</v>
      </c>
      <c r="E86">
        <f>_xlfn.RANK.EQ('gpt-5.2-Details'!M9,'gpt-5.2-Details'!$M$2:$M$16)</f>
        <v>9</v>
      </c>
      <c r="F86">
        <f>_xlfn.RANK.EQ('gpt-5.2-Details'!N9,'gpt-5.2-Details'!$N$2:$N$16)</f>
        <v>10</v>
      </c>
      <c r="G86">
        <f>_xlfn.RANK.EQ('gpt-5.2-Details'!O9,'gpt-5.2-Details'!$O$2:$O$16)</f>
        <v>2</v>
      </c>
    </row>
    <row r="87" spans="1:7" x14ac:dyDescent="0.25">
      <c r="A87">
        <v>64</v>
      </c>
      <c r="B87">
        <f>_xlfn.RANK.EQ('gpt-5.2-Details'!J10,'gpt-5.2-Details'!$J$2:$J$16)</f>
        <v>9</v>
      </c>
      <c r="C87">
        <f>_xlfn.RANK.EQ('gpt-5.2-Details'!K10,'gpt-5.2-Details'!$K$2:$K$16)</f>
        <v>6</v>
      </c>
      <c r="D87">
        <f>_xlfn.RANK.EQ('gpt-5.2-Details'!L10,'gpt-5.2-Details'!$L$2:$L$16)</f>
        <v>10</v>
      </c>
      <c r="E87">
        <f>_xlfn.RANK.EQ('gpt-5.2-Details'!M10,'gpt-5.2-Details'!$M$2:$M$16)</f>
        <v>6</v>
      </c>
      <c r="F87">
        <f>_xlfn.RANK.EQ('gpt-5.2-Details'!N10,'gpt-5.2-Details'!$N$2:$N$16)</f>
        <v>10</v>
      </c>
      <c r="G87">
        <f>_xlfn.RANK.EQ('gpt-5.2-Details'!O10,'gpt-5.2-Details'!$O$2:$O$16)</f>
        <v>12</v>
      </c>
    </row>
    <row r="88" spans="1:7" x14ac:dyDescent="0.25">
      <c r="A88">
        <v>65</v>
      </c>
      <c r="B88">
        <f>_xlfn.RANK.EQ('gpt-5.2-Details'!J11,'gpt-5.2-Details'!$J$2:$J$16)</f>
        <v>8</v>
      </c>
      <c r="C88">
        <f>_xlfn.RANK.EQ('gpt-5.2-Details'!K11,'gpt-5.2-Details'!$K$2:$K$16)</f>
        <v>3</v>
      </c>
      <c r="D88">
        <f>_xlfn.RANK.EQ('gpt-5.2-Details'!L11,'gpt-5.2-Details'!$L$2:$L$16)</f>
        <v>2</v>
      </c>
      <c r="E88">
        <f>_xlfn.RANK.EQ('gpt-5.2-Details'!M11,'gpt-5.2-Details'!$M$2:$M$16)</f>
        <v>3</v>
      </c>
      <c r="F88">
        <f>_xlfn.RANK.EQ('gpt-5.2-Details'!N11,'gpt-5.2-Details'!$N$2:$N$16)</f>
        <v>5</v>
      </c>
      <c r="G88">
        <f>_xlfn.RANK.EQ('gpt-5.2-Details'!O11,'gpt-5.2-Details'!$O$2:$O$16)</f>
        <v>11</v>
      </c>
    </row>
    <row r="89" spans="1:7" x14ac:dyDescent="0.25">
      <c r="A89">
        <v>84</v>
      </c>
      <c r="B89">
        <f>_xlfn.RANK.EQ('gpt-5.2-Details'!J12,'gpt-5.2-Details'!$J$2:$J$16)</f>
        <v>1</v>
      </c>
      <c r="C89">
        <f>_xlfn.RANK.EQ('gpt-5.2-Details'!K12,'gpt-5.2-Details'!$K$2:$K$16)</f>
        <v>6</v>
      </c>
      <c r="D89">
        <f>_xlfn.RANK.EQ('gpt-5.2-Details'!L12,'gpt-5.2-Details'!$L$2:$L$16)</f>
        <v>2</v>
      </c>
      <c r="E89">
        <f>_xlfn.RANK.EQ('gpt-5.2-Details'!M12,'gpt-5.2-Details'!$M$2:$M$16)</f>
        <v>10</v>
      </c>
      <c r="F89">
        <f>_xlfn.RANK.EQ('gpt-5.2-Details'!N12,'gpt-5.2-Details'!$N$2:$N$16)</f>
        <v>10</v>
      </c>
      <c r="G89">
        <f>_xlfn.RANK.EQ('gpt-5.2-Details'!O12,'gpt-5.2-Details'!$O$2:$O$16)</f>
        <v>4</v>
      </c>
    </row>
    <row r="90" spans="1:7" x14ac:dyDescent="0.25">
      <c r="A90">
        <v>89</v>
      </c>
      <c r="B90">
        <f>_xlfn.RANK.EQ('gpt-5.2-Details'!J13,'gpt-5.2-Details'!$J$2:$J$16)</f>
        <v>14</v>
      </c>
      <c r="C90">
        <f>_xlfn.RANK.EQ('gpt-5.2-Details'!K13,'gpt-5.2-Details'!$K$2:$K$16)</f>
        <v>6</v>
      </c>
      <c r="D90">
        <f>_xlfn.RANK.EQ('gpt-5.2-Details'!L13,'gpt-5.2-Details'!$L$2:$L$16)</f>
        <v>10</v>
      </c>
      <c r="E90">
        <f>_xlfn.RANK.EQ('gpt-5.2-Details'!M13,'gpt-5.2-Details'!$M$2:$M$16)</f>
        <v>14</v>
      </c>
      <c r="F90">
        <f>_xlfn.RANK.EQ('gpt-5.2-Details'!N13,'gpt-5.2-Details'!$N$2:$N$16)</f>
        <v>10</v>
      </c>
      <c r="G90">
        <f>_xlfn.RANK.EQ('gpt-5.2-Details'!O13,'gpt-5.2-Details'!$O$2:$O$16)</f>
        <v>12</v>
      </c>
    </row>
    <row r="91" spans="1:7" x14ac:dyDescent="0.25">
      <c r="A91">
        <v>91</v>
      </c>
      <c r="B91">
        <f>_xlfn.RANK.EQ('gpt-5.2-Details'!J14,'gpt-5.2-Details'!$J$2:$J$16)</f>
        <v>4</v>
      </c>
      <c r="C91">
        <f>_xlfn.RANK.EQ('gpt-5.2-Details'!K14,'gpt-5.2-Details'!$K$2:$K$16)</f>
        <v>4</v>
      </c>
      <c r="D91">
        <f>_xlfn.RANK.EQ('gpt-5.2-Details'!L14,'gpt-5.2-Details'!$L$2:$L$16)</f>
        <v>7</v>
      </c>
      <c r="E91">
        <f>_xlfn.RANK.EQ('gpt-5.2-Details'!M14,'gpt-5.2-Details'!$M$2:$M$16)</f>
        <v>5</v>
      </c>
      <c r="F91">
        <f>_xlfn.RANK.EQ('gpt-5.2-Details'!N14,'gpt-5.2-Details'!$N$2:$N$16)</f>
        <v>6</v>
      </c>
      <c r="G91">
        <f>_xlfn.RANK.EQ('gpt-5.2-Details'!O14,'gpt-5.2-Details'!$O$2:$O$16)</f>
        <v>8</v>
      </c>
    </row>
    <row r="92" spans="1:7" x14ac:dyDescent="0.25">
      <c r="A92">
        <v>97</v>
      </c>
      <c r="B92">
        <f>_xlfn.RANK.EQ('gpt-5.2-Details'!J15,'gpt-5.2-Details'!$J$2:$J$16)</f>
        <v>11</v>
      </c>
      <c r="C92">
        <f>_xlfn.RANK.EQ('gpt-5.2-Details'!K15,'gpt-5.2-Details'!$K$2:$K$16)</f>
        <v>5</v>
      </c>
      <c r="D92">
        <f>_xlfn.RANK.EQ('gpt-5.2-Details'!L15,'gpt-5.2-Details'!$L$2:$L$16)</f>
        <v>6</v>
      </c>
      <c r="E92">
        <f>_xlfn.RANK.EQ('gpt-5.2-Details'!M15,'gpt-5.2-Details'!$M$2:$M$16)</f>
        <v>4</v>
      </c>
      <c r="F92">
        <f>_xlfn.RANK.EQ('gpt-5.2-Details'!N15,'gpt-5.2-Details'!$N$2:$N$16)</f>
        <v>7</v>
      </c>
      <c r="G92">
        <f>_xlfn.RANK.EQ('gpt-5.2-Details'!O15,'gpt-5.2-Details'!$O$2:$O$16)</f>
        <v>9</v>
      </c>
    </row>
    <row r="93" spans="1:7" x14ac:dyDescent="0.25">
      <c r="A93">
        <v>110</v>
      </c>
      <c r="B93">
        <f>_xlfn.RANK.EQ('gpt-5.2-Details'!J16,'gpt-5.2-Details'!$J$2:$J$16)</f>
        <v>12</v>
      </c>
      <c r="C93">
        <f>_xlfn.RANK.EQ('gpt-5.2-Details'!K16,'gpt-5.2-Details'!$K$2:$K$16)</f>
        <v>6</v>
      </c>
      <c r="D93">
        <f>_xlfn.RANK.EQ('gpt-5.2-Details'!L16,'gpt-5.2-Details'!$L$2:$L$16)</f>
        <v>7</v>
      </c>
      <c r="E93">
        <f>_xlfn.RANK.EQ('gpt-5.2-Details'!M16,'gpt-5.2-Details'!$M$2:$M$16)</f>
        <v>8</v>
      </c>
      <c r="F93">
        <f>_xlfn.RANK.EQ('gpt-5.2-Details'!N16,'gpt-5.2-Details'!$N$2:$N$16)</f>
        <v>9</v>
      </c>
      <c r="G93">
        <f>_xlfn.RANK.EQ('gpt-5.2-Details'!O16,'gpt-5.2-Details'!$O$2:$O$16)</f>
        <v>1</v>
      </c>
    </row>
    <row r="96" spans="1:7" x14ac:dyDescent="0.25">
      <c r="A96" t="s">
        <v>184</v>
      </c>
    </row>
    <row r="97" spans="1:7" x14ac:dyDescent="0.25">
      <c r="A97" t="s">
        <v>157</v>
      </c>
      <c r="B97" t="s">
        <v>9</v>
      </c>
      <c r="C97" t="s">
        <v>10</v>
      </c>
      <c r="D97" t="s">
        <v>11</v>
      </c>
      <c r="E97" t="s">
        <v>12</v>
      </c>
      <c r="F97" t="s">
        <v>13</v>
      </c>
      <c r="G97" t="s">
        <v>14</v>
      </c>
    </row>
    <row r="98" spans="1:7" x14ac:dyDescent="0.25">
      <c r="A98">
        <v>1</v>
      </c>
      <c r="B98">
        <f>_xlfn.RANK.EQ('gpt-4.1-mini-Details'!J2,'gpt-4.1-mini-Details'!$J$2:$J$16)</f>
        <v>2</v>
      </c>
      <c r="C98">
        <f>_xlfn.RANK.EQ('gpt-4.1-mini-Details'!K2,'gpt-4.1-mini-Details'!$K$2:$K$16)</f>
        <v>1</v>
      </c>
      <c r="D98">
        <f>_xlfn.RANK.EQ('gpt-4.1-mini-Details'!L2,'gpt-4.1-mini-Details'!$L$2:$L$16)</f>
        <v>7</v>
      </c>
      <c r="E98">
        <f>_xlfn.RANK.EQ('gpt-4.1-mini-Details'!M2,'gpt-4.1-mini-Details'!$M$2:$M$16)</f>
        <v>11</v>
      </c>
      <c r="F98">
        <f>_xlfn.RANK.EQ('gpt-4.1-mini-Details'!N2,'gpt-4.1-mini-Details'!$N$2:$N$16)</f>
        <v>9</v>
      </c>
      <c r="G98">
        <f>_xlfn.RANK.EQ('gpt-4.1-mini-Details'!O2,'gpt-4.1-mini-Details'!$O$2:$O$16)</f>
        <v>6</v>
      </c>
    </row>
    <row r="99" spans="1:7" x14ac:dyDescent="0.25">
      <c r="A99">
        <v>8</v>
      </c>
      <c r="B99">
        <f>_xlfn.RANK.EQ('gpt-4.1-mini-Details'!J3,'gpt-4.1-mini-Details'!$J$2:$J$16)</f>
        <v>11</v>
      </c>
      <c r="C99">
        <f>_xlfn.RANK.EQ('gpt-4.1-mini-Details'!K3,'gpt-4.1-mini-Details'!$K$2:$K$16)</f>
        <v>11</v>
      </c>
      <c r="D99">
        <f>_xlfn.RANK.EQ('gpt-4.1-mini-Details'!L3,'gpt-4.1-mini-Details'!$L$2:$L$16)</f>
        <v>11</v>
      </c>
      <c r="E99">
        <f>_xlfn.RANK.EQ('gpt-4.1-mini-Details'!M3,'gpt-4.1-mini-Details'!$M$2:$M$16)</f>
        <v>12</v>
      </c>
      <c r="F99">
        <f>_xlfn.RANK.EQ('gpt-4.1-mini-Details'!N3,'gpt-4.1-mini-Details'!$N$2:$N$16)</f>
        <v>10</v>
      </c>
      <c r="G99">
        <f>_xlfn.RANK.EQ('gpt-4.1-mini-Details'!O3,'gpt-4.1-mini-Details'!$O$2:$O$16)</f>
        <v>8</v>
      </c>
    </row>
    <row r="100" spans="1:7" x14ac:dyDescent="0.25">
      <c r="A100">
        <v>11</v>
      </c>
      <c r="B100">
        <f>_xlfn.RANK.EQ('gpt-4.1-mini-Details'!J4,'gpt-4.1-mini-Details'!$J$2:$J$16)</f>
        <v>5</v>
      </c>
      <c r="C100">
        <f>_xlfn.RANK.EQ('gpt-4.1-mini-Details'!K4,'gpt-4.1-mini-Details'!$K$2:$K$16)</f>
        <v>1</v>
      </c>
      <c r="D100">
        <f>_xlfn.RANK.EQ('gpt-4.1-mini-Details'!L4,'gpt-4.1-mini-Details'!$L$2:$L$16)</f>
        <v>1</v>
      </c>
      <c r="E100">
        <f>_xlfn.RANK.EQ('gpt-4.1-mini-Details'!M4,'gpt-4.1-mini-Details'!$M$2:$M$16)</f>
        <v>10</v>
      </c>
      <c r="F100">
        <f>_xlfn.RANK.EQ('gpt-4.1-mini-Details'!N4,'gpt-4.1-mini-Details'!$N$2:$N$16)</f>
        <v>2</v>
      </c>
      <c r="G100">
        <f>_xlfn.RANK.EQ('gpt-4.1-mini-Details'!O4,'gpt-4.1-mini-Details'!$O$2:$O$16)</f>
        <v>8</v>
      </c>
    </row>
    <row r="101" spans="1:7" x14ac:dyDescent="0.25">
      <c r="A101">
        <v>17</v>
      </c>
      <c r="B101">
        <f>_xlfn.RANK.EQ('gpt-4.1-mini-Details'!J5,'gpt-4.1-mini-Details'!$J$2:$J$16)</f>
        <v>7</v>
      </c>
      <c r="C101">
        <f>_xlfn.RANK.EQ('gpt-4.1-mini-Details'!K5,'gpt-4.1-mini-Details'!$K$2:$K$16)</f>
        <v>11</v>
      </c>
      <c r="D101">
        <f>_xlfn.RANK.EQ('gpt-4.1-mini-Details'!L5,'gpt-4.1-mini-Details'!$L$2:$L$16)</f>
        <v>10</v>
      </c>
      <c r="E101">
        <f>_xlfn.RANK.EQ('gpt-4.1-mini-Details'!M5,'gpt-4.1-mini-Details'!$M$2:$M$16)</f>
        <v>7</v>
      </c>
      <c r="F101">
        <f>_xlfn.RANK.EQ('gpt-4.1-mini-Details'!N5,'gpt-4.1-mini-Details'!$N$2:$N$16)</f>
        <v>5</v>
      </c>
      <c r="G101">
        <f>_xlfn.RANK.EQ('gpt-4.1-mini-Details'!O5,'gpt-4.1-mini-Details'!$O$2:$O$16)</f>
        <v>5</v>
      </c>
    </row>
    <row r="102" spans="1:7" x14ac:dyDescent="0.25">
      <c r="A102">
        <v>20</v>
      </c>
      <c r="B102">
        <f>_xlfn.RANK.EQ('gpt-4.1-mini-Details'!J6,'gpt-4.1-mini-Details'!$J$2:$J$16)</f>
        <v>8</v>
      </c>
      <c r="C102">
        <f>_xlfn.RANK.EQ('gpt-4.1-mini-Details'!K6,'gpt-4.1-mini-Details'!$K$2:$K$16)</f>
        <v>11</v>
      </c>
      <c r="D102">
        <f>_xlfn.RANK.EQ('gpt-4.1-mini-Details'!L6,'gpt-4.1-mini-Details'!$L$2:$L$16)</f>
        <v>2</v>
      </c>
      <c r="E102">
        <f>_xlfn.RANK.EQ('gpt-4.1-mini-Details'!M6,'gpt-4.1-mini-Details'!$M$2:$M$16)</f>
        <v>15</v>
      </c>
      <c r="F102">
        <f>_xlfn.RANK.EQ('gpt-4.1-mini-Details'!N6,'gpt-4.1-mini-Details'!$N$2:$N$16)</f>
        <v>3</v>
      </c>
      <c r="G102">
        <f>_xlfn.RANK.EQ('gpt-4.1-mini-Details'!O6,'gpt-4.1-mini-Details'!$O$2:$O$16)</f>
        <v>7</v>
      </c>
    </row>
    <row r="103" spans="1:7" x14ac:dyDescent="0.25">
      <c r="A103">
        <v>30</v>
      </c>
      <c r="B103">
        <f>_xlfn.RANK.EQ('gpt-4.1-mini-Details'!J7,'gpt-4.1-mini-Details'!$J$2:$J$16)</f>
        <v>1</v>
      </c>
      <c r="C103">
        <f>_xlfn.RANK.EQ('gpt-4.1-mini-Details'!K7,'gpt-4.1-mini-Details'!$K$2:$K$16)</f>
        <v>1</v>
      </c>
      <c r="D103">
        <f>_xlfn.RANK.EQ('gpt-4.1-mini-Details'!L7,'gpt-4.1-mini-Details'!$L$2:$L$16)</f>
        <v>11</v>
      </c>
      <c r="E103">
        <f>_xlfn.RANK.EQ('gpt-4.1-mini-Details'!M7,'gpt-4.1-mini-Details'!$M$2:$M$16)</f>
        <v>4</v>
      </c>
      <c r="F103">
        <f>_xlfn.RANK.EQ('gpt-4.1-mini-Details'!N7,'gpt-4.1-mini-Details'!$N$2:$N$16)</f>
        <v>7</v>
      </c>
      <c r="G103">
        <f>_xlfn.RANK.EQ('gpt-4.1-mini-Details'!O7,'gpt-4.1-mini-Details'!$O$2:$O$16)</f>
        <v>4</v>
      </c>
    </row>
    <row r="104" spans="1:7" x14ac:dyDescent="0.25">
      <c r="A104">
        <v>33</v>
      </c>
      <c r="B104">
        <f>_xlfn.RANK.EQ('gpt-4.1-mini-Details'!J8,'gpt-4.1-mini-Details'!$J$2:$J$16)</f>
        <v>5</v>
      </c>
      <c r="C104">
        <f>_xlfn.RANK.EQ('gpt-4.1-mini-Details'!K8,'gpt-4.1-mini-Details'!$K$2:$K$16)</f>
        <v>1</v>
      </c>
      <c r="D104">
        <f>_xlfn.RANK.EQ('gpt-4.1-mini-Details'!L8,'gpt-4.1-mini-Details'!$L$2:$L$16)</f>
        <v>3</v>
      </c>
      <c r="E104">
        <f>_xlfn.RANK.EQ('gpt-4.1-mini-Details'!M8,'gpt-4.1-mini-Details'!$M$2:$M$16)</f>
        <v>2</v>
      </c>
      <c r="F104">
        <f>_xlfn.RANK.EQ('gpt-4.1-mini-Details'!N8,'gpt-4.1-mini-Details'!$N$2:$N$16)</f>
        <v>1</v>
      </c>
      <c r="G104">
        <f>_xlfn.RANK.EQ('gpt-4.1-mini-Details'!O8,'gpt-4.1-mini-Details'!$O$2:$O$16)</f>
        <v>2</v>
      </c>
    </row>
    <row r="105" spans="1:7" x14ac:dyDescent="0.25">
      <c r="A105">
        <v>34</v>
      </c>
      <c r="B105">
        <f>_xlfn.RANK.EQ('gpt-4.1-mini-Details'!J9,'gpt-4.1-mini-Details'!$J$2:$J$16)</f>
        <v>13</v>
      </c>
      <c r="C105">
        <f>_xlfn.RANK.EQ('gpt-4.1-mini-Details'!K9,'gpt-4.1-mini-Details'!$K$2:$K$16)</f>
        <v>11</v>
      </c>
      <c r="D105">
        <f>_xlfn.RANK.EQ('gpt-4.1-mini-Details'!L9,'gpt-4.1-mini-Details'!$L$2:$L$16)</f>
        <v>11</v>
      </c>
      <c r="E105">
        <f>_xlfn.RANK.EQ('gpt-4.1-mini-Details'!M9,'gpt-4.1-mini-Details'!$M$2:$M$16)</f>
        <v>8</v>
      </c>
      <c r="F105">
        <f>_xlfn.RANK.EQ('gpt-4.1-mini-Details'!N9,'gpt-4.1-mini-Details'!$N$2:$N$16)</f>
        <v>10</v>
      </c>
      <c r="G105">
        <f>_xlfn.RANK.EQ('gpt-4.1-mini-Details'!O9,'gpt-4.1-mini-Details'!$O$2:$O$16)</f>
        <v>3</v>
      </c>
    </row>
    <row r="106" spans="1:7" x14ac:dyDescent="0.25">
      <c r="A106">
        <v>64</v>
      </c>
      <c r="B106">
        <f>_xlfn.RANK.EQ('gpt-4.1-mini-Details'!J10,'gpt-4.1-mini-Details'!$J$2:$J$16)</f>
        <v>13</v>
      </c>
      <c r="C106">
        <f>_xlfn.RANK.EQ('gpt-4.1-mini-Details'!K10,'gpt-4.1-mini-Details'!$K$2:$K$16)</f>
        <v>10</v>
      </c>
      <c r="D106">
        <f>_xlfn.RANK.EQ('gpt-4.1-mini-Details'!L10,'gpt-4.1-mini-Details'!$L$2:$L$16)</f>
        <v>11</v>
      </c>
      <c r="E106">
        <f>_xlfn.RANK.EQ('gpt-4.1-mini-Details'!M10,'gpt-4.1-mini-Details'!$M$2:$M$16)</f>
        <v>13</v>
      </c>
      <c r="F106">
        <f>_xlfn.RANK.EQ('gpt-4.1-mini-Details'!N10,'gpt-4.1-mini-Details'!$N$2:$N$16)</f>
        <v>10</v>
      </c>
      <c r="G106">
        <f>_xlfn.RANK.EQ('gpt-4.1-mini-Details'!O10,'gpt-4.1-mini-Details'!$O$2:$O$16)</f>
        <v>8</v>
      </c>
    </row>
    <row r="107" spans="1:7" x14ac:dyDescent="0.25">
      <c r="A107">
        <v>65</v>
      </c>
      <c r="B107">
        <f>_xlfn.RANK.EQ('gpt-4.1-mini-Details'!J11,'gpt-4.1-mini-Details'!$J$2:$J$16)</f>
        <v>9</v>
      </c>
      <c r="C107">
        <f>_xlfn.RANK.EQ('gpt-4.1-mini-Details'!K11,'gpt-4.1-mini-Details'!$K$2:$K$16)</f>
        <v>1</v>
      </c>
      <c r="D107">
        <f>_xlfn.RANK.EQ('gpt-4.1-mini-Details'!L11,'gpt-4.1-mini-Details'!$L$2:$L$16)</f>
        <v>9</v>
      </c>
      <c r="E107">
        <f>_xlfn.RANK.EQ('gpt-4.1-mini-Details'!M11,'gpt-4.1-mini-Details'!$M$2:$M$16)</f>
        <v>6</v>
      </c>
      <c r="F107">
        <f>_xlfn.RANK.EQ('gpt-4.1-mini-Details'!N11,'gpt-4.1-mini-Details'!$N$2:$N$16)</f>
        <v>8</v>
      </c>
      <c r="G107">
        <f>_xlfn.RANK.EQ('gpt-4.1-mini-Details'!O11,'gpt-4.1-mini-Details'!$O$2:$O$16)</f>
        <v>8</v>
      </c>
    </row>
    <row r="108" spans="1:7" x14ac:dyDescent="0.25">
      <c r="A108">
        <v>84</v>
      </c>
      <c r="B108">
        <f>_xlfn.RANK.EQ('gpt-4.1-mini-Details'!J12,'gpt-4.1-mini-Details'!$J$2:$J$16)</f>
        <v>3</v>
      </c>
      <c r="C108">
        <f>_xlfn.RANK.EQ('gpt-4.1-mini-Details'!K12,'gpt-4.1-mini-Details'!$K$2:$K$16)</f>
        <v>7</v>
      </c>
      <c r="D108">
        <f>_xlfn.RANK.EQ('gpt-4.1-mini-Details'!L12,'gpt-4.1-mini-Details'!$L$2:$L$16)</f>
        <v>4</v>
      </c>
      <c r="E108">
        <f>_xlfn.RANK.EQ('gpt-4.1-mini-Details'!M12,'gpt-4.1-mini-Details'!$M$2:$M$16)</f>
        <v>9</v>
      </c>
      <c r="F108">
        <f>_xlfn.RANK.EQ('gpt-4.1-mini-Details'!N12,'gpt-4.1-mini-Details'!$N$2:$N$16)</f>
        <v>10</v>
      </c>
      <c r="G108">
        <f>_xlfn.RANK.EQ('gpt-4.1-mini-Details'!O12,'gpt-4.1-mini-Details'!$O$2:$O$16)</f>
        <v>1</v>
      </c>
    </row>
    <row r="109" spans="1:7" x14ac:dyDescent="0.25">
      <c r="A109">
        <v>89</v>
      </c>
      <c r="B109">
        <f>_xlfn.RANK.EQ('gpt-4.1-mini-Details'!J13,'gpt-4.1-mini-Details'!$J$2:$J$16)</f>
        <v>13</v>
      </c>
      <c r="C109">
        <f>_xlfn.RANK.EQ('gpt-4.1-mini-Details'!K13,'gpt-4.1-mini-Details'!$K$2:$K$16)</f>
        <v>11</v>
      </c>
      <c r="D109">
        <f>_xlfn.RANK.EQ('gpt-4.1-mini-Details'!L13,'gpt-4.1-mini-Details'!$L$2:$L$16)</f>
        <v>11</v>
      </c>
      <c r="E109">
        <f>_xlfn.RANK.EQ('gpt-4.1-mini-Details'!M13,'gpt-4.1-mini-Details'!$M$2:$M$16)</f>
        <v>14</v>
      </c>
      <c r="F109">
        <f>_xlfn.RANK.EQ('gpt-4.1-mini-Details'!N13,'gpt-4.1-mini-Details'!$N$2:$N$16)</f>
        <v>10</v>
      </c>
      <c r="G109">
        <f>_xlfn.RANK.EQ('gpt-4.1-mini-Details'!O13,'gpt-4.1-mini-Details'!$O$2:$O$16)</f>
        <v>8</v>
      </c>
    </row>
    <row r="110" spans="1:7" x14ac:dyDescent="0.25">
      <c r="A110">
        <v>91</v>
      </c>
      <c r="B110">
        <f>_xlfn.RANK.EQ('gpt-4.1-mini-Details'!J14,'gpt-4.1-mini-Details'!$J$2:$J$16)</f>
        <v>10</v>
      </c>
      <c r="C110">
        <f>_xlfn.RANK.EQ('gpt-4.1-mini-Details'!K14,'gpt-4.1-mini-Details'!$K$2:$K$16)</f>
        <v>9</v>
      </c>
      <c r="D110">
        <f>_xlfn.RANK.EQ('gpt-4.1-mini-Details'!L14,'gpt-4.1-mini-Details'!$L$2:$L$16)</f>
        <v>4</v>
      </c>
      <c r="E110">
        <f>_xlfn.RANK.EQ('gpt-4.1-mini-Details'!M14,'gpt-4.1-mini-Details'!$M$2:$M$16)</f>
        <v>1</v>
      </c>
      <c r="F110">
        <f>_xlfn.RANK.EQ('gpt-4.1-mini-Details'!N14,'gpt-4.1-mini-Details'!$N$2:$N$16)</f>
        <v>6</v>
      </c>
      <c r="G110">
        <f>_xlfn.RANK.EQ('gpt-4.1-mini-Details'!O14,'gpt-4.1-mini-Details'!$O$2:$O$16)</f>
        <v>8</v>
      </c>
    </row>
    <row r="111" spans="1:7" x14ac:dyDescent="0.25">
      <c r="A111">
        <v>97</v>
      </c>
      <c r="B111">
        <f>_xlfn.RANK.EQ('gpt-4.1-mini-Details'!J15,'gpt-4.1-mini-Details'!$J$2:$J$16)</f>
        <v>4</v>
      </c>
      <c r="C111">
        <f>_xlfn.RANK.EQ('gpt-4.1-mini-Details'!K15,'gpt-4.1-mini-Details'!$K$2:$K$16)</f>
        <v>8</v>
      </c>
      <c r="D111">
        <f>_xlfn.RANK.EQ('gpt-4.1-mini-Details'!L15,'gpt-4.1-mini-Details'!$L$2:$L$16)</f>
        <v>6</v>
      </c>
      <c r="E111">
        <f>_xlfn.RANK.EQ('gpt-4.1-mini-Details'!M15,'gpt-4.1-mini-Details'!$M$2:$M$16)</f>
        <v>3</v>
      </c>
      <c r="F111">
        <f>_xlfn.RANK.EQ('gpt-4.1-mini-Details'!N15,'gpt-4.1-mini-Details'!$N$2:$N$16)</f>
        <v>10</v>
      </c>
      <c r="G111">
        <f>_xlfn.RANK.EQ('gpt-4.1-mini-Details'!O15,'gpt-4.1-mini-Details'!$O$2:$O$16)</f>
        <v>8</v>
      </c>
    </row>
    <row r="112" spans="1:7" x14ac:dyDescent="0.25">
      <c r="A112">
        <v>110</v>
      </c>
      <c r="B112">
        <f>_xlfn.RANK.EQ('gpt-4.1-mini-Details'!J16,'gpt-4.1-mini-Details'!$J$2:$J$16)</f>
        <v>12</v>
      </c>
      <c r="C112">
        <f>_xlfn.RANK.EQ('gpt-4.1-mini-Details'!K16,'gpt-4.1-mini-Details'!$K$2:$K$16)</f>
        <v>1</v>
      </c>
      <c r="D112">
        <f>_xlfn.RANK.EQ('gpt-4.1-mini-Details'!L16,'gpt-4.1-mini-Details'!$L$2:$L$16)</f>
        <v>7</v>
      </c>
      <c r="E112">
        <f>_xlfn.RANK.EQ('gpt-4.1-mini-Details'!M16,'gpt-4.1-mini-Details'!$M$2:$M$16)</f>
        <v>5</v>
      </c>
      <c r="F112">
        <f>_xlfn.RANK.EQ('gpt-4.1-mini-Details'!N16,'gpt-4.1-mini-Details'!$N$2:$N$16)</f>
        <v>4</v>
      </c>
      <c r="G112">
        <f>_xlfn.RANK.EQ('gpt-4.1-mini-Details'!O16,'gpt-4.1-mini-Details'!$O$2:$O$16)</f>
        <v>8</v>
      </c>
    </row>
    <row r="115" spans="1:7" x14ac:dyDescent="0.25">
      <c r="A115" t="s">
        <v>189</v>
      </c>
    </row>
    <row r="116" spans="1:7" x14ac:dyDescent="0.25">
      <c r="A116" t="s">
        <v>157</v>
      </c>
      <c r="B116" t="s">
        <v>9</v>
      </c>
      <c r="C116" t="s">
        <v>10</v>
      </c>
      <c r="D116" t="s">
        <v>11</v>
      </c>
      <c r="E116" t="s">
        <v>12</v>
      </c>
      <c r="F116" t="s">
        <v>13</v>
      </c>
      <c r="G116" t="s">
        <v>14</v>
      </c>
    </row>
    <row r="117" spans="1:7" x14ac:dyDescent="0.25">
      <c r="A117">
        <v>1</v>
      </c>
      <c r="B117">
        <f>_xlfn.RANK.EQ('gpt-4.1-mini-Details'!J2,'gpt-4.1-mini-Details'!$J$2:$J$16)</f>
        <v>2</v>
      </c>
      <c r="C117">
        <f>_xlfn.RANK.EQ('gpt-4.1-mini-Details'!K2,'gpt-4.1-mini-Details'!$K$2:$K$16)</f>
        <v>1</v>
      </c>
      <c r="D117">
        <f>_xlfn.RANK.EQ('gpt-4.1-mini-Details'!L2,'gpt-4.1-mini-Details'!$L$2:$L$16)</f>
        <v>7</v>
      </c>
      <c r="E117">
        <f>_xlfn.RANK.EQ('gpt-4.1-mini-Details'!M2,'gpt-4.1-mini-Details'!$M$2:$M$16)</f>
        <v>11</v>
      </c>
      <c r="F117">
        <f>_xlfn.RANK.EQ('gpt-4.1-mini-Details'!N2,'gpt-4.1-mini-Details'!$N$2:$N$16)</f>
        <v>9</v>
      </c>
      <c r="G117">
        <f>_xlfn.RANK.EQ('gpt-4.1-mini-Details'!O2,'gpt-4.1-mini-Details'!$O$2:$O$16)</f>
        <v>6</v>
      </c>
    </row>
    <row r="118" spans="1:7" x14ac:dyDescent="0.25">
      <c r="A118">
        <v>8</v>
      </c>
      <c r="B118">
        <f>_xlfn.RANK.EQ('gpt-4.1-mini-Details'!J3,'gpt-4.1-mini-Details'!$J$2:$J$16)</f>
        <v>11</v>
      </c>
      <c r="C118">
        <f>_xlfn.RANK.EQ('gpt-4.1-mini-Details'!K3,'gpt-4.1-mini-Details'!$K$2:$K$16)</f>
        <v>11</v>
      </c>
      <c r="D118">
        <f>_xlfn.RANK.EQ('gpt-4.1-mini-Details'!L3,'gpt-4.1-mini-Details'!$L$2:$L$16)</f>
        <v>11</v>
      </c>
      <c r="E118">
        <f>_xlfn.RANK.EQ('gpt-4.1-mini-Details'!M3,'gpt-4.1-mini-Details'!$M$2:$M$16)</f>
        <v>12</v>
      </c>
      <c r="F118">
        <f>_xlfn.RANK.EQ('gpt-4.1-mini-Details'!N3,'gpt-4.1-mini-Details'!$N$2:$N$16)</f>
        <v>10</v>
      </c>
      <c r="G118">
        <f>_xlfn.RANK.EQ('gpt-4.1-mini-Details'!O3,'gpt-4.1-mini-Details'!$O$2:$O$16)</f>
        <v>8</v>
      </c>
    </row>
    <row r="119" spans="1:7" x14ac:dyDescent="0.25">
      <c r="A119">
        <v>11</v>
      </c>
      <c r="B119">
        <f>_xlfn.RANK.EQ('gpt-4.1-mini-Details'!J4,'gpt-4.1-mini-Details'!$J$2:$J$16)</f>
        <v>5</v>
      </c>
      <c r="C119">
        <f>_xlfn.RANK.EQ('gpt-4.1-mini-Details'!K4,'gpt-4.1-mini-Details'!$K$2:$K$16)</f>
        <v>1</v>
      </c>
      <c r="D119">
        <f>_xlfn.RANK.EQ('gpt-4.1-mini-Details'!L4,'gpt-4.1-mini-Details'!$L$2:$L$16)</f>
        <v>1</v>
      </c>
      <c r="E119">
        <f>_xlfn.RANK.EQ('gpt-4.1-mini-Details'!M4,'gpt-4.1-mini-Details'!$M$2:$M$16)</f>
        <v>10</v>
      </c>
      <c r="F119">
        <f>_xlfn.RANK.EQ('gpt-4.1-mini-Details'!N4,'gpt-4.1-mini-Details'!$N$2:$N$16)</f>
        <v>2</v>
      </c>
      <c r="G119">
        <f>_xlfn.RANK.EQ('gpt-4.1-mini-Details'!O4,'gpt-4.1-mini-Details'!$O$2:$O$16)</f>
        <v>8</v>
      </c>
    </row>
    <row r="120" spans="1:7" x14ac:dyDescent="0.25">
      <c r="A120">
        <v>17</v>
      </c>
      <c r="B120">
        <f>_xlfn.RANK.EQ('gpt-4.1-mini-Details'!J5,'gpt-4.1-mini-Details'!$J$2:$J$16)</f>
        <v>7</v>
      </c>
      <c r="C120">
        <f>_xlfn.RANK.EQ('gpt-4.1-mini-Details'!K5,'gpt-4.1-mini-Details'!$K$2:$K$16)</f>
        <v>11</v>
      </c>
      <c r="D120">
        <f>_xlfn.RANK.EQ('gpt-4.1-mini-Details'!L5,'gpt-4.1-mini-Details'!$L$2:$L$16)</f>
        <v>10</v>
      </c>
      <c r="E120">
        <f>_xlfn.RANK.EQ('gpt-4.1-mini-Details'!M5,'gpt-4.1-mini-Details'!$M$2:$M$16)</f>
        <v>7</v>
      </c>
      <c r="F120">
        <f>_xlfn.RANK.EQ('gpt-4.1-mini-Details'!N5,'gpt-4.1-mini-Details'!$N$2:$N$16)</f>
        <v>5</v>
      </c>
      <c r="G120">
        <f>_xlfn.RANK.EQ('gpt-4.1-mini-Details'!O5,'gpt-4.1-mini-Details'!$O$2:$O$16)</f>
        <v>5</v>
      </c>
    </row>
    <row r="121" spans="1:7" x14ac:dyDescent="0.25">
      <c r="A121">
        <v>20</v>
      </c>
      <c r="B121">
        <f>_xlfn.RANK.EQ('gpt-4.1-mini-Details'!J6,'gpt-4.1-mini-Details'!$J$2:$J$16)</f>
        <v>8</v>
      </c>
      <c r="C121">
        <f>_xlfn.RANK.EQ('gpt-4.1-mini-Details'!K6,'gpt-4.1-mini-Details'!$K$2:$K$16)</f>
        <v>11</v>
      </c>
      <c r="D121">
        <f>_xlfn.RANK.EQ('gpt-4.1-mini-Details'!L6,'gpt-4.1-mini-Details'!$L$2:$L$16)</f>
        <v>2</v>
      </c>
      <c r="E121">
        <f>_xlfn.RANK.EQ('gpt-4.1-mini-Details'!M6,'gpt-4.1-mini-Details'!$M$2:$M$16)</f>
        <v>15</v>
      </c>
      <c r="F121">
        <f>_xlfn.RANK.EQ('gpt-4.1-mini-Details'!N6,'gpt-4.1-mini-Details'!$N$2:$N$16)</f>
        <v>3</v>
      </c>
      <c r="G121">
        <f>_xlfn.RANK.EQ('gpt-4.1-mini-Details'!O6,'gpt-4.1-mini-Details'!$O$2:$O$16)</f>
        <v>7</v>
      </c>
    </row>
    <row r="122" spans="1:7" x14ac:dyDescent="0.25">
      <c r="A122">
        <v>30</v>
      </c>
      <c r="B122">
        <f>_xlfn.RANK.EQ('gpt-4.1-mini-Details'!J7,'gpt-4.1-mini-Details'!$J$2:$J$16)</f>
        <v>1</v>
      </c>
      <c r="C122">
        <f>_xlfn.RANK.EQ('gpt-4.1-mini-Details'!K7,'gpt-4.1-mini-Details'!$K$2:$K$16)</f>
        <v>1</v>
      </c>
      <c r="D122">
        <f>_xlfn.RANK.EQ('gpt-4.1-mini-Details'!L7,'gpt-4.1-mini-Details'!$L$2:$L$16)</f>
        <v>11</v>
      </c>
      <c r="E122">
        <f>_xlfn.RANK.EQ('gpt-4.1-mini-Details'!M7,'gpt-4.1-mini-Details'!$M$2:$M$16)</f>
        <v>4</v>
      </c>
      <c r="F122">
        <f>_xlfn.RANK.EQ('gpt-4.1-mini-Details'!N7,'gpt-4.1-mini-Details'!$N$2:$N$16)</f>
        <v>7</v>
      </c>
      <c r="G122">
        <f>_xlfn.RANK.EQ('gpt-4.1-mini-Details'!O7,'gpt-4.1-mini-Details'!$O$2:$O$16)</f>
        <v>4</v>
      </c>
    </row>
    <row r="123" spans="1:7" x14ac:dyDescent="0.25">
      <c r="A123">
        <v>33</v>
      </c>
      <c r="B123">
        <f>_xlfn.RANK.EQ('gpt-4.1-mini-Details'!J8,'gpt-4.1-mini-Details'!$J$2:$J$16)</f>
        <v>5</v>
      </c>
      <c r="C123">
        <f>_xlfn.RANK.EQ('gpt-4.1-mini-Details'!K8,'gpt-4.1-mini-Details'!$K$2:$K$16)</f>
        <v>1</v>
      </c>
      <c r="D123">
        <f>_xlfn.RANK.EQ('gpt-4.1-mini-Details'!L8,'gpt-4.1-mini-Details'!$L$2:$L$16)</f>
        <v>3</v>
      </c>
      <c r="E123">
        <f>_xlfn.RANK.EQ('gpt-4.1-mini-Details'!M8,'gpt-4.1-mini-Details'!$M$2:$M$16)</f>
        <v>2</v>
      </c>
      <c r="F123">
        <f>_xlfn.RANK.EQ('gpt-4.1-mini-Details'!N8,'gpt-4.1-mini-Details'!$N$2:$N$16)</f>
        <v>1</v>
      </c>
      <c r="G123">
        <f>_xlfn.RANK.EQ('gpt-4.1-mini-Details'!O8,'gpt-4.1-mini-Details'!$O$2:$O$16)</f>
        <v>2</v>
      </c>
    </row>
    <row r="124" spans="1:7" x14ac:dyDescent="0.25">
      <c r="A124">
        <v>34</v>
      </c>
      <c r="B124">
        <f>_xlfn.RANK.EQ('gpt-4.1-mini-Details'!J9,'gpt-4.1-mini-Details'!$J$2:$J$16)</f>
        <v>13</v>
      </c>
      <c r="C124">
        <f>_xlfn.RANK.EQ('gpt-4.1-mini-Details'!K9,'gpt-4.1-mini-Details'!$K$2:$K$16)</f>
        <v>11</v>
      </c>
      <c r="D124">
        <f>_xlfn.RANK.EQ('gpt-4.1-mini-Details'!L9,'gpt-4.1-mini-Details'!$L$2:$L$16)</f>
        <v>11</v>
      </c>
      <c r="E124">
        <f>_xlfn.RANK.EQ('gpt-4.1-mini-Details'!M9,'gpt-4.1-mini-Details'!$M$2:$M$16)</f>
        <v>8</v>
      </c>
      <c r="F124">
        <f>_xlfn.RANK.EQ('gpt-4.1-mini-Details'!N9,'gpt-4.1-mini-Details'!$N$2:$N$16)</f>
        <v>10</v>
      </c>
      <c r="G124">
        <f>_xlfn.RANK.EQ('gpt-4.1-mini-Details'!O9,'gpt-4.1-mini-Details'!$O$2:$O$16)</f>
        <v>3</v>
      </c>
    </row>
    <row r="125" spans="1:7" x14ac:dyDescent="0.25">
      <c r="A125">
        <v>64</v>
      </c>
      <c r="B125">
        <f>_xlfn.RANK.EQ('gpt-4.1-mini-Details'!J10,'gpt-4.1-mini-Details'!$J$2:$J$16)</f>
        <v>13</v>
      </c>
      <c r="C125">
        <f>_xlfn.RANK.EQ('gpt-4.1-mini-Details'!K10,'gpt-4.1-mini-Details'!$K$2:$K$16)</f>
        <v>10</v>
      </c>
      <c r="D125">
        <f>_xlfn.RANK.EQ('gpt-4.1-mini-Details'!L10,'gpt-4.1-mini-Details'!$L$2:$L$16)</f>
        <v>11</v>
      </c>
      <c r="E125">
        <f>_xlfn.RANK.EQ('gpt-4.1-mini-Details'!M10,'gpt-4.1-mini-Details'!$M$2:$M$16)</f>
        <v>13</v>
      </c>
      <c r="F125">
        <f>_xlfn.RANK.EQ('gpt-4.1-mini-Details'!N10,'gpt-4.1-mini-Details'!$N$2:$N$16)</f>
        <v>10</v>
      </c>
      <c r="G125">
        <f>_xlfn.RANK.EQ('gpt-4.1-mini-Details'!O10,'gpt-4.1-mini-Details'!$O$2:$O$16)</f>
        <v>8</v>
      </c>
    </row>
    <row r="126" spans="1:7" x14ac:dyDescent="0.25">
      <c r="A126">
        <v>65</v>
      </c>
      <c r="B126">
        <f>_xlfn.RANK.EQ('gpt-4.1-mini-Details'!J11,'gpt-4.1-mini-Details'!$J$2:$J$16)</f>
        <v>9</v>
      </c>
      <c r="C126">
        <f>_xlfn.RANK.EQ('gpt-4.1-mini-Details'!K11,'gpt-4.1-mini-Details'!$K$2:$K$16)</f>
        <v>1</v>
      </c>
      <c r="D126">
        <f>_xlfn.RANK.EQ('gpt-4.1-mini-Details'!L11,'gpt-4.1-mini-Details'!$L$2:$L$16)</f>
        <v>9</v>
      </c>
      <c r="E126">
        <f>_xlfn.RANK.EQ('gpt-4.1-mini-Details'!M11,'gpt-4.1-mini-Details'!$M$2:$M$16)</f>
        <v>6</v>
      </c>
      <c r="F126">
        <f>_xlfn.RANK.EQ('gpt-4.1-mini-Details'!N11,'gpt-4.1-mini-Details'!$N$2:$N$16)</f>
        <v>8</v>
      </c>
      <c r="G126">
        <f>_xlfn.RANK.EQ('gpt-4.1-mini-Details'!O11,'gpt-4.1-mini-Details'!$O$2:$O$16)</f>
        <v>8</v>
      </c>
    </row>
    <row r="127" spans="1:7" x14ac:dyDescent="0.25">
      <c r="A127">
        <v>84</v>
      </c>
      <c r="B127">
        <f>_xlfn.RANK.EQ('gpt-4.1-mini-Details'!J12,'gpt-4.1-mini-Details'!$J$2:$J$16)</f>
        <v>3</v>
      </c>
      <c r="C127">
        <f>_xlfn.RANK.EQ('gpt-4.1-mini-Details'!K12,'gpt-4.1-mini-Details'!$K$2:$K$16)</f>
        <v>7</v>
      </c>
      <c r="D127">
        <f>_xlfn.RANK.EQ('gpt-4.1-mini-Details'!L12,'gpt-4.1-mini-Details'!$L$2:$L$16)</f>
        <v>4</v>
      </c>
      <c r="E127">
        <f>_xlfn.RANK.EQ('gpt-4.1-mini-Details'!M12,'gpt-4.1-mini-Details'!$M$2:$M$16)</f>
        <v>9</v>
      </c>
      <c r="F127">
        <f>_xlfn.RANK.EQ('gpt-4.1-mini-Details'!N12,'gpt-4.1-mini-Details'!$N$2:$N$16)</f>
        <v>10</v>
      </c>
      <c r="G127">
        <f>_xlfn.RANK.EQ('gpt-4.1-mini-Details'!O12,'gpt-4.1-mini-Details'!$O$2:$O$16)</f>
        <v>1</v>
      </c>
    </row>
    <row r="128" spans="1:7" x14ac:dyDescent="0.25">
      <c r="A128">
        <v>89</v>
      </c>
      <c r="B128">
        <f>_xlfn.RANK.EQ('gpt-4.1-mini-Details'!J13,'gpt-4.1-mini-Details'!$J$2:$J$16)</f>
        <v>13</v>
      </c>
      <c r="C128">
        <f>_xlfn.RANK.EQ('gpt-4.1-mini-Details'!K13,'gpt-4.1-mini-Details'!$K$2:$K$16)</f>
        <v>11</v>
      </c>
      <c r="D128">
        <f>_xlfn.RANK.EQ('gpt-4.1-mini-Details'!L13,'gpt-4.1-mini-Details'!$L$2:$L$16)</f>
        <v>11</v>
      </c>
      <c r="E128">
        <f>_xlfn.RANK.EQ('gpt-4.1-mini-Details'!M13,'gpt-4.1-mini-Details'!$M$2:$M$16)</f>
        <v>14</v>
      </c>
      <c r="F128">
        <f>_xlfn.RANK.EQ('gpt-4.1-mini-Details'!N13,'gpt-4.1-mini-Details'!$N$2:$N$16)</f>
        <v>10</v>
      </c>
      <c r="G128">
        <f>_xlfn.RANK.EQ('gpt-4.1-mini-Details'!O13,'gpt-4.1-mini-Details'!$O$2:$O$16)</f>
        <v>8</v>
      </c>
    </row>
    <row r="129" spans="1:7" x14ac:dyDescent="0.25">
      <c r="A129">
        <v>91</v>
      </c>
      <c r="B129">
        <f>_xlfn.RANK.EQ('gpt-4.1-mini-Details'!J14,'gpt-4.1-mini-Details'!$J$2:$J$16)</f>
        <v>10</v>
      </c>
      <c r="C129">
        <f>_xlfn.RANK.EQ('gpt-4.1-mini-Details'!K14,'gpt-4.1-mini-Details'!$K$2:$K$16)</f>
        <v>9</v>
      </c>
      <c r="D129">
        <f>_xlfn.RANK.EQ('gpt-4.1-mini-Details'!L14,'gpt-4.1-mini-Details'!$L$2:$L$16)</f>
        <v>4</v>
      </c>
      <c r="E129">
        <f>_xlfn.RANK.EQ('gpt-4.1-mini-Details'!M14,'gpt-4.1-mini-Details'!$M$2:$M$16)</f>
        <v>1</v>
      </c>
      <c r="F129">
        <f>_xlfn.RANK.EQ('gpt-4.1-mini-Details'!N14,'gpt-4.1-mini-Details'!$N$2:$N$16)</f>
        <v>6</v>
      </c>
      <c r="G129">
        <f>_xlfn.RANK.EQ('gpt-4.1-mini-Details'!O14,'gpt-4.1-mini-Details'!$O$2:$O$16)</f>
        <v>8</v>
      </c>
    </row>
    <row r="130" spans="1:7" x14ac:dyDescent="0.25">
      <c r="A130">
        <v>97</v>
      </c>
      <c r="B130">
        <f>_xlfn.RANK.EQ('gpt-4.1-mini-Details'!J15,'gpt-4.1-mini-Details'!$J$2:$J$16)</f>
        <v>4</v>
      </c>
      <c r="C130">
        <f>_xlfn.RANK.EQ('gpt-4.1-mini-Details'!K15,'gpt-4.1-mini-Details'!$K$2:$K$16)</f>
        <v>8</v>
      </c>
      <c r="D130">
        <f>_xlfn.RANK.EQ('gpt-4.1-mini-Details'!L15,'gpt-4.1-mini-Details'!$L$2:$L$16)</f>
        <v>6</v>
      </c>
      <c r="E130">
        <f>_xlfn.RANK.EQ('gpt-4.1-mini-Details'!M15,'gpt-4.1-mini-Details'!$M$2:$M$16)</f>
        <v>3</v>
      </c>
      <c r="F130">
        <f>_xlfn.RANK.EQ('gpt-4.1-mini-Details'!N15,'gpt-4.1-mini-Details'!$N$2:$N$16)</f>
        <v>10</v>
      </c>
      <c r="G130">
        <f>_xlfn.RANK.EQ('gpt-4.1-mini-Details'!O15,'gpt-4.1-mini-Details'!$O$2:$O$16)</f>
        <v>8</v>
      </c>
    </row>
    <row r="131" spans="1:7" x14ac:dyDescent="0.25">
      <c r="A131">
        <v>110</v>
      </c>
      <c r="B131">
        <f>_xlfn.RANK.EQ('gpt-4.1-mini-Details'!J16,'gpt-4.1-mini-Details'!$J$2:$J$16)</f>
        <v>12</v>
      </c>
      <c r="C131">
        <f>_xlfn.RANK.EQ('gpt-4.1-mini-Details'!K16,'gpt-4.1-mini-Details'!$K$2:$K$16)</f>
        <v>1</v>
      </c>
      <c r="D131">
        <f>_xlfn.RANK.EQ('gpt-4.1-mini-Details'!L16,'gpt-4.1-mini-Details'!$L$2:$L$16)</f>
        <v>7</v>
      </c>
      <c r="E131">
        <f>_xlfn.RANK.EQ('gpt-4.1-mini-Details'!M16,'gpt-4.1-mini-Details'!$M$2:$M$16)</f>
        <v>5</v>
      </c>
      <c r="F131">
        <f>_xlfn.RANK.EQ('gpt-4.1-mini-Details'!N16,'gpt-4.1-mini-Details'!$N$2:$N$16)</f>
        <v>4</v>
      </c>
      <c r="G131">
        <f>_xlfn.RANK.EQ('gpt-4.1-mini-Details'!O16,'gpt-4.1-mini-Details'!$O$2:$O$16)</f>
        <v>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1CBC7-6F83-4806-9A6E-B74BEDE7198D}">
  <dimension ref="A1:G14"/>
  <sheetViews>
    <sheetView workbookViewId="0">
      <selection activeCell="D27" sqref="D27"/>
    </sheetView>
  </sheetViews>
  <sheetFormatPr baseColWidth="10" defaultRowHeight="15" x14ac:dyDescent="0.25"/>
  <cols>
    <col min="1" max="1" width="15.140625" bestFit="1" customWidth="1"/>
  </cols>
  <sheetData>
    <row r="1" spans="1:7" x14ac:dyDescent="0.25">
      <c r="A1" t="s">
        <v>186</v>
      </c>
      <c r="B1" t="s">
        <v>9</v>
      </c>
      <c r="C1" t="s">
        <v>10</v>
      </c>
      <c r="D1" t="s">
        <v>11</v>
      </c>
      <c r="E1" t="s">
        <v>12</v>
      </c>
      <c r="F1" t="s">
        <v>13</v>
      </c>
      <c r="G1" t="s">
        <v>14</v>
      </c>
    </row>
    <row r="2" spans="1:7" x14ac:dyDescent="0.25">
      <c r="A2" t="s">
        <v>187</v>
      </c>
      <c r="B2">
        <f>CORREL(Ränge!B3:B17,Ränge!B22:B36)</f>
        <v>0.57370678047363233</v>
      </c>
      <c r="C2">
        <f>CORREL(Ränge!C3:C17,Ränge!C22:C36)</f>
        <v>0.74415850708270226</v>
      </c>
      <c r="D2">
        <f>CORREL(Ränge!D3:D17,Ränge!D22:D36)</f>
        <v>0.22305764411027568</v>
      </c>
      <c r="E2">
        <f>CORREL(Ränge!E3:E17,Ränge!E22:E36)</f>
        <v>4.7693780591453599E-2</v>
      </c>
      <c r="F2">
        <f>CORREL(Ränge!F3:F17,Ränge!F22:F36)</f>
        <v>0.45819722579296074</v>
      </c>
      <c r="G2">
        <f>CORREL(Ränge!G3:G17,Ränge!G22:G36)</f>
        <v>-0.14656358302837622</v>
      </c>
    </row>
    <row r="3" spans="1:7" x14ac:dyDescent="0.25">
      <c r="A3" t="s">
        <v>183</v>
      </c>
      <c r="B3">
        <f>CORREL(Ränge!B3:B17,Ränge!B41:B55)</f>
        <v>0.56436405548328539</v>
      </c>
      <c r="C3">
        <f>CORREL(Ränge!C3:C17,Ränge!C41:C55)</f>
        <v>0.59462270520642646</v>
      </c>
      <c r="D3">
        <f>CORREL(Ränge!D3:D17,Ränge!D41:D55)</f>
        <v>0.30093660121031218</v>
      </c>
      <c r="E3">
        <f>CORREL(Ränge!E3:E17,Ränge!E41:E55)</f>
        <v>4.7693780591453599E-2</v>
      </c>
      <c r="F3">
        <f>CORREL(Ränge!F3:F17,Ränge!F41:F55)</f>
        <v>0.48759105148379289</v>
      </c>
      <c r="G3">
        <f>CORREL(Ränge!G3:G17,Ränge!G41:G55)</f>
        <v>0.58980492603598622</v>
      </c>
    </row>
    <row r="4" spans="1:7" x14ac:dyDescent="0.25">
      <c r="A4" t="s">
        <v>184</v>
      </c>
      <c r="B4">
        <f>CORREL(Ränge!B3:B17, Ränge!B60:B74)</f>
        <v>0.20434879562516942</v>
      </c>
      <c r="C4">
        <f>CORREL(Ränge!C3:C17, Ränge!C60:C74)</f>
        <v>0.19377775553261292</v>
      </c>
      <c r="D4">
        <f>CORREL(Ränge!D3:D17, Ränge!D60:D74)</f>
        <v>-0.15423533425086042</v>
      </c>
      <c r="E4">
        <f>CORREL(Ränge!E3:E17, Ränge!E60:E74)</f>
        <v>-0.4871579017555619</v>
      </c>
      <c r="F4">
        <f>CORREL(Ränge!F3:F17, Ränge!F60:F74)</f>
        <v>-0.27500567015648986</v>
      </c>
      <c r="G4">
        <f>CORREL(Ränge!G3:G17, Ränge!G60:G74)</f>
        <v>0.20069750955391197</v>
      </c>
    </row>
    <row r="5" spans="1:7" x14ac:dyDescent="0.25">
      <c r="A5" t="s">
        <v>185</v>
      </c>
      <c r="B5">
        <f>CORREL(Ränge!B3:B17, Ränge!B79:B93)</f>
        <v>0.50725933311735005</v>
      </c>
      <c r="C5">
        <f>CORREL(Ränge!C3:C17, Ränge!C79:C93)</f>
        <v>0.73104247882847206</v>
      </c>
      <c r="D5">
        <f>CORREL(Ränge!D3:D17, Ränge!D79:D93)</f>
        <v>0.75094235953620725</v>
      </c>
      <c r="E5">
        <f>CORREL(Ränge!E3:E17, Ränge!E79:E93)</f>
        <v>4.7693780591453599E-2</v>
      </c>
      <c r="F5">
        <f>CORREL(Ränge!F3:F17, Ränge!F79:F93)</f>
        <v>0.74855081148407088</v>
      </c>
      <c r="G5">
        <f>CORREL(Ränge!G3:G17, Ränge!G79:G93)</f>
        <v>0.14822493412097942</v>
      </c>
    </row>
    <row r="6" spans="1:7" x14ac:dyDescent="0.25">
      <c r="A6" t="s">
        <v>189</v>
      </c>
      <c r="B6">
        <f>CORREL(Ränge!B3:B17, Ränge!B117:B131)</f>
        <v>0.5355836277962488</v>
      </c>
      <c r="C6">
        <f>CORREL(Ränge!C3:C17, Ränge!C117:C131)</f>
        <v>0.58594568291979388</v>
      </c>
      <c r="D6">
        <f>CORREL(Ränge!D3:D17, Ränge!D117:D131)</f>
        <v>0.50327668904721978</v>
      </c>
      <c r="E6">
        <f>CORREL(Ränge!E3:E17, Ränge!E117:E131)</f>
        <v>0.24528230018461861</v>
      </c>
      <c r="F6">
        <f>CORREL(Ränge!F3:F17, Ränge!F117:F131)</f>
        <v>0.40351567181563197</v>
      </c>
      <c r="G6">
        <f>CORREL(Ränge!G3:G17, Ränge!G117:G131)</f>
        <v>0.44812488093391351</v>
      </c>
    </row>
    <row r="9" spans="1:7" x14ac:dyDescent="0.25">
      <c r="A9" t="s">
        <v>188</v>
      </c>
      <c r="B9" t="s">
        <v>9</v>
      </c>
      <c r="C9" t="s">
        <v>10</v>
      </c>
      <c r="D9" t="s">
        <v>11</v>
      </c>
      <c r="E9" t="s">
        <v>12</v>
      </c>
      <c r="F9" t="s">
        <v>13</v>
      </c>
      <c r="G9" t="s">
        <v>14</v>
      </c>
    </row>
    <row r="10" spans="1:7" x14ac:dyDescent="0.25">
      <c r="A10" t="s">
        <v>187</v>
      </c>
      <c r="B10">
        <f>PEARSON('Human Details'!$J$2:$J$16, 'LLM-As-Judge Details'!$J$2:$J$16)</f>
        <v>0.65302115146149642</v>
      </c>
      <c r="C10">
        <f>PEARSON('Human Details'!$K$2:$K$16, 'LLM-As-Judge Details'!$K$2:$K$16)</f>
        <v>0.73529278765912609</v>
      </c>
      <c r="D10">
        <f>PEARSON('Human Details'!$L$2:$L$16, 'LLM-As-Judge Details'!$L$2:$L$16)</f>
        <v>0.41218722229223714</v>
      </c>
      <c r="E10">
        <f>PEARSON('Human Details'!$M$2:$M$16, 'LLM-As-Judge Details'!$M$2:$M$16)</f>
        <v>0.14385935125325996</v>
      </c>
      <c r="F10">
        <f>PEARSON('Human Details'!$N$2:$N$16, 'LLM-As-Judge Details'!$N$2:$N$16)</f>
        <v>0.1688037786431025</v>
      </c>
      <c r="G10">
        <f>PEARSON('Human Details'!$O$2:$O$16, 'LLM-As-Judge Details'!$O$2:$O$16)</f>
        <v>0.37830877806043484</v>
      </c>
    </row>
    <row r="11" spans="1:7" x14ac:dyDescent="0.25">
      <c r="A11" t="s">
        <v>183</v>
      </c>
      <c r="B11">
        <f>PEARSON('Human Details'!$J$2:$J$16, 'GPT4o-mini-Details'!$J$2:$J$16)</f>
        <v>0.6485538464181948</v>
      </c>
      <c r="C11">
        <f>PEARSON('Human Details'!$K$2:$K$16, 'GPT4o-mini-Details'!$K$2:$K$16)</f>
        <v>0.59067257268181195</v>
      </c>
      <c r="D11">
        <f>PEARSON('Human Details'!$L$2:$L$16, 'GPT4o-mini-Details'!$L$2:$L$16)</f>
        <v>0.58517311891033397</v>
      </c>
      <c r="E11">
        <f>PEARSON('Human Details'!$M$2:$M$16, 'GPT4o-mini-Details'!$M$2:$M$16)</f>
        <v>0.14385935125325996</v>
      </c>
      <c r="F11">
        <f>PEARSON('Human Details'!$N$2:$N$16, 'GPT4o-mini-Details'!$N$2:$N$16)</f>
        <v>0.18258654148566869</v>
      </c>
      <c r="G11">
        <f>PEARSON('Human Details'!$O$2:$O$16, 'GPT4o-mini-Details'!$O$2:$O$16)</f>
        <v>0.69920986651411821</v>
      </c>
    </row>
    <row r="12" spans="1:7" x14ac:dyDescent="0.25">
      <c r="A12" t="s">
        <v>184</v>
      </c>
      <c r="B12">
        <f>PEARSON('Human Details'!$J$2:$J$16, 'gpt-4.1-Details'!$J$2:$J$16)</f>
        <v>0.31901446589342963</v>
      </c>
      <c r="C12">
        <f>PEARSON('Human Details'!$K$2:$K$16, 'gpt-4.1-Details'!$K$2:$K$16)</f>
        <v>0.17682218687058057</v>
      </c>
      <c r="D12">
        <f>PEARSON('Human Details'!$L$2:$L$16, 'gpt-4.1-Details'!$L$2:$L$16)</f>
        <v>-0.1595596106936219</v>
      </c>
      <c r="E12">
        <f>PEARSON('Human Details'!$M$2:$M$16, 'gpt-4.1-Details'!$M$2:$M$16)</f>
        <v>-0.42476534468002053</v>
      </c>
      <c r="F12">
        <f>PEARSON('Human Details'!$N$2:$N$16, 'gpt-4.1-Details'!$N$2:$N$16)</f>
        <v>-0.28831767495296323</v>
      </c>
      <c r="G12">
        <f>PEARSON('Human Details'!$O$2:$O$16, 'gpt-4.1-Details'!$O$2:$O$16)</f>
        <v>0.31097902237946889</v>
      </c>
    </row>
    <row r="13" spans="1:7" x14ac:dyDescent="0.25">
      <c r="A13" t="s">
        <v>185</v>
      </c>
      <c r="B13">
        <f>PEARSON('Human Details'!$J$2:$J$16, 'gpt-5.2-Details'!$J$2:$J$16)</f>
        <v>0.63105835691747847</v>
      </c>
      <c r="C13">
        <f>PEARSON('Human Details'!$K$2:$K$16, 'gpt-5.2-Details'!$K$2:$K$16)</f>
        <v>0.67944727876340227</v>
      </c>
      <c r="D13">
        <f>PEARSON('Human Details'!$L$2:$L$16, 'gpt-5.2-Details'!$L$2:$L$16)</f>
        <v>0.68822528049299581</v>
      </c>
      <c r="E13">
        <f>PEARSON('Human Details'!$M$2:$M$16, 'gpt-5.2-Details'!$M$2:$M$16)</f>
        <v>0.14385935125325996</v>
      </c>
      <c r="F13">
        <f>PEARSON('Human Details'!$N$2:$N$16, 'gpt-5.2-Details'!$N$2:$N$16)</f>
        <v>0.45089067043249847</v>
      </c>
      <c r="G13">
        <f>PEARSON('Human Details'!$O$2:$O$16, 'gpt-5.2-Details'!$O$2:$O$16)</f>
        <v>0.40086275167273677</v>
      </c>
    </row>
    <row r="14" spans="1:7" x14ac:dyDescent="0.25">
      <c r="A14" t="s">
        <v>189</v>
      </c>
      <c r="B14">
        <f>PEARSON('Human Details'!$J$2:$J$16, 'gpt-4.1-mini-Details'!$J$2:$J$16)</f>
        <v>0.73322697783828605</v>
      </c>
      <c r="C14">
        <f>PEARSON('Human Details'!$K$2:$K$16, 'gpt-4.1-mini-Details'!$K$2:$K$16)</f>
        <v>0.56215486685579941</v>
      </c>
      <c r="D14">
        <f>PEARSON('Human Details'!$L$2:$L$16, 'gpt-4.1-mini-Details'!$L$2:$L$16)</f>
        <v>0.55107579992168187</v>
      </c>
      <c r="E14">
        <f>PEARSON('Human Details'!$M$2:$M$16, 'gpt-4.1-mini-Details'!$M$2:$M$16)</f>
        <v>0.26938296177516874</v>
      </c>
      <c r="F14">
        <f>PEARSON('Human Details'!$N$2:$N$16, 'gpt-4.1-mini-Details'!$N$2:$N$16)</f>
        <v>0.36082995651787875</v>
      </c>
      <c r="G14">
        <f>PEARSON('Human Details'!$O$2:$O$16, 'gpt-4.1-mini-Details'!$O$2:$O$16)</f>
        <v>0.46513087562715405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4626-C010-4D26-A92F-880ACCCAD1BE}">
  <dimension ref="A1:L21"/>
  <sheetViews>
    <sheetView workbookViewId="0">
      <selection sqref="A1:G20"/>
    </sheetView>
  </sheetViews>
  <sheetFormatPr baseColWidth="10" defaultRowHeight="15" x14ac:dyDescent="0.25"/>
  <cols>
    <col min="1" max="1" width="15" bestFit="1" customWidth="1"/>
    <col min="3" max="3" width="13.5703125" bestFit="1" customWidth="1"/>
    <col min="4" max="4" width="17" bestFit="1" customWidth="1"/>
    <col min="5" max="5" width="18.42578125" bestFit="1" customWidth="1"/>
    <col min="6" max="6" width="20" bestFit="1" customWidth="1"/>
    <col min="7" max="7" width="17.140625" bestFit="1" customWidth="1"/>
  </cols>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Details'!J2-'LLM-As-Judge Details'!J2)</f>
        <v>0.1428571428571429</v>
      </c>
      <c r="C3">
        <f>ABS('Human Details'!K2-'LLM-As-Judge Details'!K2)</f>
        <v>0</v>
      </c>
      <c r="D3">
        <f>ABS('Human Details'!L2-'LLM-As-Judge Details'!L2)</f>
        <v>0.26333333335416675</v>
      </c>
      <c r="E3">
        <f>ABS('Human Details'!M2-'GPT4o-mini-Details'!M2)</f>
        <v>5.8254653749573948E-2</v>
      </c>
      <c r="F3">
        <f>ABS('Human Details'!N2-'LLM-As-Judge Details'!N2)</f>
        <v>0.34343434355780023</v>
      </c>
      <c r="G3">
        <f>ABS('Human Details'!O2-'LLM-As-Judge Details'!O2)</f>
        <v>0.17067878027659455</v>
      </c>
    </row>
    <row r="4" spans="1:7" x14ac:dyDescent="0.25">
      <c r="A4">
        <v>8</v>
      </c>
      <c r="B4">
        <f>ABS('Human Details'!J3-'LLM-As-Judge Details'!J3)</f>
        <v>9.9999999999999978E-2</v>
      </c>
      <c r="C4">
        <f>ABS('Human Details'!K3-'LLM-As-Judge Details'!K3)</f>
        <v>0</v>
      </c>
      <c r="D4">
        <f>ABS('Human Details'!L3-'LLM-As-Judge Details'!L3)</f>
        <v>1.000000082740371E-10</v>
      </c>
      <c r="E4" s="11">
        <f>ABS('Human Details'!M3-'GPT4o-mini-Details'!M3)</f>
        <v>0.71366373138551342</v>
      </c>
      <c r="F4">
        <f>ABS('Human Details'!N3-'LLM-As-Judge Details'!N3)</f>
        <v>0</v>
      </c>
      <c r="G4">
        <f>ABS('Human Details'!O3-'LLM-As-Judge Details'!O3)</f>
        <v>0</v>
      </c>
    </row>
    <row r="5" spans="1:7" x14ac:dyDescent="0.25">
      <c r="A5">
        <v>11</v>
      </c>
      <c r="B5">
        <f>ABS('Human Details'!J4-'LLM-As-Judge Details'!J4)</f>
        <v>0</v>
      </c>
      <c r="C5">
        <f>ABS('Human Details'!K4-'LLM-As-Judge Details'!K4)</f>
        <v>0</v>
      </c>
      <c r="D5">
        <f>ABS('Human Details'!L4-'LLM-As-Judge Details'!L4)</f>
        <v>3.33333360913457E-11</v>
      </c>
      <c r="E5">
        <f>ABS('Human Details'!M4-'GPT4o-mini-Details'!M4)</f>
        <v>0.21741346021913099</v>
      </c>
      <c r="F5" s="11">
        <f>ABS('Human Details'!N4-'LLM-As-Judge Details'!N4)</f>
        <v>0.52727272647272727</v>
      </c>
      <c r="G5">
        <f>ABS('Human Details'!O4-'LLM-As-Judge Details'!O4)</f>
        <v>0.5</v>
      </c>
    </row>
    <row r="6" spans="1:7" x14ac:dyDescent="0.25">
      <c r="A6">
        <v>17</v>
      </c>
      <c r="B6">
        <f>ABS('Human Details'!J5-'LLM-As-Judge Details'!J5)</f>
        <v>0.16666666666666663</v>
      </c>
      <c r="C6">
        <f>ABS('Human Details'!K5-'LLM-As-Judge Details'!K5)</f>
        <v>0.33333333333333331</v>
      </c>
      <c r="D6" s="11">
        <f>ABS('Human Details'!L5-'LLM-As-Judge Details'!L5)</f>
        <v>0.67499999995000004</v>
      </c>
      <c r="E6">
        <f>ABS('Human Details'!M5-'GPT4o-mini-Details'!M5)</f>
        <v>0.26307917657424806</v>
      </c>
      <c r="F6">
        <f>ABS('Human Details'!N5-'LLM-As-Judge Details'!N5)</f>
        <v>0.22222222234567901</v>
      </c>
      <c r="G6">
        <f>ABS('Human Details'!O5-'LLM-As-Judge Details'!O5)</f>
        <v>0.5</v>
      </c>
    </row>
    <row r="7" spans="1:7" x14ac:dyDescent="0.25">
      <c r="A7">
        <v>20</v>
      </c>
      <c r="B7">
        <f>ABS('Human Details'!J6-'LLM-As-Judge Details'!J6)</f>
        <v>9.9999999999999978E-2</v>
      </c>
      <c r="C7">
        <f>ABS('Human Details'!K6-'LLM-As-Judge Details'!K6)</f>
        <v>0.25</v>
      </c>
      <c r="D7">
        <f>ABS('Human Details'!L6-'LLM-As-Judge Details'!L6)</f>
        <v>0.30000000003500005</v>
      </c>
      <c r="E7">
        <f>ABS('Human Details'!M6-'GPT4o-mini-Details'!M6)</f>
        <v>4.7320967923253465E-2</v>
      </c>
      <c r="F7">
        <f>ABS('Human Details'!N6-'LLM-As-Judge Details'!N6)</f>
        <v>0.25</v>
      </c>
      <c r="G7">
        <f>ABS('Human Details'!O6-'LLM-As-Judge Details'!O6)</f>
        <v>0.24063256775045516</v>
      </c>
    </row>
    <row r="8" spans="1:7" x14ac:dyDescent="0.25">
      <c r="A8">
        <v>30</v>
      </c>
      <c r="B8">
        <f>ABS('Human Details'!J7-'LLM-As-Judge Details'!J7)</f>
        <v>8.3333333333333315E-2</v>
      </c>
      <c r="C8" s="11">
        <f>ABS('Human Details'!K7-'LLM-As-Judge Details'!K7)</f>
        <v>1</v>
      </c>
      <c r="D8">
        <f>ABS('Human Details'!L7-'LLM-As-Judge Details'!L7)</f>
        <v>0.24999999989999999</v>
      </c>
      <c r="E8" s="11">
        <f>ABS('Human Details'!M7-'GPT4o-mini-Details'!M7)</f>
        <v>0.61740094111044419</v>
      </c>
      <c r="F8">
        <f>ABS('Human Details'!N7-'LLM-As-Judge Details'!N7)</f>
        <v>0</v>
      </c>
      <c r="G8">
        <f>ABS('Human Details'!O7-'LLM-As-Judge Details'!O7)</f>
        <v>0.25</v>
      </c>
    </row>
    <row r="9" spans="1:7" x14ac:dyDescent="0.25">
      <c r="A9">
        <v>33</v>
      </c>
      <c r="B9">
        <f>ABS('Human Details'!J8-'LLM-As-Judge Details'!J8)</f>
        <v>0.16666666666666669</v>
      </c>
      <c r="C9">
        <f>ABS('Human Details'!K8-'LLM-As-Judge Details'!K8)</f>
        <v>0</v>
      </c>
      <c r="D9">
        <f>ABS('Human Details'!L8-'LLM-As-Judge Details'!L8)</f>
        <v>3.3333333622221906E-3</v>
      </c>
      <c r="E9">
        <f>ABS('Human Details'!M8-'GPT4o-mini-Details'!M8)</f>
        <v>0.13175794034474853</v>
      </c>
      <c r="F9" s="11">
        <f>ABS('Human Details'!N8-'LLM-As-Judge Details'!N8)</f>
        <v>0.75000000062500005</v>
      </c>
      <c r="G9">
        <f>ABS('Human Details'!O8-'LLM-As-Judge Details'!O8)</f>
        <v>0.12696433281486375</v>
      </c>
    </row>
    <row r="10" spans="1:7" x14ac:dyDescent="0.25">
      <c r="A10" s="13">
        <v>34</v>
      </c>
      <c r="B10" s="13">
        <f>ABS('Human Details'!J9-'LLM-As-Judge Details'!J9)</f>
        <v>0</v>
      </c>
      <c r="C10" s="13">
        <f>ABS('Human Details'!K9-'LLM-As-Judge Details'!K9)</f>
        <v>0</v>
      </c>
      <c r="D10" s="13">
        <f>ABS('Human Details'!L9-'LLM-As-Judge Details'!L9)</f>
        <v>0</v>
      </c>
      <c r="E10" s="13">
        <f>ABS('Human Details'!M9-'GPT4o-mini-Details'!M9)</f>
        <v>0.24801993950570767</v>
      </c>
      <c r="F10" s="13">
        <f>ABS('Human Details'!N9-'LLM-As-Judge Details'!N9)</f>
        <v>0</v>
      </c>
      <c r="G10" s="13">
        <f>ABS('Human Details'!O9-'LLM-As-Judge Details'!O9)</f>
        <v>7.3886782337533874E-2</v>
      </c>
    </row>
    <row r="11" spans="1:7" x14ac:dyDescent="0.25">
      <c r="A11">
        <v>64</v>
      </c>
      <c r="B11" s="11">
        <f>ABS('Human Details'!J10-'LLM-As-Judge Details'!J10)</f>
        <v>0.8</v>
      </c>
      <c r="C11">
        <f>ABS('Human Details'!K10-'LLM-As-Judge Details'!K10)</f>
        <v>0.14285714285714279</v>
      </c>
      <c r="D11" s="11">
        <f>ABS('Human Details'!L10-'LLM-As-Judge Details'!L10)</f>
        <v>0.99999999995</v>
      </c>
      <c r="E11" s="11">
        <f>ABS('Human Details'!M10-'GPT4o-mini-Details'!M10)</f>
        <v>0.80823798188452467</v>
      </c>
      <c r="F11">
        <f>ABS('Human Details'!N10-'LLM-As-Judge Details'!N10)</f>
        <v>0</v>
      </c>
      <c r="G11" s="11">
        <f>ABS('Human Details'!O10-'LLM-As-Judge Details'!O10)</f>
        <v>0.9057499525724565</v>
      </c>
    </row>
    <row r="12" spans="1:7" x14ac:dyDescent="0.25">
      <c r="A12">
        <v>65</v>
      </c>
      <c r="B12">
        <f>ABS('Human Details'!J11-'LLM-As-Judge Details'!J11)</f>
        <v>0</v>
      </c>
      <c r="C12">
        <f>ABS('Human Details'!K11-'LLM-As-Judge Details'!K11)</f>
        <v>0</v>
      </c>
      <c r="D12">
        <f>ABS('Human Details'!L11-'LLM-As-Judge Details'!L11)</f>
        <v>2.000000165480742E-11</v>
      </c>
      <c r="E12">
        <f>ABS('Human Details'!M11-'GPT4o-mini-Details'!M11)</f>
        <v>0.35041125424598185</v>
      </c>
      <c r="F12" s="11">
        <f>ABS('Human Details'!N11-'LLM-As-Judge Details'!N11)</f>
        <v>0.94117647062283738</v>
      </c>
      <c r="G12">
        <f>ABS('Human Details'!O11-'LLM-As-Judge Details'!O11)</f>
        <v>0.27756832527933406</v>
      </c>
    </row>
    <row r="13" spans="1:7" x14ac:dyDescent="0.25">
      <c r="A13">
        <v>84</v>
      </c>
      <c r="B13">
        <f>ABS('Human Details'!J12-'LLM-As-Judge Details'!J12)</f>
        <v>8.5714285714285743E-2</v>
      </c>
      <c r="C13" s="11">
        <f>ABS('Human Details'!K12-'LLM-As-Judge Details'!K12)</f>
        <v>0.6</v>
      </c>
      <c r="D13">
        <f>ABS('Human Details'!L12-'LLM-As-Judge Details'!L12)</f>
        <v>0.24444444446962965</v>
      </c>
      <c r="E13">
        <f>ABS('Human Details'!M12-'GPT4o-mini-Details'!M12)</f>
        <v>0.22480963765983408</v>
      </c>
      <c r="F13">
        <f>ABS('Human Details'!N12-'LLM-As-Judge Details'!N12)</f>
        <v>0.11428571428571428</v>
      </c>
      <c r="G13">
        <f>ABS('Human Details'!O12-'LLM-As-Judge Details'!O12)</f>
        <v>4.0120446026503664E-2</v>
      </c>
    </row>
    <row r="14" spans="1:7" x14ac:dyDescent="0.25">
      <c r="A14">
        <v>89</v>
      </c>
      <c r="B14">
        <f>ABS('Human Details'!J13-'LLM-As-Judge Details'!J13)</f>
        <v>0</v>
      </c>
      <c r="C14">
        <f>ABS('Human Details'!K13-'LLM-As-Judge Details'!K13)</f>
        <v>0</v>
      </c>
      <c r="D14">
        <f>ABS('Human Details'!L13-'LLM-As-Judge Details'!L13)</f>
        <v>0.19999999998000001</v>
      </c>
      <c r="E14" s="11">
        <f>ABS('Human Details'!M13-'GPT4o-mini-Details'!M13)</f>
        <v>0.57422403734337246</v>
      </c>
      <c r="F14">
        <f>ABS('Human Details'!N13-'LLM-As-Judge Details'!N13)</f>
        <v>0</v>
      </c>
      <c r="G14">
        <f>ABS('Human Details'!O13-'LLM-As-Judge Details'!O13)</f>
        <v>0.2</v>
      </c>
    </row>
    <row r="15" spans="1:7" x14ac:dyDescent="0.25">
      <c r="A15">
        <v>91</v>
      </c>
      <c r="B15">
        <f>ABS('Human Details'!J14-'LLM-As-Judge Details'!J14)</f>
        <v>0.12179487179487181</v>
      </c>
      <c r="C15">
        <f>ABS('Human Details'!K14-'LLM-As-Judge Details'!K14)</f>
        <v>2.8571428571428525E-2</v>
      </c>
      <c r="D15">
        <f>ABS('Human Details'!L14-'LLM-As-Judge Details'!L14)</f>
        <v>0.38749999997781248</v>
      </c>
      <c r="E15">
        <f>ABS('Human Details'!M14-'GPT4o-mini-Details'!M14)</f>
        <v>0.33352148197934484</v>
      </c>
      <c r="F15" s="11">
        <f>ABS('Human Details'!N14-'LLM-As-Judge Details'!N14)</f>
        <v>0.65384615384615385</v>
      </c>
      <c r="G15" s="11">
        <f>ABS('Human Details'!O14-'LLM-As-Judge Details'!O14)</f>
        <v>0.75</v>
      </c>
    </row>
    <row r="16" spans="1:7" x14ac:dyDescent="0.25">
      <c r="A16">
        <v>97</v>
      </c>
      <c r="B16">
        <f>ABS('Human Details'!J15-'LLM-As-Judge Details'!J15)</f>
        <v>2.5000000000000022E-2</v>
      </c>
      <c r="C16">
        <f>ABS('Human Details'!K15-'LLM-As-Judge Details'!K15)</f>
        <v>0.15000000000000002</v>
      </c>
      <c r="D16">
        <f>ABS('Human Details'!L15-'LLM-As-Judge Details'!L15)</f>
        <v>0.49999999998</v>
      </c>
      <c r="E16" s="11">
        <f>ABS('Human Details'!M15-'GPT4o-mini-Details'!M15)</f>
        <v>0.58696191881469706</v>
      </c>
      <c r="F16" s="11">
        <f>ABS('Human Details'!N15-'LLM-As-Judge Details'!N15)</f>
        <v>0.6</v>
      </c>
      <c r="G16" s="11">
        <f>ABS('Human Details'!O15-'LLM-As-Judge Details'!O15)</f>
        <v>0.75</v>
      </c>
    </row>
    <row r="17" spans="1:12" x14ac:dyDescent="0.25">
      <c r="A17">
        <v>110</v>
      </c>
      <c r="B17">
        <f>ABS('Human Details'!J16-'LLM-As-Judge Details'!J16)</f>
        <v>0.30555555555555558</v>
      </c>
      <c r="C17">
        <f>ABS('Human Details'!K16-'LLM-As-Judge Details'!K16)</f>
        <v>4.9999999999999989E-2</v>
      </c>
      <c r="D17">
        <f>ABS('Human Details'!L16-'LLM-As-Judge Details'!L16)</f>
        <v>0.46666666668916662</v>
      </c>
      <c r="E17">
        <f>ABS('Human Details'!M16-'GPT4o-mini-Details'!M16)</f>
        <v>0.51220810325268817</v>
      </c>
      <c r="F17">
        <f>ABS('Human Details'!N16-'LLM-As-Judge Details'!N16)</f>
        <v>0.18623481787293678</v>
      </c>
      <c r="G17" s="11">
        <f>ABS('Human Details'!O16-'LLM-As-Judge Details'!O16)</f>
        <v>0.67710612806559023</v>
      </c>
    </row>
    <row r="19" spans="1:12" x14ac:dyDescent="0.25">
      <c r="B19" t="s">
        <v>9</v>
      </c>
      <c r="C19" t="s">
        <v>10</v>
      </c>
      <c r="D19" t="s">
        <v>11</v>
      </c>
      <c r="E19" t="s">
        <v>12</v>
      </c>
      <c r="F19" t="s">
        <v>13</v>
      </c>
      <c r="G19" t="s">
        <v>14</v>
      </c>
      <c r="L19" t="s">
        <v>156</v>
      </c>
    </row>
    <row r="20" spans="1:12" x14ac:dyDescent="0.25">
      <c r="A20" t="s">
        <v>168</v>
      </c>
      <c r="B20">
        <f>AVERAGE(B3:B17)</f>
        <v>0.13983923483923485</v>
      </c>
      <c r="C20">
        <f t="shared" ref="C20:G20" si="0">AVERAGE(C3:C17)</f>
        <v>0.17031746031746028</v>
      </c>
      <c r="D20">
        <f t="shared" si="0"/>
        <v>0.28601851852008875</v>
      </c>
      <c r="E20" s="11">
        <f t="shared" si="0"/>
        <v>0.37915234839953754</v>
      </c>
      <c r="F20" s="11">
        <f t="shared" si="0"/>
        <v>0.30589816330858993</v>
      </c>
      <c r="G20" s="11">
        <f t="shared" si="0"/>
        <v>0.36418048767488881</v>
      </c>
      <c r="L20" t="s">
        <v>154</v>
      </c>
    </row>
    <row r="21" spans="1:12" x14ac:dyDescent="0.25">
      <c r="L21" t="s">
        <v>155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7B81-095E-422C-A846-048BDC246D28}">
  <dimension ref="A1:G20"/>
  <sheetViews>
    <sheetView workbookViewId="0">
      <selection activeCell="L21" sqref="L21"/>
    </sheetView>
  </sheetViews>
  <sheetFormatPr baseColWidth="10" defaultRowHeight="15" x14ac:dyDescent="0.25"/>
  <cols>
    <col min="1" max="1" width="15" bestFit="1" customWidth="1"/>
  </cols>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Details'!J2-'GPT4o-mini-Details'!J2)</f>
        <v>5.8823529411764719E-2</v>
      </c>
      <c r="C3">
        <f>ABS('Human Details'!K2-'GPT4o-mini-Details'!K2)</f>
        <v>0</v>
      </c>
      <c r="D3">
        <f>ABS('Human Details'!L2-'GPT4o-mini-Details'!L2)</f>
        <v>0.31999999997999995</v>
      </c>
      <c r="E3">
        <f>ABS('Human Details'!M2-'GPT4o-mini-Details'!M2)</f>
        <v>5.8254653749573948E-2</v>
      </c>
      <c r="F3">
        <f>ABS('Human Details'!N2-'GPT4o-mini-Details'!N2)</f>
        <v>0.34343434355780023</v>
      </c>
      <c r="G3">
        <f>ABS('Human Details'!O2-'GPT4o-mini-Details'!O2)</f>
        <v>0.16082544134803778</v>
      </c>
    </row>
    <row r="4" spans="1:7" x14ac:dyDescent="0.25">
      <c r="A4">
        <v>8</v>
      </c>
      <c r="B4">
        <f>ABS('Human Details'!J3-'GPT4o-mini-Details'!J3)</f>
        <v>4.5454545454545525E-2</v>
      </c>
      <c r="C4" s="14">
        <f>ABS('Human Details'!K3-'GPT4o-mini-Details'!K3)</f>
        <v>0.66666666666666663</v>
      </c>
      <c r="D4">
        <f>ABS('Human Details'!L3-'GPT4o-mini-Details'!L3)</f>
        <v>1.000000082740371E-10</v>
      </c>
      <c r="E4" s="11">
        <f>ABS('Human Details'!M3-'GPT4o-mini-Details'!M3)</f>
        <v>0.71366373138551342</v>
      </c>
      <c r="F4">
        <f>ABS('Human Details'!N3-'GPT4o-mini-Details'!N3)</f>
        <v>0</v>
      </c>
      <c r="G4">
        <f>ABS('Human Details'!O3-'GPT4o-mini-Details'!O3)</f>
        <v>0</v>
      </c>
    </row>
    <row r="5" spans="1:7" x14ac:dyDescent="0.25">
      <c r="A5">
        <v>11</v>
      </c>
      <c r="B5">
        <f>ABS('Human Details'!J4-'GPT4o-mini-Details'!J4)</f>
        <v>0.30000000000000004</v>
      </c>
      <c r="C5">
        <f>ABS('Human Details'!K4-'GPT4o-mini-Details'!K4)</f>
        <v>0</v>
      </c>
      <c r="D5">
        <f>ABS('Human Details'!L4-'GPT4o-mini-Details'!L4)</f>
        <v>3.33333360913457E-11</v>
      </c>
      <c r="E5">
        <f>ABS('Human Details'!M4-'GPT4o-mini-Details'!M4)</f>
        <v>0.21741346021913099</v>
      </c>
      <c r="F5">
        <f>ABS('Human Details'!N4-'GPT4o-mini-Details'!N4)</f>
        <v>0.42727272657272719</v>
      </c>
      <c r="G5" s="14">
        <f>ABS('Human Details'!O4-'GPT4o-mini-Details'!O4)</f>
        <v>0.5</v>
      </c>
    </row>
    <row r="6" spans="1:7" x14ac:dyDescent="0.25">
      <c r="A6">
        <v>17</v>
      </c>
      <c r="B6">
        <f>ABS('Human Details'!J5-'GPT4o-mini-Details'!J5)</f>
        <v>0.16666666666666663</v>
      </c>
      <c r="C6" s="14">
        <f>ABS('Human Details'!K5-'GPT4o-mini-Details'!K5)</f>
        <v>0.66666666666666674</v>
      </c>
      <c r="D6">
        <f>ABS('Human Details'!L5-'GPT4o-mini-Details'!L5)</f>
        <v>0.20833333331555554</v>
      </c>
      <c r="E6">
        <f>ABS('Human Details'!M5-'GPT4o-mini-Details'!M5)</f>
        <v>0.26307917657424806</v>
      </c>
      <c r="F6">
        <f>ABS('Human Details'!N5-'GPT4o-mini-Details'!N5)</f>
        <v>0.22222222234567901</v>
      </c>
      <c r="G6" s="14">
        <f>ABS('Human Details'!O5-'GPT4o-mini-Details'!O5)</f>
        <v>0.5</v>
      </c>
    </row>
    <row r="7" spans="1:7" x14ac:dyDescent="0.25">
      <c r="A7">
        <v>20</v>
      </c>
      <c r="B7">
        <f>ABS('Human Details'!J6-'GPT4o-mini-Details'!J6)</f>
        <v>0.30000000000000004</v>
      </c>
      <c r="C7">
        <f>ABS('Human Details'!K6-'GPT4o-mini-Details'!K6)</f>
        <v>0.15000000000000002</v>
      </c>
      <c r="D7">
        <f>ABS('Human Details'!L6-'GPT4o-mini-Details'!L6)</f>
        <v>5.000000413701855E-11</v>
      </c>
      <c r="E7">
        <f>ABS('Human Details'!M6-'GPT4o-mini-Details'!M6)</f>
        <v>4.7320967923253465E-2</v>
      </c>
      <c r="F7">
        <f>ABS('Human Details'!N6-'GPT4o-mini-Details'!N6)</f>
        <v>0.25</v>
      </c>
      <c r="G7">
        <f>ABS('Human Details'!O6-'GPT4o-mini-Details'!O6)</f>
        <v>4.6252433029405626E-3</v>
      </c>
    </row>
    <row r="8" spans="1:7" x14ac:dyDescent="0.25">
      <c r="A8">
        <v>30</v>
      </c>
      <c r="B8" s="14">
        <f>ABS('Human Details'!J7-'GPT4o-mini-Details'!J7)</f>
        <v>0.66666666666666674</v>
      </c>
      <c r="C8" s="11">
        <f>ABS('Human Details'!K7-'GPT4o-mini-Details'!K7)</f>
        <v>1</v>
      </c>
      <c r="D8">
        <f>ABS('Human Details'!L7-'GPT4o-mini-Details'!L7)</f>
        <v>0.16666666663611107</v>
      </c>
      <c r="E8" s="11">
        <f>ABS('Human Details'!M7-'GPT4o-mini-Details'!M7)</f>
        <v>0.61740094111044419</v>
      </c>
      <c r="F8">
        <f>ABS('Human Details'!N7-'GPT4o-mini-Details'!N7)</f>
        <v>0</v>
      </c>
      <c r="G8" s="11">
        <f>ABS('Human Details'!O7-'GPT4o-mini-Details'!O7)</f>
        <v>0.65348977789532314</v>
      </c>
    </row>
    <row r="9" spans="1:7" x14ac:dyDescent="0.25">
      <c r="A9">
        <v>33</v>
      </c>
      <c r="B9">
        <f>ABS('Human Details'!J8-'GPT4o-mini-Details'!J8)</f>
        <v>0</v>
      </c>
      <c r="C9">
        <f>ABS('Human Details'!K8-'GPT4o-mini-Details'!K8)</f>
        <v>0</v>
      </c>
      <c r="D9">
        <f>ABS('Human Details'!L8-'GPT4o-mini-Details'!L8)</f>
        <v>3.3333333622221906E-3</v>
      </c>
      <c r="E9">
        <f>ABS('Human Details'!M8-'GPT4o-mini-Details'!M8)</f>
        <v>0.13175794034474853</v>
      </c>
      <c r="F9" s="11">
        <f>ABS('Human Details'!N8-'GPT4o-mini-Details'!N8)</f>
        <v>1</v>
      </c>
      <c r="G9">
        <f>ABS('Human Details'!O8-'GPT4o-mini-Details'!O8)</f>
        <v>0.2391112201369866</v>
      </c>
    </row>
    <row r="10" spans="1:7" x14ac:dyDescent="0.25">
      <c r="A10">
        <v>34</v>
      </c>
      <c r="B10">
        <f>ABS('Human Details'!J9-'GPT4o-mini-Details'!J9)</f>
        <v>0</v>
      </c>
      <c r="C10" s="14">
        <f>ABS('Human Details'!K9-'GPT4o-mini-Details'!K9)</f>
        <v>0.5</v>
      </c>
      <c r="D10">
        <f>ABS('Human Details'!L9-'GPT4o-mini-Details'!L9)</f>
        <v>0</v>
      </c>
      <c r="E10">
        <f>ABS('Human Details'!M9-'GPT4o-mini-Details'!M9)</f>
        <v>0.24801993950570767</v>
      </c>
      <c r="F10">
        <f>ABS('Human Details'!N9-'GPT4o-mini-Details'!N9)</f>
        <v>0</v>
      </c>
      <c r="G10">
        <f>ABS('Human Details'!O9-'GPT4o-mini-Details'!O9)</f>
        <v>9.4443725658249766E-3</v>
      </c>
    </row>
    <row r="11" spans="1:7" x14ac:dyDescent="0.25">
      <c r="A11">
        <v>64</v>
      </c>
      <c r="B11">
        <f>ABS('Human Details'!J10-'GPT4o-mini-Details'!J10)</f>
        <v>0.44444444444444442</v>
      </c>
      <c r="C11">
        <f>ABS('Human Details'!K10-'GPT4o-mini-Details'!K10)</f>
        <v>0.42857142857142849</v>
      </c>
      <c r="D11">
        <f>ABS('Human Details'!L10-'GPT4o-mini-Details'!L10)</f>
        <v>0.999999999975</v>
      </c>
      <c r="E11" s="11">
        <f>ABS('Human Details'!M10-'GPT4o-mini-Details'!M10)</f>
        <v>0.80823798188452467</v>
      </c>
      <c r="F11">
        <f>ABS('Human Details'!N10-'GPT4o-mini-Details'!N10)</f>
        <v>0</v>
      </c>
      <c r="G11">
        <f>ABS('Human Details'!O10-'GPT4o-mini-Details'!O10)</f>
        <v>0</v>
      </c>
    </row>
    <row r="12" spans="1:7" x14ac:dyDescent="0.25">
      <c r="A12">
        <v>65</v>
      </c>
      <c r="B12">
        <f>ABS('Human Details'!J11-'GPT4o-mini-Details'!J11)</f>
        <v>0.33333333333333337</v>
      </c>
      <c r="C12">
        <f>ABS('Human Details'!K11-'GPT4o-mini-Details'!K11)</f>
        <v>0</v>
      </c>
      <c r="D12">
        <f>ABS('Human Details'!L11-'GPT4o-mini-Details'!L11)</f>
        <v>2.000000165480742E-11</v>
      </c>
      <c r="E12">
        <f>ABS('Human Details'!M11-'GPT4o-mini-Details'!M11)</f>
        <v>0.35041125424598185</v>
      </c>
      <c r="F12" s="11">
        <f>ABS('Human Details'!N11-'GPT4o-mini-Details'!N11)</f>
        <v>0.80000000010000005</v>
      </c>
      <c r="G12">
        <f>ABS('Human Details'!O11-'GPT4o-mini-Details'!O11)</f>
        <v>0.2291835660371393</v>
      </c>
    </row>
    <row r="13" spans="1:7" x14ac:dyDescent="0.25">
      <c r="A13">
        <v>84</v>
      </c>
      <c r="B13">
        <f>ABS('Human Details'!J12-'GPT4o-mini-Details'!J12)</f>
        <v>0.2857142857142857</v>
      </c>
      <c r="C13">
        <f>ABS('Human Details'!K12-'GPT4o-mini-Details'!K12)</f>
        <v>0.4</v>
      </c>
      <c r="D13">
        <f>ABS('Human Details'!L12-'GPT4o-mini-Details'!L12)</f>
        <v>0.24444444446962965</v>
      </c>
      <c r="E13">
        <f>ABS('Human Details'!M12-'GPT4o-mini-Details'!M12)</f>
        <v>0.22480963765983408</v>
      </c>
      <c r="F13">
        <f>ABS('Human Details'!N12-'GPT4o-mini-Details'!N12)</f>
        <v>3.9560439442096321E-2</v>
      </c>
      <c r="G13">
        <f>ABS('Human Details'!O12-'GPT4o-mini-Details'!O12)</f>
        <v>4.478693190911065E-2</v>
      </c>
    </row>
    <row r="14" spans="1:7" x14ac:dyDescent="0.25">
      <c r="A14">
        <v>89</v>
      </c>
      <c r="B14">
        <f>ABS('Human Details'!J13-'GPT4o-mini-Details'!J13)</f>
        <v>0</v>
      </c>
      <c r="C14">
        <f>ABS('Human Details'!K13-'GPT4o-mini-Details'!K13)</f>
        <v>0</v>
      </c>
      <c r="D14">
        <f>ABS('Human Details'!L13-'GPT4o-mini-Details'!L13)</f>
        <v>0.69999999996499995</v>
      </c>
      <c r="E14" s="11">
        <f>ABS('Human Details'!M13-'GPT4o-mini-Details'!M13)</f>
        <v>0.57422403734337246</v>
      </c>
      <c r="F14">
        <f>ABS('Human Details'!N13-'GPT4o-mini-Details'!N13)</f>
        <v>0</v>
      </c>
      <c r="G14">
        <f>ABS('Human Details'!O13-'GPT4o-mini-Details'!O13)</f>
        <v>0.2</v>
      </c>
    </row>
    <row r="15" spans="1:7" x14ac:dyDescent="0.25">
      <c r="A15">
        <v>91</v>
      </c>
      <c r="B15">
        <f>ABS('Human Details'!J14-'GPT4o-mini-Details'!J14)</f>
        <v>8.6538461538461564E-2</v>
      </c>
      <c r="C15">
        <f>ABS('Human Details'!K14-'GPT4o-mini-Details'!K14)</f>
        <v>2.8571428571428525E-2</v>
      </c>
      <c r="D15">
        <f>ABS('Human Details'!L14-'GPT4o-mini-Details'!L14)</f>
        <v>0.13888888886759254</v>
      </c>
      <c r="E15">
        <f>ABS('Human Details'!M14-'GPT4o-mini-Details'!M14)</f>
        <v>0.33352148197934484</v>
      </c>
      <c r="F15" s="14">
        <f>ABS('Human Details'!N14-'GPT4o-mini-Details'!N14)</f>
        <v>0.50384615392115384</v>
      </c>
      <c r="G15" s="11">
        <f>ABS('Human Details'!O14-'GPT4o-mini-Details'!O14)</f>
        <v>0.75</v>
      </c>
    </row>
    <row r="16" spans="1:7" x14ac:dyDescent="0.25">
      <c r="A16">
        <v>97</v>
      </c>
      <c r="B16">
        <f>ABS('Human Details'!J15-'GPT4o-mini-Details'!J15)</f>
        <v>3.6363636363636431E-2</v>
      </c>
      <c r="C16">
        <f>ABS('Human Details'!K15-'GPT4o-mini-Details'!K15)</f>
        <v>0.35</v>
      </c>
      <c r="D16" s="14">
        <f>ABS('Human Details'!L15-'GPT4o-mini-Details'!L15)</f>
        <v>0.49999999998</v>
      </c>
      <c r="E16" s="11">
        <f>ABS('Human Details'!M15-'GPT4o-mini-Details'!M15)</f>
        <v>0.58696191881469706</v>
      </c>
      <c r="F16">
        <f>ABS('Human Details'!N15-'GPT4o-mini-Details'!N15)</f>
        <v>0.45714285734693877</v>
      </c>
      <c r="G16">
        <f>ABS('Human Details'!O15-'GPT4o-mini-Details'!O15)</f>
        <v>5.8775890235954087E-2</v>
      </c>
    </row>
    <row r="17" spans="1:7" x14ac:dyDescent="0.25">
      <c r="A17">
        <v>110</v>
      </c>
      <c r="B17">
        <f>ABS('Human Details'!J16-'GPT4o-mini-Details'!J16)</f>
        <v>0.38636363636363635</v>
      </c>
      <c r="C17">
        <f>ABS('Human Details'!K16-'GPT4o-mini-Details'!K16)</f>
        <v>0.3</v>
      </c>
      <c r="D17">
        <f>ABS('Human Details'!L16-'GPT4o-mini-Details'!L16)</f>
        <v>8.3333333308333368E-2</v>
      </c>
      <c r="E17">
        <f>ABS('Human Details'!M16-'GPT4o-mini-Details'!M16)</f>
        <v>0.51220810325268817</v>
      </c>
      <c r="F17">
        <f>ABS('Human Details'!N16-'GPT4o-mini-Details'!N16)</f>
        <v>0.20760233921215074</v>
      </c>
      <c r="G17">
        <f>ABS('Human Details'!O16-'GPT4o-mini-Details'!O16)</f>
        <v>0.25</v>
      </c>
    </row>
    <row r="19" spans="1:7" x14ac:dyDescent="0.25">
      <c r="B19" t="s">
        <v>9</v>
      </c>
      <c r="C19" t="s">
        <v>10</v>
      </c>
      <c r="D19" t="s">
        <v>11</v>
      </c>
      <c r="E19" t="s">
        <v>12</v>
      </c>
      <c r="F19" t="s">
        <v>13</v>
      </c>
      <c r="G19" t="s">
        <v>14</v>
      </c>
    </row>
    <row r="20" spans="1:7" x14ac:dyDescent="0.25">
      <c r="A20" t="s">
        <v>168</v>
      </c>
      <c r="B20">
        <f>AVERAGE(B3:B17)</f>
        <v>0.20735794706382946</v>
      </c>
      <c r="C20" s="14">
        <f t="shared" ref="C20:G20" si="0">AVERAGE(C3:C17)</f>
        <v>0.29936507936507933</v>
      </c>
      <c r="D20">
        <f t="shared" si="0"/>
        <v>0.22433333333751851</v>
      </c>
      <c r="E20" s="11">
        <f t="shared" si="0"/>
        <v>0.37915234839953754</v>
      </c>
      <c r="F20" s="14">
        <f t="shared" si="0"/>
        <v>0.28340540549990306</v>
      </c>
      <c r="G20">
        <f t="shared" si="0"/>
        <v>0.24001616289542113</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7BEE8-0B40-4937-8C62-ED2C699AB6D1}">
  <dimension ref="A1:G20"/>
  <sheetViews>
    <sheetView workbookViewId="0">
      <selection sqref="A1:G20"/>
    </sheetView>
  </sheetViews>
  <sheetFormatPr baseColWidth="10" defaultRowHeight="15" x14ac:dyDescent="0.25"/>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Details'!J2-'gpt-4.1-Details'!J2)</f>
        <v>5.8823529411764719E-2</v>
      </c>
      <c r="C3">
        <f>ABS('Human Details'!K2-'gpt-4.1-Details'!K2)</f>
        <v>0</v>
      </c>
      <c r="D3">
        <f>ABS('Human Details'!L2-'gpt-4.1-Details'!L2)</f>
        <v>8.333333503125484E-4</v>
      </c>
      <c r="E3">
        <f>ABS('Human Details'!M2-'gpt-4.1-Details'!M2)</f>
        <v>5.8254653749573948E-2</v>
      </c>
      <c r="F3">
        <f>ABS('Human Details'!N2-'gpt-4.1-Details'!N2)</f>
        <v>0.34343434355780023</v>
      </c>
      <c r="G3">
        <f>ABS('Human Details'!O2-'gpt-4.1-Details'!O2)</f>
        <v>0.15421099868496613</v>
      </c>
    </row>
    <row r="4" spans="1:7" x14ac:dyDescent="0.25">
      <c r="A4">
        <v>8</v>
      </c>
      <c r="B4">
        <f>ABS('Human Details'!J3-'gpt-4.1-Details'!J3)</f>
        <v>0.11538461538461542</v>
      </c>
      <c r="C4">
        <f>ABS('Human Details'!K3-'gpt-4.1-Details'!K3)</f>
        <v>0</v>
      </c>
      <c r="D4">
        <f>ABS('Human Details'!L3-'gpt-4.1-Details'!L3)</f>
        <v>1</v>
      </c>
      <c r="E4">
        <f>ABS('Human Details'!M3-'gpt-4.1-Details'!M3)</f>
        <v>0.71366373138551342</v>
      </c>
      <c r="F4">
        <f>ABS('Human Details'!N3-'gpt-4.1-Details'!N3)</f>
        <v>0</v>
      </c>
      <c r="G4">
        <f>ABS('Human Details'!O3-'gpt-4.1-Details'!O3)</f>
        <v>0</v>
      </c>
    </row>
    <row r="5" spans="1:7" x14ac:dyDescent="0.25">
      <c r="A5">
        <v>11</v>
      </c>
      <c r="B5">
        <f>ABS('Human Details'!J4-'gpt-4.1-Details'!J4)</f>
        <v>0.3</v>
      </c>
      <c r="C5">
        <f>ABS('Human Details'!K4-'gpt-4.1-Details'!K4)</f>
        <v>0</v>
      </c>
      <c r="D5">
        <f>ABS('Human Details'!L4-'gpt-4.1-Details'!L4)</f>
        <v>5.0000000023750046E-2</v>
      </c>
      <c r="E5">
        <f>ABS('Human Details'!M4-'gpt-4.1-Details'!M4)</f>
        <v>0.21741346021913099</v>
      </c>
      <c r="F5">
        <f>ABS('Human Details'!N4-'gpt-4.1-Details'!N4)</f>
        <v>0.27272727223140492</v>
      </c>
      <c r="G5">
        <f>ABS('Human Details'!O4-'gpt-4.1-Details'!O4)</f>
        <v>0.5</v>
      </c>
    </row>
    <row r="6" spans="1:7" x14ac:dyDescent="0.25">
      <c r="A6">
        <v>17</v>
      </c>
      <c r="B6">
        <f>ABS('Human Details'!J5-'gpt-4.1-Details'!J5)</f>
        <v>6.6666666666666652E-2</v>
      </c>
      <c r="C6">
        <f>ABS('Human Details'!K5-'gpt-4.1-Details'!K5)</f>
        <v>0.33333333333333331</v>
      </c>
      <c r="D6">
        <f>ABS('Human Details'!L5-'gpt-4.1-Details'!L5)</f>
        <v>0.12500000002</v>
      </c>
      <c r="E6">
        <f>ABS('Human Details'!M5-'gpt-4.1-Details'!M5)</f>
        <v>0.26307917657424806</v>
      </c>
      <c r="F6">
        <f>ABS('Human Details'!N5-'gpt-4.1-Details'!N5)</f>
        <v>6.6666666266666674E-2</v>
      </c>
      <c r="G6">
        <f>ABS('Human Details'!O5-'gpt-4.1-Details'!O5)</f>
        <v>0.5</v>
      </c>
    </row>
    <row r="7" spans="1:7" x14ac:dyDescent="0.25">
      <c r="A7">
        <v>20</v>
      </c>
      <c r="B7">
        <f>ABS('Human Details'!J6-'gpt-4.1-Details'!J6)</f>
        <v>9.9999999999999978E-2</v>
      </c>
      <c r="C7">
        <f>ABS('Human Details'!K6-'gpt-4.1-Details'!K6)</f>
        <v>0.13888888888888884</v>
      </c>
      <c r="D7">
        <f>ABS('Human Details'!L6-'gpt-4.1-Details'!L6)</f>
        <v>0.30000000003500005</v>
      </c>
      <c r="E7">
        <f>ABS('Human Details'!M6-'gpt-4.1-Details'!M6)</f>
        <v>4.7320967923253465E-2</v>
      </c>
      <c r="F7">
        <f>ABS('Human Details'!N6-'gpt-4.1-Details'!N6)</f>
        <v>0.1388888890123457</v>
      </c>
      <c r="G7">
        <f>ABS('Human Details'!O6-'gpt-4.1-Details'!O6)</f>
        <v>5.4009888158190744E-3</v>
      </c>
    </row>
    <row r="8" spans="1:7" x14ac:dyDescent="0.25">
      <c r="A8">
        <v>30</v>
      </c>
      <c r="B8">
        <f>ABS('Human Details'!J7-'gpt-4.1-Details'!J7)</f>
        <v>0.66666666666666674</v>
      </c>
      <c r="C8">
        <f>ABS('Human Details'!K7-'gpt-4.1-Details'!K7)</f>
        <v>1</v>
      </c>
      <c r="D8">
        <f>ABS('Human Details'!L7-'gpt-4.1-Details'!L7)</f>
        <v>0.1166666666377778</v>
      </c>
      <c r="E8">
        <f>ABS('Human Details'!M7-'gpt-4.1-Details'!M7)</f>
        <v>0.63175794034474853</v>
      </c>
      <c r="F8">
        <f>ABS('Human Details'!N7-'gpt-4.1-Details'!N7)</f>
        <v>0.33333333222222222</v>
      </c>
      <c r="G8">
        <f>ABS('Human Details'!O7-'gpt-4.1-Details'!O7)</f>
        <v>0.70019120770547782</v>
      </c>
    </row>
    <row r="9" spans="1:7" x14ac:dyDescent="0.25">
      <c r="A9">
        <v>33</v>
      </c>
      <c r="B9">
        <f>ABS('Human Details'!J8-'gpt-4.1-Details'!J8)</f>
        <v>0.5</v>
      </c>
      <c r="C9">
        <f>ABS('Human Details'!K8-'gpt-4.1-Details'!K8)</f>
        <v>1</v>
      </c>
      <c r="D9">
        <f>ABS('Human Details'!L8-'gpt-4.1-Details'!L8)</f>
        <v>0.87</v>
      </c>
      <c r="E9">
        <f>ABS('Human Details'!M8-'gpt-4.1-Details'!M8)</f>
        <v>1.980060494292335E-3</v>
      </c>
      <c r="F9">
        <f>ABS('Human Details'!N8-'gpt-4.1-Details'!N8)</f>
        <v>1</v>
      </c>
      <c r="G9">
        <f>ABS('Human Details'!O8-'gpt-4.1-Details'!O8)</f>
        <v>0.21368457269512253</v>
      </c>
    </row>
    <row r="10" spans="1:7" x14ac:dyDescent="0.25">
      <c r="A10">
        <v>34</v>
      </c>
      <c r="B10">
        <f>ABS('Human Details'!J9-'gpt-4.1-Details'!J9)</f>
        <v>0.33333333333333331</v>
      </c>
      <c r="C10">
        <f>ABS('Human Details'!K9-'gpt-4.1-Details'!K9)</f>
        <v>0</v>
      </c>
      <c r="D10">
        <f>ABS('Human Details'!L9-'gpt-4.1-Details'!L9)</f>
        <v>0</v>
      </c>
      <c r="E10">
        <f>ABS('Human Details'!M9-'gpt-4.1-Details'!M9)</f>
        <v>0.30823798188452467</v>
      </c>
      <c r="F10">
        <f>ABS('Human Details'!N9-'gpt-4.1-Details'!N9)</f>
        <v>5.8823529377162627E-2</v>
      </c>
      <c r="G10">
        <f>ABS('Human Details'!O9-'gpt-4.1-Details'!O9)</f>
        <v>1</v>
      </c>
    </row>
    <row r="11" spans="1:7" x14ac:dyDescent="0.25">
      <c r="A11">
        <v>64</v>
      </c>
      <c r="B11">
        <f>ABS('Human Details'!J10-'gpt-4.1-Details'!J10)</f>
        <v>0.44444444444444442</v>
      </c>
      <c r="C11">
        <f>ABS('Human Details'!K10-'gpt-4.1-Details'!K10)</f>
        <v>1</v>
      </c>
      <c r="D11">
        <f>ABS('Human Details'!L10-'gpt-4.1-Details'!L10)</f>
        <v>0.7499999999625</v>
      </c>
      <c r="E11">
        <f>ABS('Human Details'!M10-'gpt-4.1-Details'!M10)</f>
        <v>0.85041125424598185</v>
      </c>
      <c r="F11">
        <f>ABS('Human Details'!N10-'gpt-4.1-Details'!N10)</f>
        <v>0.20588235288062279</v>
      </c>
      <c r="G11">
        <f>ABS('Human Details'!O10-'gpt-4.1-Details'!O10)</f>
        <v>0</v>
      </c>
    </row>
    <row r="12" spans="1:7" x14ac:dyDescent="0.25">
      <c r="A12">
        <v>65</v>
      </c>
      <c r="B12">
        <f>ABS('Human Details'!J11-'gpt-4.1-Details'!J11)</f>
        <v>0.23333333333333339</v>
      </c>
      <c r="C12">
        <f>ABS('Human Details'!K11-'gpt-4.1-Details'!K11)</f>
        <v>0.6</v>
      </c>
      <c r="D12">
        <f>ABS('Human Details'!L11-'gpt-4.1-Details'!L11)</f>
        <v>0.24444444446962965</v>
      </c>
      <c r="E12">
        <f>ABS('Human Details'!M11-'gpt-4.1-Details'!M11)</f>
        <v>0.22480963765983408</v>
      </c>
      <c r="F12">
        <f>ABS('Human Details'!N11-'gpt-4.1-Details'!N11)</f>
        <v>1</v>
      </c>
      <c r="G12">
        <f>ABS('Human Details'!O11-'gpt-4.1-Details'!O11)</f>
        <v>4.0120446026503664E-2</v>
      </c>
    </row>
    <row r="13" spans="1:7" x14ac:dyDescent="0.25">
      <c r="A13">
        <v>84</v>
      </c>
      <c r="B13">
        <f>ABS('Human Details'!J12-'gpt-4.1-Details'!J12)</f>
        <v>0.2142857142857143</v>
      </c>
      <c r="C13">
        <f>ABS('Human Details'!K12-'gpt-4.1-Details'!K12)</f>
        <v>0.4</v>
      </c>
      <c r="D13">
        <f>ABS('Human Details'!L12-'gpt-4.1-Details'!L12)</f>
        <v>1</v>
      </c>
      <c r="E13">
        <f>ABS('Human Details'!M12-'gpt-4.1-Details'!M12)</f>
        <v>7.4224037343372462E-2</v>
      </c>
      <c r="F13">
        <f>ABS('Human Details'!N12-'gpt-4.1-Details'!N12)</f>
        <v>0.11428571428571428</v>
      </c>
      <c r="G13">
        <f>ABS('Human Details'!O12-'gpt-4.1-Details'!O12)</f>
        <v>1</v>
      </c>
    </row>
    <row r="14" spans="1:7" x14ac:dyDescent="0.25">
      <c r="A14">
        <v>89</v>
      </c>
      <c r="B14">
        <f>ABS('Human Details'!J13-'gpt-4.1-Details'!J13)</f>
        <v>0.66666666666666663</v>
      </c>
      <c r="C14">
        <f>ABS('Human Details'!K13-'gpt-4.1-Details'!K13)</f>
        <v>0.6</v>
      </c>
      <c r="D14">
        <f>ABS('Human Details'!L13-'gpt-4.1-Details'!L13)</f>
        <v>0.88749999997781248</v>
      </c>
      <c r="E14">
        <f>ABS('Human Details'!M13-'gpt-4.1-Details'!M13)</f>
        <v>0.83352148197934484</v>
      </c>
      <c r="F14">
        <f>ABS('Human Details'!N13-'gpt-4.1-Details'!N13)</f>
        <v>0.14999999992499999</v>
      </c>
      <c r="G14">
        <f>ABS('Human Details'!O13-'gpt-4.1-Details'!O13)</f>
        <v>0.2</v>
      </c>
    </row>
    <row r="15" spans="1:7" x14ac:dyDescent="0.25">
      <c r="A15">
        <v>91</v>
      </c>
      <c r="B15">
        <f>ABS('Human Details'!J14-'gpt-4.1-Details'!J14)</f>
        <v>3.8461538461538436E-2</v>
      </c>
      <c r="C15">
        <f>ABS('Human Details'!K14-'gpt-4.1-Details'!K14)</f>
        <v>0.32142857142857145</v>
      </c>
      <c r="D15">
        <f>ABS('Human Details'!L14-'gpt-4.1-Details'!L14)</f>
        <v>0.49999999998</v>
      </c>
      <c r="E15">
        <f>ABS('Human Details'!M14-'gpt-4.1-Details'!M14)</f>
        <v>0.33696191881469706</v>
      </c>
      <c r="F15">
        <f>ABS('Human Details'!N14-'gpt-4.1-Details'!N14)</f>
        <v>0.52884615400240387</v>
      </c>
      <c r="G15">
        <f>ABS('Human Details'!O14-'gpt-4.1-Details'!O14)</f>
        <v>0.12540317137051504</v>
      </c>
    </row>
    <row r="16" spans="1:7" x14ac:dyDescent="0.25">
      <c r="A16">
        <v>97</v>
      </c>
      <c r="B16">
        <f>ABS('Human Details'!J15-'gpt-4.1-Details'!J15)</f>
        <v>0.19999999999999996</v>
      </c>
      <c r="C16">
        <f>ABS('Human Details'!K15-'gpt-4.1-Details'!K15)</f>
        <v>0.15000000000000002</v>
      </c>
      <c r="D16">
        <f>ABS('Human Details'!L15-'gpt-4.1-Details'!L15)</f>
        <v>0.49999999995</v>
      </c>
      <c r="E16">
        <f>ABS('Human Details'!M15-'gpt-4.1-Details'!M15)</f>
        <v>0.51220810325268817</v>
      </c>
      <c r="F16">
        <f>ABS('Human Details'!N15-'gpt-4.1-Details'!N15)</f>
        <v>0.55000000002499994</v>
      </c>
      <c r="G16">
        <f>ABS('Human Details'!O15-'gpt-4.1-Details'!O15)</f>
        <v>0.23361773256739216</v>
      </c>
    </row>
    <row r="17" spans="1:7" x14ac:dyDescent="0.25">
      <c r="A17">
        <v>110</v>
      </c>
      <c r="B17">
        <f>ABS('Human Details'!J16-'gpt-4.1-Details'!J16)</f>
        <v>0.375</v>
      </c>
      <c r="C17">
        <f>ABS('Human Details'!K16-'gpt-4.1-Details'!K16)</f>
        <v>0.3</v>
      </c>
      <c r="D17">
        <f>ABS('Human Details'!L16-'gpt-4.1-Details'!L16)</f>
        <v>0.91666666666666663</v>
      </c>
      <c r="E17">
        <f>ABS('Human Details'!M16-'gpt-4.1-Details'!M16)</f>
        <v>0.61740094111044419</v>
      </c>
      <c r="F17">
        <f>ABS('Human Details'!N16-'gpt-4.1-Details'!N16)</f>
        <v>9.6491228347953178E-2</v>
      </c>
      <c r="G17">
        <f>ABS('Human Details'!O16-'gpt-4.1-Details'!O16)</f>
        <v>0.70413189044667701</v>
      </c>
    </row>
    <row r="19" spans="1:7" x14ac:dyDescent="0.25">
      <c r="B19" t="s">
        <v>9</v>
      </c>
      <c r="C19" t="s">
        <v>10</v>
      </c>
      <c r="D19" t="s">
        <v>11</v>
      </c>
      <c r="E19" t="s">
        <v>12</v>
      </c>
      <c r="F19" t="s">
        <v>13</v>
      </c>
      <c r="G19" t="s">
        <v>14</v>
      </c>
    </row>
    <row r="20" spans="1:7" x14ac:dyDescent="0.25">
      <c r="A20" t="s">
        <v>168</v>
      </c>
      <c r="B20">
        <f>AVERAGE(B3:B17)</f>
        <v>0.2875377672436496</v>
      </c>
      <c r="C20" s="14">
        <f t="shared" ref="C20:G20" si="0">AVERAGE(C3:C17)</f>
        <v>0.38957671957671958</v>
      </c>
      <c r="D20">
        <f t="shared" si="0"/>
        <v>0.48407407407156333</v>
      </c>
      <c r="E20" s="11">
        <f t="shared" si="0"/>
        <v>0.37941635646544325</v>
      </c>
      <c r="F20" s="14">
        <f t="shared" si="0"/>
        <v>0.32395863214228648</v>
      </c>
      <c r="G20">
        <f t="shared" si="0"/>
        <v>0.35845073388749832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7051-8EA3-479A-8A81-74392105F5D0}">
  <dimension ref="A1:X43"/>
  <sheetViews>
    <sheetView tabSelected="1" topLeftCell="B16" workbookViewId="0">
      <selection activeCell="M41" sqref="M41"/>
    </sheetView>
  </sheetViews>
  <sheetFormatPr baseColWidth="10" defaultRowHeight="15" x14ac:dyDescent="0.25"/>
  <sheetData>
    <row r="1" spans="1:24" x14ac:dyDescent="0.25">
      <c r="B1" t="s">
        <v>158</v>
      </c>
      <c r="K1" t="s">
        <v>190</v>
      </c>
      <c r="S1" t="s">
        <v>192</v>
      </c>
    </row>
    <row r="2" spans="1:24" x14ac:dyDescent="0.25">
      <c r="A2" t="s">
        <v>157</v>
      </c>
      <c r="B2" t="s">
        <v>9</v>
      </c>
      <c r="C2" t="s">
        <v>10</v>
      </c>
      <c r="D2" t="s">
        <v>11</v>
      </c>
      <c r="E2" t="s">
        <v>12</v>
      </c>
      <c r="F2" t="s">
        <v>13</v>
      </c>
      <c r="G2" t="s">
        <v>14</v>
      </c>
      <c r="J2" t="s">
        <v>157</v>
      </c>
      <c r="K2" t="s">
        <v>9</v>
      </c>
      <c r="L2" t="s">
        <v>10</v>
      </c>
      <c r="M2" t="s">
        <v>11</v>
      </c>
      <c r="N2" t="s">
        <v>12</v>
      </c>
      <c r="O2" t="s">
        <v>13</v>
      </c>
      <c r="P2" t="s">
        <v>14</v>
      </c>
      <c r="R2" t="s">
        <v>157</v>
      </c>
      <c r="S2" t="s">
        <v>9</v>
      </c>
      <c r="T2" t="s">
        <v>10</v>
      </c>
      <c r="U2" t="s">
        <v>11</v>
      </c>
      <c r="V2" t="s">
        <v>12</v>
      </c>
      <c r="W2" t="s">
        <v>13</v>
      </c>
      <c r="X2" t="s">
        <v>14</v>
      </c>
    </row>
    <row r="3" spans="1:24" x14ac:dyDescent="0.25">
      <c r="A3">
        <v>1</v>
      </c>
      <c r="B3">
        <f>ABS('Human Details'!J2-'gpt-4.1-mini-Details'!J2)</f>
        <v>5.555555555555558E-2</v>
      </c>
      <c r="C3">
        <f>ABS('Human Details'!K2-'gpt-4.1-mini-Details'!K2)</f>
        <v>0</v>
      </c>
      <c r="D3">
        <f>ABS('Human Details'!L2-'gpt-4.1-mini-Details'!L2)</f>
        <v>0.20222222223814817</v>
      </c>
      <c r="E3">
        <f>ABS('Human Details'!M2-'gpt-4.1-mini-Details'!M2)</f>
        <v>5.8254653749573948E-2</v>
      </c>
      <c r="F3">
        <f>ABS('Human Details'!N2-'gpt-4.1-mini-Details'!N2)</f>
        <v>0.34343434355780023</v>
      </c>
      <c r="G3">
        <f>ABS('Human Details'!O2-'gpt-4.1-mini-Details'!O2)</f>
        <v>0.15421099868496613</v>
      </c>
      <c r="J3">
        <v>1</v>
      </c>
      <c r="K3">
        <f>'gpt-4.1-mini-Details'!J2-'Human Details'!J2</f>
        <v>-5.555555555555558E-2</v>
      </c>
      <c r="L3">
        <f>'gpt-4.1-mini-Details'!K2-'Human Details'!K2</f>
        <v>0</v>
      </c>
      <c r="M3">
        <f>'gpt-4.1-mini-Details'!L2-'Human Details'!L2</f>
        <v>-0.20222222223814817</v>
      </c>
      <c r="N3">
        <f>'gpt-4.1-mini-Details'!M2-'Human Details'!M2</f>
        <v>-5.8254653749573948E-2</v>
      </c>
      <c r="O3">
        <f>'gpt-4.1-mini-Details'!N2-'Human Details'!N2</f>
        <v>-0.34343434355780023</v>
      </c>
      <c r="P3">
        <f>'gpt-4.1-mini-Details'!O2-'Human Details'!O2</f>
        <v>-0.15421099868496613</v>
      </c>
      <c r="R3">
        <v>1</v>
      </c>
      <c r="S3">
        <f>IFERROR(('gpt-4.1-mini-Details'!J2-'Human Details'!J2)/'gpt-4.1-mini-Details'!J2, ('gpt-4.1-mini-Details'!J2-'Human Details'!J2))</f>
        <v>-5.8823529411764733E-2</v>
      </c>
      <c r="T3">
        <f>IFERROR(('gpt-4.1-mini-Details'!K2-'Human Details'!K2)/'gpt-4.1-mini-Details'!K2, ('gpt-4.1-mini-Details'!K2-'Human Details'!K2))</f>
        <v>0</v>
      </c>
      <c r="U3">
        <f>IFERROR(('gpt-4.1-mini-Details'!L2-'Human Details'!L2)/'gpt-4.1-mini-Details'!L2, ('gpt-4.1-mini-Details'!L2-'Human Details'!L2))</f>
        <v>-0.42325581400093026</v>
      </c>
      <c r="V3">
        <f>IFERROR(('gpt-4.1-mini-Details'!M2-'Human Details'!M2)/'gpt-4.1-mini-Details'!M2, ('gpt-4.1-mini-Details'!M2-'Human Details'!M2))</f>
        <v>-8.4214016133741451E-2</v>
      </c>
      <c r="W3">
        <f>IFERROR(('gpt-4.1-mini-Details'!N2-'Human Details'!N2)/'gpt-4.1-mini-Details'!N2, ('gpt-4.1-mini-Details'!N2-'Human Details'!N2))</f>
        <v>-3.090909095454546</v>
      </c>
      <c r="X3">
        <f>IFERROR(('gpt-4.1-mini-Details'!O2-'Human Details'!O2)/'gpt-4.1-mini-Details'!O2, ('gpt-4.1-mini-Details'!O2-'Human Details'!O2))</f>
        <v>-0.18232797830806344</v>
      </c>
    </row>
    <row r="4" spans="1:24" x14ac:dyDescent="0.25">
      <c r="A4">
        <v>8</v>
      </c>
      <c r="B4">
        <f>ABS('Human Details'!J3-'gpt-4.1-mini-Details'!J3)</f>
        <v>0</v>
      </c>
      <c r="C4">
        <f>ABS('Human Details'!K3-'gpt-4.1-mini-Details'!K3)</f>
        <v>0</v>
      </c>
      <c r="D4" s="11">
        <f>ABS('Human Details'!L3-'gpt-4.1-mini-Details'!L3)</f>
        <v>1</v>
      </c>
      <c r="E4">
        <f>ABS('Human Details'!M3-'gpt-4.1-mini-Details'!M3)</f>
        <v>0.68219252845269107</v>
      </c>
      <c r="F4">
        <f>ABS('Human Details'!N3-'gpt-4.1-mini-Details'!N3)</f>
        <v>0</v>
      </c>
      <c r="G4">
        <f>ABS('Human Details'!O3-'gpt-4.1-mini-Details'!O3)</f>
        <v>0</v>
      </c>
      <c r="J4">
        <v>8</v>
      </c>
      <c r="K4">
        <f>'gpt-4.1-mini-Details'!J3-'Human Details'!J3</f>
        <v>0</v>
      </c>
      <c r="L4">
        <f>'gpt-4.1-mini-Details'!K3-'Human Details'!K3</f>
        <v>0</v>
      </c>
      <c r="M4" s="11">
        <f>'gpt-4.1-mini-Details'!L3-'Human Details'!L3</f>
        <v>-1</v>
      </c>
      <c r="N4">
        <f>'gpt-4.1-mini-Details'!M3-'Human Details'!M3</f>
        <v>0.68219252845269107</v>
      </c>
      <c r="O4">
        <f>'gpt-4.1-mini-Details'!N3-'Human Details'!N3</f>
        <v>0</v>
      </c>
      <c r="P4">
        <f>'gpt-4.1-mini-Details'!O3-'Human Details'!O3</f>
        <v>0</v>
      </c>
      <c r="R4">
        <v>8</v>
      </c>
      <c r="S4">
        <f>IFERROR(('gpt-4.1-mini-Details'!J3-'Human Details'!J3)/'gpt-4.1-mini-Details'!J3, ('gpt-4.1-mini-Details'!J3-'Human Details'!J3))</f>
        <v>0</v>
      </c>
      <c r="T4">
        <f>IFERROR(('gpt-4.1-mini-Details'!K3-'Human Details'!K3)/'gpt-4.1-mini-Details'!K3, ('gpt-4.1-mini-Details'!K3-'Human Details'!K3))</f>
        <v>0</v>
      </c>
      <c r="U4">
        <f>IFERROR(('gpt-4.1-mini-Details'!L3-'Human Details'!L3)/'gpt-4.1-mini-Details'!L3, ('gpt-4.1-mini-Details'!L3-'Human Details'!L3))</f>
        <v>-1</v>
      </c>
      <c r="V4">
        <f>IFERROR(('gpt-4.1-mini-Details'!M3-'Human Details'!M3)/'gpt-4.1-mini-Details'!M3, ('gpt-4.1-mini-Details'!M3-'Human Details'!M3))</f>
        <v>1</v>
      </c>
      <c r="W4">
        <f>IFERROR(('gpt-4.1-mini-Details'!N3-'Human Details'!N3)/'gpt-4.1-mini-Details'!N3, ('gpt-4.1-mini-Details'!N3-'Human Details'!N3))</f>
        <v>0</v>
      </c>
      <c r="X4">
        <f>IFERROR(('gpt-4.1-mini-Details'!O3-'Human Details'!O3)/'gpt-4.1-mini-Details'!O3, ('gpt-4.1-mini-Details'!O3-'Human Details'!O3))</f>
        <v>0</v>
      </c>
    </row>
    <row r="5" spans="1:24" x14ac:dyDescent="0.25">
      <c r="A5">
        <v>11</v>
      </c>
      <c r="B5">
        <f>ABS('Human Details'!J4-'gpt-4.1-mini-Details'!J4)</f>
        <v>0.33333333333333337</v>
      </c>
      <c r="C5">
        <f>ABS('Human Details'!K4-'gpt-4.1-mini-Details'!K4)</f>
        <v>0</v>
      </c>
      <c r="D5">
        <f>ABS('Human Details'!L4-'gpt-4.1-mini-Details'!L4)</f>
        <v>5.000000413701855E-11</v>
      </c>
      <c r="E5">
        <f>ABS('Human Details'!M4-'gpt-4.1-mini-Details'!M4)</f>
        <v>0.21741346021913099</v>
      </c>
      <c r="F5">
        <f>ABS('Human Details'!N4-'gpt-4.1-mini-Details'!N4)</f>
        <v>0.52727272647272727</v>
      </c>
      <c r="G5">
        <f>ABS('Human Details'!O4-'gpt-4.1-mini-Details'!O4)</f>
        <v>0.5</v>
      </c>
      <c r="J5">
        <v>11</v>
      </c>
      <c r="K5">
        <f>'gpt-4.1-mini-Details'!J4-'Human Details'!J4</f>
        <v>0.33333333333333337</v>
      </c>
      <c r="L5">
        <f>'gpt-4.1-mini-Details'!K4-'Human Details'!K4</f>
        <v>0</v>
      </c>
      <c r="M5">
        <f>'gpt-4.1-mini-Details'!L4-'Human Details'!L4</f>
        <v>-5.000000413701855E-11</v>
      </c>
      <c r="N5">
        <f>'gpt-4.1-mini-Details'!M4-'Human Details'!M4</f>
        <v>0.21741346021913099</v>
      </c>
      <c r="O5">
        <f>'gpt-4.1-mini-Details'!N4-'Human Details'!N4</f>
        <v>0.52727272647272727</v>
      </c>
      <c r="P5">
        <f>'gpt-4.1-mini-Details'!O4-'Human Details'!O4</f>
        <v>-0.5</v>
      </c>
      <c r="R5">
        <v>11</v>
      </c>
      <c r="S5">
        <f>IFERROR(('gpt-4.1-mini-Details'!J4-'Human Details'!J4)/'gpt-4.1-mini-Details'!J4, ('gpt-4.1-mini-Details'!J4-'Human Details'!J4))</f>
        <v>0.4</v>
      </c>
      <c r="T5">
        <f>IFERROR(('gpt-4.1-mini-Details'!K4-'Human Details'!K4)/'gpt-4.1-mini-Details'!K4, ('gpt-4.1-mini-Details'!K4-'Human Details'!K4))</f>
        <v>0</v>
      </c>
      <c r="U5">
        <f>IFERROR(('gpt-4.1-mini-Details'!L4-'Human Details'!L4)/'gpt-4.1-mini-Details'!L4, ('gpt-4.1-mini-Details'!L4-'Human Details'!L4))</f>
        <v>-5.0000004139518548E-11</v>
      </c>
      <c r="V5">
        <f>IFERROR(('gpt-4.1-mini-Details'!M4-'Human Details'!M4)/'gpt-4.1-mini-Details'!M4, ('gpt-4.1-mini-Details'!M4-'Human Details'!M4))</f>
        <v>0.30305182753711218</v>
      </c>
      <c r="W5">
        <f>IFERROR(('gpt-4.1-mini-Details'!N4-'Human Details'!N4)/'gpt-4.1-mini-Details'!N4, ('gpt-4.1-mini-Details'!N4-'Human Details'!N4))</f>
        <v>0.65909090874999998</v>
      </c>
      <c r="X5">
        <f>IFERROR(('gpt-4.1-mini-Details'!O4-'Human Details'!O4)/'gpt-4.1-mini-Details'!O4, ('gpt-4.1-mini-Details'!O4-'Human Details'!O4))</f>
        <v>-0.5</v>
      </c>
    </row>
    <row r="6" spans="1:24" x14ac:dyDescent="0.25">
      <c r="A6">
        <v>17</v>
      </c>
      <c r="B6">
        <f>ABS('Human Details'!J5-'gpt-4.1-mini-Details'!J5)</f>
        <v>0.13333333333333341</v>
      </c>
      <c r="C6">
        <f>ABS('Human Details'!K5-'gpt-4.1-mini-Details'!K5)</f>
        <v>0.33333333333333331</v>
      </c>
      <c r="D6">
        <f>ABS('Human Details'!L5-'gpt-4.1-mini-Details'!L5)</f>
        <v>0.12500000002</v>
      </c>
      <c r="E6">
        <f>ABS('Human Details'!M5-'gpt-4.1-mini-Details'!M5)</f>
        <v>0.27592699340364291</v>
      </c>
      <c r="F6">
        <f>ABS('Human Details'!N5-'gpt-4.1-mini-Details'!N5)</f>
        <v>0.1111111106172839</v>
      </c>
      <c r="G6">
        <f>ABS('Human Details'!O5-'gpt-4.1-mini-Details'!O5)</f>
        <v>0.37199182957967969</v>
      </c>
      <c r="J6">
        <v>17</v>
      </c>
      <c r="K6">
        <f>'gpt-4.1-mini-Details'!J5-'Human Details'!J5</f>
        <v>0.13333333333333341</v>
      </c>
      <c r="L6">
        <f>'gpt-4.1-mini-Details'!K5-'Human Details'!K5</f>
        <v>-0.33333333333333331</v>
      </c>
      <c r="M6">
        <f>'gpt-4.1-mini-Details'!L5-'Human Details'!L5</f>
        <v>-0.12500000002</v>
      </c>
      <c r="N6">
        <f>'gpt-4.1-mini-Details'!M5-'Human Details'!M5</f>
        <v>0.27592699340364291</v>
      </c>
      <c r="O6">
        <f>'gpt-4.1-mini-Details'!N5-'Human Details'!N5</f>
        <v>0.1111111106172839</v>
      </c>
      <c r="P6">
        <f>'gpt-4.1-mini-Details'!O5-'Human Details'!O5</f>
        <v>0.37199182957967969</v>
      </c>
      <c r="R6">
        <v>17</v>
      </c>
      <c r="S6">
        <f>IFERROR(('gpt-4.1-mini-Details'!J5-'Human Details'!J5)/'gpt-4.1-mini-Details'!J5, ('gpt-4.1-mini-Details'!J5-'Human Details'!J5))</f>
        <v>0.16666666666666677</v>
      </c>
      <c r="T6">
        <f>IFERROR(('gpt-4.1-mini-Details'!K5-'Human Details'!K5)/'gpt-4.1-mini-Details'!K5, ('gpt-4.1-mini-Details'!K5-'Human Details'!K5))</f>
        <v>-0.33333333333333331</v>
      </c>
      <c r="U6">
        <f>IFERROR(('gpt-4.1-mini-Details'!L5-'Human Details'!L5)/'gpt-4.1-mini-Details'!L5, ('gpt-4.1-mini-Details'!L5-'Human Details'!L5))</f>
        <v>-0.62500000016250001</v>
      </c>
      <c r="V6">
        <f>IFERROR(('gpt-4.1-mini-Details'!M5-'Human Details'!M5)/'gpt-4.1-mini-Details'!M5, ('gpt-4.1-mini-Details'!M5-'Human Details'!M5))</f>
        <v>0.3556094784037287</v>
      </c>
      <c r="W6">
        <f>IFERROR(('gpt-4.1-mini-Details'!N5-'Human Details'!N5)/'gpt-4.1-mini-Details'!N5, ('gpt-4.1-mini-Details'!N5-'Human Details'!N5))</f>
        <v>0.2499999991666666</v>
      </c>
      <c r="X6">
        <f>IFERROR(('gpt-4.1-mini-Details'!O5-'Human Details'!O5)/'gpt-4.1-mini-Details'!O5, ('gpt-4.1-mini-Details'!O5-'Human Details'!O5))</f>
        <v>0.42660013197484703</v>
      </c>
    </row>
    <row r="7" spans="1:24" x14ac:dyDescent="0.25">
      <c r="A7">
        <v>20</v>
      </c>
      <c r="B7">
        <f>ABS('Human Details'!J6-'gpt-4.1-mini-Details'!J6)</f>
        <v>0.30000000000000004</v>
      </c>
      <c r="C7" s="11">
        <f>ABS('Human Details'!K6-'gpt-4.1-mini-Details'!K6)</f>
        <v>0.75</v>
      </c>
      <c r="D7">
        <f>ABS('Human Details'!L6-'gpt-4.1-mini-Details'!L6)</f>
        <v>1.000000082740371E-10</v>
      </c>
      <c r="E7">
        <f>ABS('Human Details'!M6-'gpt-4.1-mini-Details'!M6)</f>
        <v>4.7320967923253465E-2</v>
      </c>
      <c r="F7">
        <f>ABS('Human Details'!N6-'gpt-4.1-mini-Details'!N6)</f>
        <v>0.52777777691358019</v>
      </c>
      <c r="G7">
        <f>ABS('Human Details'!O6-'gpt-4.1-mini-Details'!O6)</f>
        <v>6.1767343286980303E-3</v>
      </c>
      <c r="J7">
        <v>20</v>
      </c>
      <c r="K7">
        <f>'gpt-4.1-mini-Details'!J6-'Human Details'!J6</f>
        <v>-0.30000000000000004</v>
      </c>
      <c r="L7" s="11">
        <f>'gpt-4.1-mini-Details'!K6-'Human Details'!K6</f>
        <v>-0.75</v>
      </c>
      <c r="M7">
        <f>'gpt-4.1-mini-Details'!L6-'Human Details'!L6</f>
        <v>-1.000000082740371E-10</v>
      </c>
      <c r="N7">
        <f>'gpt-4.1-mini-Details'!M6-'Human Details'!M6</f>
        <v>4.7320967923253465E-2</v>
      </c>
      <c r="O7">
        <f>'gpt-4.1-mini-Details'!N6-'Human Details'!N6</f>
        <v>0.52777777691358019</v>
      </c>
      <c r="P7">
        <f>'gpt-4.1-mini-Details'!O6-'Human Details'!O6</f>
        <v>-6.1767343286980303E-3</v>
      </c>
      <c r="R7">
        <v>20</v>
      </c>
      <c r="S7">
        <f>IFERROR(('gpt-4.1-mini-Details'!J6-'Human Details'!J6)/'gpt-4.1-mini-Details'!J6, ('gpt-4.1-mini-Details'!J6-'Human Details'!J6))</f>
        <v>-0.50000000000000011</v>
      </c>
      <c r="T7">
        <f>IFERROR(('gpt-4.1-mini-Details'!K6-'Human Details'!K6)/'gpt-4.1-mini-Details'!K6, ('gpt-4.1-mini-Details'!K6-'Human Details'!K6))</f>
        <v>-0.75</v>
      </c>
      <c r="U7">
        <f>IFERROR(('gpt-4.1-mini-Details'!L6-'Human Details'!L6)/'gpt-4.1-mini-Details'!L6, ('gpt-4.1-mini-Details'!L6-'Human Details'!L6))</f>
        <v>-1.0000000828403711E-10</v>
      </c>
      <c r="V7">
        <f>IFERROR(('gpt-4.1-mini-Details'!M6-'Human Details'!M6)/'gpt-4.1-mini-Details'!M6, ('gpt-4.1-mini-Details'!M6-'Human Details'!M6))</f>
        <v>8.6459263753054155E-2</v>
      </c>
      <c r="W7">
        <f>IFERROR(('gpt-4.1-mini-Details'!N6-'Human Details'!N6)/'gpt-4.1-mini-Details'!N6, ('gpt-4.1-mini-Details'!N6-'Human Details'!N6))</f>
        <v>0.67857142821428573</v>
      </c>
      <c r="X7">
        <f>IFERROR(('gpt-4.1-mini-Details'!O6-'Human Details'!O6)/'gpt-4.1-mini-Details'!O6, ('gpt-4.1-mini-Details'!O6-'Human Details'!O6))</f>
        <v>-7.7809943293544476E-3</v>
      </c>
    </row>
    <row r="8" spans="1:24" x14ac:dyDescent="0.25">
      <c r="A8">
        <v>30</v>
      </c>
      <c r="B8">
        <f>ABS('Human Details'!J7-'gpt-4.1-mini-Details'!J7)</f>
        <v>0.66666666666666674</v>
      </c>
      <c r="C8" s="11">
        <f>ABS('Human Details'!K7-'gpt-4.1-mini-Details'!K7)</f>
        <v>1</v>
      </c>
      <c r="D8" s="11">
        <f>ABS('Human Details'!L7-'gpt-4.1-mini-Details'!L7)</f>
        <v>0.75</v>
      </c>
      <c r="E8">
        <f>ABS('Human Details'!M7-'gpt-4.1-mini-Details'!M7)</f>
        <v>0.61740094111044419</v>
      </c>
      <c r="F8">
        <f>ABS('Human Details'!N7-'gpt-4.1-mini-Details'!N7)</f>
        <v>0.19999999960000001</v>
      </c>
      <c r="G8">
        <f>ABS('Human Details'!O7-'gpt-4.1-mini-Details'!O7)</f>
        <v>0.65361799764373485</v>
      </c>
      <c r="J8">
        <v>30</v>
      </c>
      <c r="K8" s="11">
        <f>'gpt-4.1-mini-Details'!J7-'Human Details'!J7</f>
        <v>0.66666666666666674</v>
      </c>
      <c r="L8" s="11">
        <f>'gpt-4.1-mini-Details'!K7-'Human Details'!K7</f>
        <v>1</v>
      </c>
      <c r="M8" s="11">
        <f>'gpt-4.1-mini-Details'!L7-'Human Details'!L7</f>
        <v>-0.75</v>
      </c>
      <c r="N8">
        <f>'gpt-4.1-mini-Details'!M7-'Human Details'!M7</f>
        <v>0.61740094111044419</v>
      </c>
      <c r="O8">
        <f>'gpt-4.1-mini-Details'!N7-'Human Details'!N7</f>
        <v>0.19999999960000001</v>
      </c>
      <c r="P8">
        <f>'gpt-4.1-mini-Details'!O7-'Human Details'!O7</f>
        <v>0.65361799764373485</v>
      </c>
      <c r="R8">
        <v>30</v>
      </c>
      <c r="S8">
        <f>IFERROR(('gpt-4.1-mini-Details'!J7-'Human Details'!J7)/'gpt-4.1-mini-Details'!J7, ('gpt-4.1-mini-Details'!J7-'Human Details'!J7))</f>
        <v>0.66666666666666674</v>
      </c>
      <c r="T8">
        <f>IFERROR(('gpt-4.1-mini-Details'!K7-'Human Details'!K7)/'gpt-4.1-mini-Details'!K7, ('gpt-4.1-mini-Details'!K7-'Human Details'!K7))</f>
        <v>1</v>
      </c>
      <c r="U8">
        <f>IFERROR(('gpt-4.1-mini-Details'!L7-'Human Details'!L7)/'gpt-4.1-mini-Details'!L7, ('gpt-4.1-mini-Details'!L7-'Human Details'!L7))</f>
        <v>-0.75</v>
      </c>
      <c r="V8">
        <f>IFERROR(('gpt-4.1-mini-Details'!M7-'Human Details'!M7)/'gpt-4.1-mini-Details'!M7, ('gpt-4.1-mini-Details'!M7-'Human Details'!M7))</f>
        <v>0.71178265073133229</v>
      </c>
      <c r="W8">
        <f>IFERROR(('gpt-4.1-mini-Details'!N7-'Human Details'!N7)/'gpt-4.1-mini-Details'!N7, ('gpt-4.1-mini-Details'!N7-'Human Details'!N7))</f>
        <v>1</v>
      </c>
      <c r="X8">
        <f>IFERROR(('gpt-4.1-mini-Details'!O7-'Human Details'!O7)/'gpt-4.1-mini-Details'!O7, ('gpt-4.1-mini-Details'!O7-'Human Details'!O7))</f>
        <v>0.7233344171409849</v>
      </c>
    </row>
    <row r="9" spans="1:24" x14ac:dyDescent="0.25">
      <c r="A9">
        <v>33</v>
      </c>
      <c r="B9">
        <f>ABS('Human Details'!J8-'gpt-4.1-mini-Details'!J8)</f>
        <v>0.33333333333333337</v>
      </c>
      <c r="C9">
        <f>ABS('Human Details'!K8-'gpt-4.1-mini-Details'!K8)</f>
        <v>0</v>
      </c>
      <c r="D9">
        <f>ABS('Human Details'!L8-'gpt-4.1-mini-Details'!L8)</f>
        <v>3.3333333622221906E-3</v>
      </c>
      <c r="E9">
        <f>ABS('Human Details'!M8-'gpt-4.1-mini-Details'!M8)</f>
        <v>0.13175794034474853</v>
      </c>
      <c r="F9">
        <f>ABS('Human Details'!N8-'gpt-4.1-mini-Details'!N8)</f>
        <v>4.9999999696126451E-9</v>
      </c>
      <c r="G9">
        <f>ABS('Human Details'!O8-'gpt-4.1-mini-Details'!O8)</f>
        <v>0.21393741104571706</v>
      </c>
      <c r="J9">
        <v>33</v>
      </c>
      <c r="K9">
        <f>'gpt-4.1-mini-Details'!J8-'Human Details'!J8</f>
        <v>0.33333333333333337</v>
      </c>
      <c r="L9">
        <f>'gpt-4.1-mini-Details'!K8-'Human Details'!K8</f>
        <v>0</v>
      </c>
      <c r="M9">
        <f>'gpt-4.1-mini-Details'!L8-'Human Details'!L8</f>
        <v>-3.3333333622221906E-3</v>
      </c>
      <c r="N9">
        <f>'gpt-4.1-mini-Details'!M8-'Human Details'!M8</f>
        <v>0.13175794034474853</v>
      </c>
      <c r="O9">
        <f>'gpt-4.1-mini-Details'!N8-'Human Details'!N8</f>
        <v>-4.9999999696126451E-9</v>
      </c>
      <c r="P9">
        <f>'gpt-4.1-mini-Details'!O8-'Human Details'!O8</f>
        <v>0.21393741104571706</v>
      </c>
      <c r="R9">
        <v>33</v>
      </c>
      <c r="S9">
        <f>IFERROR(('gpt-4.1-mini-Details'!J8-'Human Details'!J8)/'gpt-4.1-mini-Details'!J8, ('gpt-4.1-mini-Details'!J8-'Human Details'!J8))</f>
        <v>0.4</v>
      </c>
      <c r="T9">
        <f>IFERROR(('gpt-4.1-mini-Details'!K8-'Human Details'!K8)/'gpt-4.1-mini-Details'!K8, ('gpt-4.1-mini-Details'!K8-'Human Details'!K8))</f>
        <v>0</v>
      </c>
      <c r="U9">
        <f>IFERROR(('gpt-4.1-mini-Details'!L8-'Human Details'!L8)/'gpt-4.1-mini-Details'!L8, ('gpt-4.1-mini-Details'!L8-'Human Details'!L8))</f>
        <v>-3.8461538796153482E-3</v>
      </c>
      <c r="V9">
        <f>IFERROR(('gpt-4.1-mini-Details'!M8-'Human Details'!M8)/'gpt-4.1-mini-Details'!M8, ('gpt-4.1-mini-Details'!M8-'Human Details'!M8))</f>
        <v>0.1494264290869147</v>
      </c>
      <c r="W9">
        <f>IFERROR(('gpt-4.1-mini-Details'!N8-'Human Details'!N8)/'gpt-4.1-mini-Details'!N8, ('gpt-4.1-mini-Details'!N8-'Human Details'!N8))</f>
        <v>-4.9999999946126447E-9</v>
      </c>
      <c r="X9">
        <f>IFERROR(('gpt-4.1-mini-Details'!O8-'Human Details'!O8)/'gpt-4.1-mini-Details'!O8, ('gpt-4.1-mini-Details'!O8-'Human Details'!O8))</f>
        <v>0.22194118476388355</v>
      </c>
    </row>
    <row r="10" spans="1:24" x14ac:dyDescent="0.25">
      <c r="A10">
        <v>34</v>
      </c>
      <c r="B10">
        <f>ABS('Human Details'!J9-'gpt-4.1-mini-Details'!J9)</f>
        <v>0</v>
      </c>
      <c r="C10">
        <f>ABS('Human Details'!K9-'gpt-4.1-mini-Details'!K9)</f>
        <v>0</v>
      </c>
      <c r="D10">
        <f>ABS('Human Details'!L9-'gpt-4.1-mini-Details'!L9)</f>
        <v>0</v>
      </c>
      <c r="E10">
        <f>ABS('Human Details'!M9-'gpt-4.1-mini-Details'!M9)</f>
        <v>0.26584728450071693</v>
      </c>
      <c r="F10">
        <f>ABS('Human Details'!N9-'gpt-4.1-mini-Details'!N9)</f>
        <v>0</v>
      </c>
      <c r="G10">
        <f>ABS('Human Details'!O9-'gpt-4.1-mini-Details'!O9)</f>
        <v>3.6315427304877468E-2</v>
      </c>
      <c r="J10">
        <v>34</v>
      </c>
      <c r="K10">
        <f>'gpt-4.1-mini-Details'!J9-'Human Details'!J9</f>
        <v>0</v>
      </c>
      <c r="L10">
        <f>'gpt-4.1-mini-Details'!K9-'Human Details'!K9</f>
        <v>0</v>
      </c>
      <c r="M10">
        <f>'gpt-4.1-mini-Details'!L9-'Human Details'!L9</f>
        <v>0</v>
      </c>
      <c r="N10">
        <f>'gpt-4.1-mini-Details'!M9-'Human Details'!M9</f>
        <v>0.26584728450071693</v>
      </c>
      <c r="O10">
        <f>'gpt-4.1-mini-Details'!N9-'Human Details'!N9</f>
        <v>0</v>
      </c>
      <c r="P10">
        <f>'gpt-4.1-mini-Details'!O9-'Human Details'!O9</f>
        <v>-3.6315427304877468E-2</v>
      </c>
      <c r="R10">
        <v>34</v>
      </c>
      <c r="S10">
        <f>IFERROR(('gpt-4.1-mini-Details'!J9-'Human Details'!J9)/'gpt-4.1-mini-Details'!J9, ('gpt-4.1-mini-Details'!J9-'Human Details'!J9))</f>
        <v>0</v>
      </c>
      <c r="T10">
        <f>IFERROR(('gpt-4.1-mini-Details'!K9-'Human Details'!K9)/'gpt-4.1-mini-Details'!K9, ('gpt-4.1-mini-Details'!K9-'Human Details'!K9))</f>
        <v>0</v>
      </c>
      <c r="U10">
        <f>IFERROR(('gpt-4.1-mini-Details'!L9-'Human Details'!L9)/'gpt-4.1-mini-Details'!L9, ('gpt-4.1-mini-Details'!L9-'Human Details'!L9))</f>
        <v>0</v>
      </c>
      <c r="V10">
        <f>IFERROR(('gpt-4.1-mini-Details'!M9-'Human Details'!M9)/'gpt-4.1-mini-Details'!M9, ('gpt-4.1-mini-Details'!M9-'Human Details'!M9))</f>
        <v>0.34712832425074436</v>
      </c>
      <c r="W10">
        <f>IFERROR(('gpt-4.1-mini-Details'!N9-'Human Details'!N9)/'gpt-4.1-mini-Details'!N9, ('gpt-4.1-mini-Details'!N9-'Human Details'!N9))</f>
        <v>0</v>
      </c>
      <c r="X10">
        <f>IFERROR(('gpt-4.1-mini-Details'!O9-'Human Details'!O9)/'gpt-4.1-mini-Details'!O9, ('gpt-4.1-mini-Details'!O9-'Human Details'!O9))</f>
        <v>-3.7683935526034877E-2</v>
      </c>
    </row>
    <row r="11" spans="1:24" x14ac:dyDescent="0.25">
      <c r="A11">
        <v>64</v>
      </c>
      <c r="B11">
        <f>ABS('Human Details'!J10-'gpt-4.1-mini-Details'!J10)</f>
        <v>0</v>
      </c>
      <c r="C11">
        <f>ABS('Human Details'!K10-'gpt-4.1-mini-Details'!K10)</f>
        <v>0.2857142857142857</v>
      </c>
      <c r="D11">
        <f>ABS('Human Details'!L10-'gpt-4.1-mini-Details'!L10)</f>
        <v>0</v>
      </c>
      <c r="E11">
        <f>ABS('Human Details'!M10-'gpt-4.1-mini-Details'!M10)</f>
        <v>0.67507926277689445</v>
      </c>
      <c r="F11">
        <f>ABS('Human Details'!N10-'gpt-4.1-mini-Details'!N10)</f>
        <v>0</v>
      </c>
      <c r="G11">
        <f>ABS('Human Details'!O10-'gpt-4.1-mini-Details'!O10)</f>
        <v>0</v>
      </c>
      <c r="J11">
        <v>64</v>
      </c>
      <c r="K11">
        <f>'gpt-4.1-mini-Details'!J10-'Human Details'!J10</f>
        <v>0</v>
      </c>
      <c r="L11">
        <f>'gpt-4.1-mini-Details'!K10-'Human Details'!K10</f>
        <v>0.2857142857142857</v>
      </c>
      <c r="M11">
        <f>'gpt-4.1-mini-Details'!L10-'Human Details'!L10</f>
        <v>0</v>
      </c>
      <c r="N11">
        <f>'gpt-4.1-mini-Details'!M10-'Human Details'!M10</f>
        <v>0.67507926277689445</v>
      </c>
      <c r="O11">
        <f>'gpt-4.1-mini-Details'!N10-'Human Details'!N10</f>
        <v>0</v>
      </c>
      <c r="P11">
        <f>'gpt-4.1-mini-Details'!O10-'Human Details'!O10</f>
        <v>0</v>
      </c>
      <c r="R11">
        <v>64</v>
      </c>
      <c r="S11">
        <f>IFERROR(('gpt-4.1-mini-Details'!J10-'Human Details'!J10)/'gpt-4.1-mini-Details'!J10, ('gpt-4.1-mini-Details'!J10-'Human Details'!J10))</f>
        <v>0</v>
      </c>
      <c r="T11">
        <f>IFERROR(('gpt-4.1-mini-Details'!K10-'Human Details'!K10)/'gpt-4.1-mini-Details'!K10, ('gpt-4.1-mini-Details'!K10-'Human Details'!K10))</f>
        <v>1</v>
      </c>
      <c r="U11">
        <f>IFERROR(('gpt-4.1-mini-Details'!L10-'Human Details'!L10)/'gpt-4.1-mini-Details'!L10, ('gpt-4.1-mini-Details'!L10-'Human Details'!L10))</f>
        <v>0</v>
      </c>
      <c r="V11">
        <f>IFERROR(('gpt-4.1-mini-Details'!M10-'Human Details'!M10)/'gpt-4.1-mini-Details'!M10, ('gpt-4.1-mini-Details'!M10-'Human Details'!M10))</f>
        <v>1</v>
      </c>
      <c r="W11">
        <f>IFERROR(('gpt-4.1-mini-Details'!N10-'Human Details'!N10)/'gpt-4.1-mini-Details'!N10, ('gpt-4.1-mini-Details'!N10-'Human Details'!N10))</f>
        <v>0</v>
      </c>
      <c r="X11">
        <f>IFERROR(('gpt-4.1-mini-Details'!O10-'Human Details'!O10)/'gpt-4.1-mini-Details'!O10, ('gpt-4.1-mini-Details'!O10-'Human Details'!O10))</f>
        <v>0</v>
      </c>
    </row>
    <row r="12" spans="1:24" x14ac:dyDescent="0.25">
      <c r="A12">
        <v>65</v>
      </c>
      <c r="B12">
        <f>ABS('Human Details'!J11-'gpt-4.1-mini-Details'!J11)</f>
        <v>0.11111111111111105</v>
      </c>
      <c r="C12">
        <f>ABS('Human Details'!K11-'gpt-4.1-mini-Details'!K11)</f>
        <v>0</v>
      </c>
      <c r="D12">
        <f>ABS('Human Details'!L11-'gpt-4.1-mini-Details'!L11)</f>
        <v>0.66666666670000008</v>
      </c>
      <c r="E12">
        <f>ABS('Human Details'!M11-'gpt-4.1-mini-Details'!M11)</f>
        <v>0.35285397946863595</v>
      </c>
      <c r="F12" s="11">
        <f>ABS('Human Details'!N11-'gpt-4.1-mini-Details'!N11)</f>
        <v>0.87500000005208334</v>
      </c>
      <c r="G12">
        <f>ABS('Human Details'!O11-'gpt-4.1-mini-Details'!O11)</f>
        <v>1</v>
      </c>
      <c r="J12">
        <v>65</v>
      </c>
      <c r="K12">
        <f>'gpt-4.1-mini-Details'!J11-'Human Details'!J11</f>
        <v>-0.11111111111111105</v>
      </c>
      <c r="L12">
        <f>'gpt-4.1-mini-Details'!K11-'Human Details'!K11</f>
        <v>0</v>
      </c>
      <c r="M12" s="11">
        <f>'gpt-4.1-mini-Details'!L11-'Human Details'!L11</f>
        <v>-0.66666666670000008</v>
      </c>
      <c r="N12">
        <f>'gpt-4.1-mini-Details'!M11-'Human Details'!M11</f>
        <v>0.35285397946863595</v>
      </c>
      <c r="O12" s="11">
        <f>'gpt-4.1-mini-Details'!N11-'Human Details'!N11</f>
        <v>-0.87500000005208334</v>
      </c>
      <c r="P12">
        <f>'gpt-4.1-mini-Details'!O11-'Human Details'!O11</f>
        <v>-1</v>
      </c>
      <c r="R12">
        <v>65</v>
      </c>
      <c r="S12">
        <f>IFERROR(('gpt-4.1-mini-Details'!J11-'Human Details'!J11)/'gpt-4.1-mini-Details'!J11, ('gpt-4.1-mini-Details'!J11-'Human Details'!J11))</f>
        <v>-0.19999999999999987</v>
      </c>
      <c r="T12">
        <f>IFERROR(('gpt-4.1-mini-Details'!K11-'Human Details'!K11)/'gpt-4.1-mini-Details'!K11, ('gpt-4.1-mini-Details'!K11-'Human Details'!K11))</f>
        <v>0</v>
      </c>
      <c r="U12">
        <f>IFERROR(('gpt-4.1-mini-Details'!L11-'Human Details'!L11)/'gpt-4.1-mini-Details'!L11, ('gpt-4.1-mini-Details'!L11-'Human Details'!L11))</f>
        <v>-2.0000000003000005</v>
      </c>
      <c r="V12">
        <f>IFERROR(('gpt-4.1-mini-Details'!M11-'Human Details'!M11)/'gpt-4.1-mini-Details'!M11, ('gpt-4.1-mini-Details'!M11-'Human Details'!M11))</f>
        <v>0.41373316882273198</v>
      </c>
      <c r="W12">
        <f>IFERROR(('gpt-4.1-mini-Details'!N11-'Human Details'!N11)/'gpt-4.1-mini-Details'!N11, ('gpt-4.1-mini-Details'!N11-'Human Details'!N11))</f>
        <v>-7.0000000033333309</v>
      </c>
      <c r="X12">
        <f>IFERROR(('gpt-4.1-mini-Details'!O11-'Human Details'!O11)/'gpt-4.1-mini-Details'!O11, ('gpt-4.1-mini-Details'!O11-'Human Details'!O11))</f>
        <v>-1</v>
      </c>
    </row>
    <row r="13" spans="1:24" x14ac:dyDescent="0.25">
      <c r="A13">
        <v>84</v>
      </c>
      <c r="B13">
        <f>ABS('Human Details'!J12-'gpt-4.1-mini-Details'!J12)</f>
        <v>0.2142857142857143</v>
      </c>
      <c r="C13">
        <f>ABS('Human Details'!K12-'gpt-4.1-mini-Details'!K12)</f>
        <v>0.4</v>
      </c>
      <c r="D13">
        <f>ABS('Human Details'!L12-'gpt-4.1-mini-Details'!L12)</f>
        <v>0.16666666670833341</v>
      </c>
      <c r="E13">
        <f>ABS('Human Details'!M12-'gpt-4.1-mini-Details'!M12)</f>
        <v>0.21745191536450648</v>
      </c>
      <c r="F13">
        <f>ABS('Human Details'!N12-'gpt-4.1-mini-Details'!N12)</f>
        <v>0.11428571428571428</v>
      </c>
      <c r="G13">
        <f>ABS('Human Details'!O12-'gpt-4.1-mini-Details'!O12)</f>
        <v>2.0727081396903047E-2</v>
      </c>
      <c r="J13">
        <v>84</v>
      </c>
      <c r="K13">
        <f>'gpt-4.1-mini-Details'!J12-'Human Details'!J12</f>
        <v>0.2142857142857143</v>
      </c>
      <c r="L13">
        <f>'gpt-4.1-mini-Details'!K12-'Human Details'!K12</f>
        <v>0.4</v>
      </c>
      <c r="M13">
        <f>'gpt-4.1-mini-Details'!L12-'Human Details'!L12</f>
        <v>-0.16666666670833341</v>
      </c>
      <c r="N13">
        <f>'gpt-4.1-mini-Details'!M12-'Human Details'!M12</f>
        <v>0.21745191536450648</v>
      </c>
      <c r="O13">
        <f>'gpt-4.1-mini-Details'!N12-'Human Details'!N12</f>
        <v>-0.11428571428571428</v>
      </c>
      <c r="P13">
        <f>'gpt-4.1-mini-Details'!O12-'Human Details'!O12</f>
        <v>-2.0727081396903047E-2</v>
      </c>
      <c r="R13">
        <v>84</v>
      </c>
      <c r="S13">
        <f>IFERROR(('gpt-4.1-mini-Details'!J12-'Human Details'!J12)/'gpt-4.1-mini-Details'!J12, ('gpt-4.1-mini-Details'!J12-'Human Details'!J12))</f>
        <v>0.23076923076923078</v>
      </c>
      <c r="T13">
        <f>IFERROR(('gpt-4.1-mini-Details'!K12-'Human Details'!K12)/'gpt-4.1-mini-Details'!K12, ('gpt-4.1-mini-Details'!K12-'Human Details'!K12))</f>
        <v>0.5</v>
      </c>
      <c r="U13">
        <f>IFERROR(('gpt-4.1-mini-Details'!L12-'Human Details'!L12)/'gpt-4.1-mini-Details'!L12, ('gpt-4.1-mini-Details'!L12-'Human Details'!L12))</f>
        <v>-0.2000000000600001</v>
      </c>
      <c r="V13">
        <f>IFERROR(('gpt-4.1-mini-Details'!M12-'Human Details'!M12)/'gpt-4.1-mini-Details'!M12, ('gpt-4.1-mini-Details'!M12-'Human Details'!M12))</f>
        <v>0.30308918368979265</v>
      </c>
      <c r="W13">
        <f>IFERROR(('gpt-4.1-mini-Details'!N12-'Human Details'!N12)/'gpt-4.1-mini-Details'!N12, ('gpt-4.1-mini-Details'!N12-'Human Details'!N12))</f>
        <v>-0.11428571428571428</v>
      </c>
      <c r="X13">
        <f>IFERROR(('gpt-4.1-mini-Details'!O12-'Human Details'!O12)/'gpt-4.1-mini-Details'!O12, ('gpt-4.1-mini-Details'!O12-'Human Details'!O12))</f>
        <v>-2.1165786373904424E-2</v>
      </c>
    </row>
    <row r="14" spans="1:24" x14ac:dyDescent="0.25">
      <c r="A14">
        <v>89</v>
      </c>
      <c r="B14">
        <f>ABS('Human Details'!J13-'gpt-4.1-mini-Details'!J13)</f>
        <v>0</v>
      </c>
      <c r="C14">
        <f>ABS('Human Details'!K13-'gpt-4.1-mini-Details'!K13)</f>
        <v>0</v>
      </c>
      <c r="D14">
        <f>ABS('Human Details'!L13-'gpt-4.1-mini-Details'!L13)</f>
        <v>0</v>
      </c>
      <c r="E14">
        <f>ABS('Human Details'!M13-'gpt-4.1-mini-Details'!M13)</f>
        <v>0.57422403734337246</v>
      </c>
      <c r="F14">
        <f>ABS('Human Details'!N13-'gpt-4.1-mini-Details'!N13)</f>
        <v>0</v>
      </c>
      <c r="G14">
        <f>ABS('Human Details'!O13-'gpt-4.1-mini-Details'!O13)</f>
        <v>0.2</v>
      </c>
      <c r="J14">
        <v>89</v>
      </c>
      <c r="K14">
        <f>'gpt-4.1-mini-Details'!J13-'Human Details'!J13</f>
        <v>0</v>
      </c>
      <c r="L14">
        <f>'gpt-4.1-mini-Details'!K13-'Human Details'!K13</f>
        <v>0</v>
      </c>
      <c r="M14">
        <f>'gpt-4.1-mini-Details'!L13-'Human Details'!L13</f>
        <v>0</v>
      </c>
      <c r="N14">
        <f>'gpt-4.1-mini-Details'!M13-'Human Details'!M13</f>
        <v>0.57422403734337246</v>
      </c>
      <c r="O14">
        <f>'gpt-4.1-mini-Details'!N13-'Human Details'!N13</f>
        <v>0</v>
      </c>
      <c r="P14">
        <f>'gpt-4.1-mini-Details'!O13-'Human Details'!O13</f>
        <v>-0.2</v>
      </c>
      <c r="R14">
        <v>89</v>
      </c>
      <c r="S14">
        <f>IFERROR(('gpt-4.1-mini-Details'!J13-'Human Details'!J13)/'gpt-4.1-mini-Details'!J13, ('gpt-4.1-mini-Details'!J13-'Human Details'!J13))</f>
        <v>0</v>
      </c>
      <c r="T14">
        <f>IFERROR(('gpt-4.1-mini-Details'!K13-'Human Details'!K13)/'gpt-4.1-mini-Details'!K13, ('gpt-4.1-mini-Details'!K13-'Human Details'!K13))</f>
        <v>0</v>
      </c>
      <c r="U14">
        <f>IFERROR(('gpt-4.1-mini-Details'!L13-'Human Details'!L13)/'gpt-4.1-mini-Details'!L13, ('gpt-4.1-mini-Details'!L13-'Human Details'!L13))</f>
        <v>0</v>
      </c>
      <c r="V14">
        <f>IFERROR(('gpt-4.1-mini-Details'!M13-'Human Details'!M13)/'gpt-4.1-mini-Details'!M13, ('gpt-4.1-mini-Details'!M13-'Human Details'!M13))</f>
        <v>1</v>
      </c>
      <c r="W14">
        <f>IFERROR(('gpt-4.1-mini-Details'!N13-'Human Details'!N13)/'gpt-4.1-mini-Details'!N13, ('gpt-4.1-mini-Details'!N13-'Human Details'!N13))</f>
        <v>0</v>
      </c>
      <c r="X14">
        <f>IFERROR(('gpt-4.1-mini-Details'!O13-'Human Details'!O13)/'gpt-4.1-mini-Details'!O13, ('gpt-4.1-mini-Details'!O13-'Human Details'!O13))</f>
        <v>-0.2</v>
      </c>
    </row>
    <row r="15" spans="1:24" x14ac:dyDescent="0.25">
      <c r="A15">
        <v>91</v>
      </c>
      <c r="B15">
        <f>ABS('Human Details'!J14-'gpt-4.1-mini-Details'!J14)</f>
        <v>7.6923076923076872E-2</v>
      </c>
      <c r="C15">
        <f>ABS('Human Details'!K14-'gpt-4.1-mini-Details'!K14)</f>
        <v>0.17142857142857143</v>
      </c>
      <c r="D15">
        <f>ABS('Human Details'!L14-'gpt-4.1-mini-Details'!L14)</f>
        <v>0.33333333329166659</v>
      </c>
      <c r="E15">
        <f>ABS('Human Details'!M14-'gpt-4.1-mini-Details'!M14)</f>
        <v>0.39307463717486524</v>
      </c>
      <c r="F15">
        <f>ABS('Human Details'!N14-'gpt-4.1-mini-Details'!N14)</f>
        <v>0.44331983816748344</v>
      </c>
      <c r="G15">
        <f>ABS('Human Details'!O14-'gpt-4.1-mini-Details'!O14)</f>
        <v>0.75</v>
      </c>
      <c r="J15">
        <v>91</v>
      </c>
      <c r="K15">
        <f>'gpt-4.1-mini-Details'!J14-'Human Details'!J14</f>
        <v>7.6923076923076872E-2</v>
      </c>
      <c r="L15">
        <f>'gpt-4.1-mini-Details'!K14-'Human Details'!K14</f>
        <v>0.17142857142857143</v>
      </c>
      <c r="M15">
        <f>'gpt-4.1-mini-Details'!L14-'Human Details'!L14</f>
        <v>0.33333333329166659</v>
      </c>
      <c r="N15">
        <f>'gpt-4.1-mini-Details'!M14-'Human Details'!M14</f>
        <v>0.39307463717486524</v>
      </c>
      <c r="O15">
        <f>'gpt-4.1-mini-Details'!N14-'Human Details'!N14</f>
        <v>-0.44331983816748344</v>
      </c>
      <c r="P15">
        <f>'gpt-4.1-mini-Details'!O14-'Human Details'!O14</f>
        <v>-0.75</v>
      </c>
      <c r="R15">
        <v>91</v>
      </c>
      <c r="S15">
        <f>IFERROR(('gpt-4.1-mini-Details'!J14-'Human Details'!J14)/'gpt-4.1-mini-Details'!J14, ('gpt-4.1-mini-Details'!J14-'Human Details'!J14))</f>
        <v>0.14285714285714277</v>
      </c>
      <c r="T15">
        <f>IFERROR(('gpt-4.1-mini-Details'!K14-'Human Details'!K14)/'gpt-4.1-mini-Details'!K14, ('gpt-4.1-mini-Details'!K14-'Human Details'!K14))</f>
        <v>0.28571428571428575</v>
      </c>
      <c r="U15">
        <f>IFERROR(('gpt-4.1-mini-Details'!L14-'Human Details'!L14)/'gpt-4.1-mini-Details'!L14, ('gpt-4.1-mini-Details'!L14-'Human Details'!L14))</f>
        <v>0.39999999996999996</v>
      </c>
      <c r="V15">
        <f>IFERROR(('gpt-4.1-mini-Details'!M14-'Human Details'!M14)/'gpt-4.1-mini-Details'!M14, ('gpt-4.1-mini-Details'!M14-'Human Details'!M14))</f>
        <v>0.44013637921496662</v>
      </c>
      <c r="W15">
        <f>IFERROR(('gpt-4.1-mini-Details'!N14-'Human Details'!N14)/'gpt-4.1-mini-Details'!N14, ('gpt-4.1-mini-Details'!N14-'Human Details'!N14))</f>
        <v>-2.1057692324038455</v>
      </c>
      <c r="X15">
        <f>IFERROR(('gpt-4.1-mini-Details'!O14-'Human Details'!O14)/'gpt-4.1-mini-Details'!O14, ('gpt-4.1-mini-Details'!O14-'Human Details'!O14))</f>
        <v>-0.75</v>
      </c>
    </row>
    <row r="16" spans="1:24" x14ac:dyDescent="0.25">
      <c r="A16">
        <v>97</v>
      </c>
      <c r="B16">
        <f>ABS('Human Details'!J15-'gpt-4.1-mini-Details'!J15)</f>
        <v>0.49473684210526314</v>
      </c>
      <c r="C16">
        <f>ABS('Human Details'!K15-'gpt-4.1-mini-Details'!K15)</f>
        <v>0.26666666666666661</v>
      </c>
      <c r="D16">
        <f>ABS('Human Details'!L15-'gpt-4.1-mini-Details'!L15)</f>
        <v>0.30555555552870362</v>
      </c>
      <c r="E16">
        <f>ABS('Human Details'!M15-'gpt-4.1-mini-Details'!M15)</f>
        <v>0.62738409874872403</v>
      </c>
      <c r="F16">
        <f>ABS('Human Details'!N15-'gpt-4.1-mini-Details'!N15)</f>
        <v>0.6</v>
      </c>
      <c r="G16">
        <f>ABS('Human Details'!O15-'gpt-4.1-mini-Details'!O15)</f>
        <v>0.75</v>
      </c>
      <c r="J16">
        <v>97</v>
      </c>
      <c r="K16">
        <f>'gpt-4.1-mini-Details'!J15-'Human Details'!J15</f>
        <v>0.49473684210526314</v>
      </c>
      <c r="L16">
        <f>'gpt-4.1-mini-Details'!K15-'Human Details'!K15</f>
        <v>0.26666666666666661</v>
      </c>
      <c r="M16">
        <f>'gpt-4.1-mini-Details'!L15-'Human Details'!L15</f>
        <v>0.30555555552870362</v>
      </c>
      <c r="N16">
        <f>'gpt-4.1-mini-Details'!M15-'Human Details'!M15</f>
        <v>0.62738409874872403</v>
      </c>
      <c r="O16">
        <f>'gpt-4.1-mini-Details'!N15-'Human Details'!N15</f>
        <v>-0.6</v>
      </c>
      <c r="P16">
        <f>'gpt-4.1-mini-Details'!O15-'Human Details'!O15</f>
        <v>-0.75</v>
      </c>
      <c r="R16">
        <v>97</v>
      </c>
      <c r="S16">
        <f>IFERROR(('gpt-4.1-mini-Details'!J15-'Human Details'!J15)/'gpt-4.1-mini-Details'!J15, ('gpt-4.1-mini-Details'!J15-'Human Details'!J15))</f>
        <v>0.55294117647058816</v>
      </c>
      <c r="T16">
        <f>IFERROR(('gpt-4.1-mini-Details'!K15-'Human Details'!K15)/'gpt-4.1-mini-Details'!K15, ('gpt-4.1-mini-Details'!K15-'Human Details'!K15))</f>
        <v>0.39999999999999991</v>
      </c>
      <c r="U16">
        <f>IFERROR(('gpt-4.1-mini-Details'!L15-'Human Details'!L15)/'gpt-4.1-mini-Details'!L15, ('gpt-4.1-mini-Details'!L15-'Human Details'!L15))</f>
        <v>0.37931034480689646</v>
      </c>
      <c r="V16">
        <f>IFERROR(('gpt-4.1-mini-Details'!M15-'Human Details'!M15)/'gpt-4.1-mini-Details'!M15, ('gpt-4.1-mini-Details'!M15-'Human Details'!M15))</f>
        <v>0.71506208015789663</v>
      </c>
      <c r="W16">
        <f>IFERROR(('gpt-4.1-mini-Details'!N15-'Human Details'!N15)/'gpt-4.1-mini-Details'!N15, ('gpt-4.1-mini-Details'!N15-'Human Details'!N15))</f>
        <v>-0.6</v>
      </c>
      <c r="X16">
        <f>IFERROR(('gpt-4.1-mini-Details'!O15-'Human Details'!O15)/'gpt-4.1-mini-Details'!O15, ('gpt-4.1-mini-Details'!O15-'Human Details'!O15))</f>
        <v>-0.75</v>
      </c>
    </row>
    <row r="17" spans="1:24" x14ac:dyDescent="0.25">
      <c r="A17">
        <v>110</v>
      </c>
      <c r="B17">
        <f>ABS('Human Details'!J16-'gpt-4.1-mini-Details'!J16)</f>
        <v>3.5714285714285698E-2</v>
      </c>
      <c r="C17" s="11">
        <f>ABS('Human Details'!K16-'gpt-4.1-mini-Details'!K16)</f>
        <v>0.7</v>
      </c>
      <c r="D17">
        <f>ABS('Human Details'!L16-'gpt-4.1-mini-Details'!L16)</f>
        <v>0.43888888890481476</v>
      </c>
      <c r="E17">
        <f>ABS('Human Details'!M16-'gpt-4.1-mini-Details'!M16)</f>
        <v>0.60351900611722364</v>
      </c>
      <c r="F17">
        <f>ABS('Human Details'!N16-'gpt-4.1-mini-Details'!N16)</f>
        <v>0.40350876970760235</v>
      </c>
      <c r="G17">
        <f>ABS('Human Details'!O16-'gpt-4.1-mini-Details'!O16)</f>
        <v>0.25</v>
      </c>
      <c r="J17">
        <v>110</v>
      </c>
      <c r="K17">
        <f>'gpt-4.1-mini-Details'!J16-'Human Details'!J16</f>
        <v>3.5714285714285698E-2</v>
      </c>
      <c r="L17" s="11">
        <f>'gpt-4.1-mini-Details'!K16-'Human Details'!K16</f>
        <v>0.7</v>
      </c>
      <c r="M17">
        <f>'gpt-4.1-mini-Details'!L16-'Human Details'!L16</f>
        <v>-0.43888888890481476</v>
      </c>
      <c r="N17">
        <f>'gpt-4.1-mini-Details'!M16-'Human Details'!M16</f>
        <v>0.60351900611722364</v>
      </c>
      <c r="O17">
        <f>'gpt-4.1-mini-Details'!N16-'Human Details'!N16</f>
        <v>0.40350876970760235</v>
      </c>
      <c r="P17">
        <f>'gpt-4.1-mini-Details'!O16-'Human Details'!O16</f>
        <v>-0.25</v>
      </c>
      <c r="R17">
        <v>110</v>
      </c>
      <c r="S17">
        <f>IFERROR(('gpt-4.1-mini-Details'!J16-'Human Details'!J16)/'gpt-4.1-mini-Details'!J16, ('gpt-4.1-mini-Details'!J16-'Human Details'!J16))</f>
        <v>0.12499999999999994</v>
      </c>
      <c r="T17">
        <f>IFERROR(('gpt-4.1-mini-Details'!K16-'Human Details'!K16)/'gpt-4.1-mini-Details'!K16, ('gpt-4.1-mini-Details'!K16-'Human Details'!K16))</f>
        <v>0.7</v>
      </c>
      <c r="U17">
        <f>IFERROR(('gpt-4.1-mini-Details'!L16-'Human Details'!L16)/'gpt-4.1-mini-Details'!L16, ('gpt-4.1-mini-Details'!L16-'Human Details'!L16))</f>
        <v>-0.91860465122674406</v>
      </c>
      <c r="V17">
        <f>IFERROR(('gpt-4.1-mini-Details'!M16-'Human Details'!M16)/'gpt-4.1-mini-Details'!M16, ('gpt-4.1-mini-Details'!M16-'Human Details'!M16))</f>
        <v>0.70709498182438291</v>
      </c>
      <c r="W17">
        <f>IFERROR(('gpt-4.1-mini-Details'!N16-'Human Details'!N16)/'gpt-4.1-mini-Details'!N16, ('gpt-4.1-mini-Details'!N16-'Human Details'!N16))</f>
        <v>0.60526315657894736</v>
      </c>
      <c r="X17">
        <f>IFERROR(('gpt-4.1-mini-Details'!O16-'Human Details'!O16)/'gpt-4.1-mini-Details'!O16, ('gpt-4.1-mini-Details'!O16-'Human Details'!O16))</f>
        <v>-0.25</v>
      </c>
    </row>
    <row r="19" spans="1:24" x14ac:dyDescent="0.25">
      <c r="B19" t="s">
        <v>9</v>
      </c>
      <c r="C19" t="s">
        <v>10</v>
      </c>
      <c r="D19" t="s">
        <v>11</v>
      </c>
      <c r="E19" t="s">
        <v>12</v>
      </c>
      <c r="F19" t="s">
        <v>13</v>
      </c>
      <c r="G19" t="s">
        <v>14</v>
      </c>
      <c r="K19" t="s">
        <v>9</v>
      </c>
      <c r="L19" t="s">
        <v>10</v>
      </c>
      <c r="M19" t="s">
        <v>11</v>
      </c>
      <c r="N19" t="s">
        <v>12</v>
      </c>
      <c r="O19" t="s">
        <v>13</v>
      </c>
      <c r="P19" t="s">
        <v>14</v>
      </c>
      <c r="S19" t="s">
        <v>9</v>
      </c>
      <c r="T19" t="s">
        <v>10</v>
      </c>
      <c r="U19" t="s">
        <v>11</v>
      </c>
      <c r="V19" t="s">
        <v>12</v>
      </c>
      <c r="W19" t="s">
        <v>13</v>
      </c>
      <c r="X19" t="s">
        <v>14</v>
      </c>
    </row>
    <row r="20" spans="1:24" x14ac:dyDescent="0.25">
      <c r="A20" t="s">
        <v>168</v>
      </c>
      <c r="B20">
        <f>AVERAGE(B3:B17)</f>
        <v>0.18366621682411158</v>
      </c>
      <c r="C20" s="14">
        <f t="shared" ref="C20:G20" si="0">AVERAGE(C3:C17)</f>
        <v>0.26047619047619042</v>
      </c>
      <c r="D20">
        <f t="shared" si="0"/>
        <v>0.26611111112692593</v>
      </c>
      <c r="E20" s="11">
        <f t="shared" si="0"/>
        <v>0.38264678044656164</v>
      </c>
      <c r="F20" s="14">
        <f t="shared" si="0"/>
        <v>0.27638068562495172</v>
      </c>
      <c r="G20">
        <f t="shared" si="0"/>
        <v>0.32713183199897172</v>
      </c>
      <c r="J20" t="s">
        <v>191</v>
      </c>
      <c r="K20">
        <f>AVERAGE(K3:K17)</f>
        <v>0.12144399460188933</v>
      </c>
      <c r="L20" s="14">
        <f t="shared" ref="L20:P20" si="1">AVERAGE(L3:L17)</f>
        <v>0.11603174603174603</v>
      </c>
      <c r="M20">
        <f t="shared" si="1"/>
        <v>-0.18092592595087656</v>
      </c>
      <c r="N20" s="11">
        <f t="shared" si="1"/>
        <v>0.37487949327995179</v>
      </c>
      <c r="O20" s="14">
        <f t="shared" si="1"/>
        <v>-4.0424634516792519E-2</v>
      </c>
      <c r="P20">
        <f t="shared" si="1"/>
        <v>-0.16185886689642087</v>
      </c>
      <c r="R20" t="s">
        <v>191</v>
      </c>
      <c r="S20">
        <f>AVERAGE(S3:S17)</f>
        <v>0.12840515693456872</v>
      </c>
      <c r="T20" s="14">
        <f t="shared" ref="T20:X20" si="2">AVERAGE(T3:T17)</f>
        <v>0.18682539682539681</v>
      </c>
      <c r="U20">
        <f t="shared" si="2"/>
        <v>-0.34275975166685957</v>
      </c>
      <c r="V20" s="11">
        <f t="shared" si="2"/>
        <v>0.49655731675592774</v>
      </c>
      <c r="W20" s="14">
        <f t="shared" si="2"/>
        <v>-0.6478692371845024</v>
      </c>
      <c r="X20">
        <f t="shared" si="2"/>
        <v>-0.15513886404384278</v>
      </c>
    </row>
    <row r="23" spans="1:24" x14ac:dyDescent="0.25">
      <c r="A23" t="s">
        <v>9</v>
      </c>
      <c r="E23" t="s">
        <v>10</v>
      </c>
      <c r="I23" t="s">
        <v>11</v>
      </c>
      <c r="M23" t="s">
        <v>12</v>
      </c>
      <c r="Q23" t="s">
        <v>13</v>
      </c>
      <c r="U23" t="s">
        <v>14</v>
      </c>
    </row>
    <row r="24" spans="1:24" x14ac:dyDescent="0.25">
      <c r="A24" t="s">
        <v>157</v>
      </c>
      <c r="B24" t="s">
        <v>181</v>
      </c>
      <c r="C24" t="s">
        <v>193</v>
      </c>
      <c r="D24" t="s">
        <v>194</v>
      </c>
      <c r="E24" t="s">
        <v>157</v>
      </c>
      <c r="F24" t="s">
        <v>181</v>
      </c>
      <c r="G24" t="s">
        <v>193</v>
      </c>
      <c r="H24" t="s">
        <v>194</v>
      </c>
      <c r="I24" t="s">
        <v>157</v>
      </c>
      <c r="J24" t="s">
        <v>181</v>
      </c>
      <c r="K24" t="s">
        <v>193</v>
      </c>
      <c r="L24" t="s">
        <v>194</v>
      </c>
      <c r="M24" t="s">
        <v>157</v>
      </c>
      <c r="N24" t="s">
        <v>181</v>
      </c>
      <c r="O24" t="s">
        <v>193</v>
      </c>
      <c r="P24" t="s">
        <v>194</v>
      </c>
      <c r="Q24" t="s">
        <v>157</v>
      </c>
      <c r="R24" t="s">
        <v>181</v>
      </c>
      <c r="S24" t="s">
        <v>193</v>
      </c>
      <c r="T24" t="s">
        <v>194</v>
      </c>
      <c r="U24" t="s">
        <v>157</v>
      </c>
      <c r="V24" t="s">
        <v>181</v>
      </c>
      <c r="W24" t="s">
        <v>193</v>
      </c>
      <c r="X24" t="s">
        <v>194</v>
      </c>
    </row>
    <row r="25" spans="1:24" x14ac:dyDescent="0.25">
      <c r="A25">
        <v>1</v>
      </c>
      <c r="B25" s="17">
        <f>'Human Details'!J2</f>
        <v>1</v>
      </c>
      <c r="C25">
        <f>'gpt-4.1-mini-Details'!J2</f>
        <v>0.94444444444444442</v>
      </c>
      <c r="D25" t="s">
        <v>195</v>
      </c>
      <c r="E25">
        <v>1</v>
      </c>
      <c r="F25" s="17">
        <f>'Human Details'!K2</f>
        <v>1</v>
      </c>
      <c r="G25">
        <f>'gpt-4.1-mini-Details'!K2</f>
        <v>1</v>
      </c>
      <c r="H25" t="s">
        <v>195</v>
      </c>
      <c r="I25">
        <v>1</v>
      </c>
      <c r="J25" s="17">
        <f>'Human Details'!L2</f>
        <v>0.68</v>
      </c>
      <c r="K25">
        <f>'gpt-4.1-mini-Details'!L2</f>
        <v>0.47777777776185187</v>
      </c>
      <c r="L25" t="s">
        <v>195</v>
      </c>
      <c r="M25">
        <v>1</v>
      </c>
      <c r="N25" s="17">
        <f>'Human Details'!M2</f>
        <v>0.75</v>
      </c>
      <c r="O25">
        <f>'gpt-4.1-mini-Details'!M2</f>
        <v>0.69174534625042605</v>
      </c>
      <c r="P25" t="s">
        <v>195</v>
      </c>
      <c r="Q25">
        <v>1</v>
      </c>
      <c r="R25" s="17">
        <f>'Human Details'!N2</f>
        <v>0.45454545454545453</v>
      </c>
      <c r="S25">
        <f>'gpt-4.1-mini-Details'!N2</f>
        <v>0.1111111109876543</v>
      </c>
      <c r="U25">
        <v>1</v>
      </c>
      <c r="V25" s="17">
        <f>'Human Details'!O2</f>
        <v>1</v>
      </c>
      <c r="W25">
        <f>'gpt-4.1-mini-Details'!O2</f>
        <v>0.84578900131503387</v>
      </c>
      <c r="X25" t="s">
        <v>195</v>
      </c>
    </row>
    <row r="26" spans="1:24" x14ac:dyDescent="0.25">
      <c r="A26">
        <v>8</v>
      </c>
      <c r="B26" s="17">
        <f>'Human Details'!J3</f>
        <v>0.5</v>
      </c>
      <c r="C26">
        <f>'gpt-4.1-mini-Details'!J3</f>
        <v>0.5</v>
      </c>
      <c r="D26" t="s">
        <v>195</v>
      </c>
      <c r="E26">
        <v>8</v>
      </c>
      <c r="F26" s="17">
        <f>'Human Details'!K3</f>
        <v>0</v>
      </c>
      <c r="G26">
        <f>'gpt-4.1-mini-Details'!K3</f>
        <v>0</v>
      </c>
      <c r="H26" t="s">
        <v>195</v>
      </c>
      <c r="I26">
        <v>8</v>
      </c>
      <c r="J26" s="17">
        <f>'Human Details'!L3</f>
        <v>1</v>
      </c>
      <c r="K26">
        <f>'gpt-4.1-mini-Details'!L3</f>
        <v>0</v>
      </c>
      <c r="L26" t="s">
        <v>196</v>
      </c>
      <c r="M26">
        <v>8</v>
      </c>
      <c r="N26" s="17">
        <f>'Human Details'!M3</f>
        <v>0</v>
      </c>
      <c r="O26">
        <f>'gpt-4.1-mini-Details'!M3</f>
        <v>0.68219252845269107</v>
      </c>
      <c r="P26" t="s">
        <v>196</v>
      </c>
      <c r="Q26">
        <v>8</v>
      </c>
      <c r="R26" s="17">
        <f>'Human Details'!N3</f>
        <v>0</v>
      </c>
      <c r="S26">
        <f>'gpt-4.1-mini-Details'!N3</f>
        <v>0</v>
      </c>
      <c r="T26" t="s">
        <v>195</v>
      </c>
      <c r="U26">
        <v>8</v>
      </c>
      <c r="V26" s="17">
        <f>'Human Details'!O3</f>
        <v>0</v>
      </c>
      <c r="W26">
        <f>'gpt-4.1-mini-Details'!O3</f>
        <v>0</v>
      </c>
      <c r="X26" t="s">
        <v>195</v>
      </c>
    </row>
    <row r="27" spans="1:24" x14ac:dyDescent="0.25">
      <c r="A27">
        <v>11</v>
      </c>
      <c r="B27" s="17">
        <f>'Human Details'!J4</f>
        <v>0.5</v>
      </c>
      <c r="C27">
        <f>'gpt-4.1-mini-Details'!J4</f>
        <v>0.83333333333333337</v>
      </c>
      <c r="E27">
        <v>11</v>
      </c>
      <c r="F27" s="17">
        <f>'Human Details'!K4</f>
        <v>1</v>
      </c>
      <c r="G27">
        <f>'gpt-4.1-mini-Details'!K4</f>
        <v>1</v>
      </c>
      <c r="H27" t="s">
        <v>195</v>
      </c>
      <c r="I27">
        <v>11</v>
      </c>
      <c r="J27" s="17">
        <f>'Human Details'!L4</f>
        <v>1</v>
      </c>
      <c r="K27">
        <f>'gpt-4.1-mini-Details'!L4</f>
        <v>0.99999999995</v>
      </c>
      <c r="L27" t="s">
        <v>195</v>
      </c>
      <c r="M27">
        <v>11</v>
      </c>
      <c r="N27" s="17">
        <f>'Human Details'!M4</f>
        <v>0.5</v>
      </c>
      <c r="O27">
        <f>'gpt-4.1-mini-Details'!M4</f>
        <v>0.71741346021913099</v>
      </c>
      <c r="P27" t="s">
        <v>195</v>
      </c>
      <c r="Q27">
        <v>11</v>
      </c>
      <c r="R27" s="17">
        <f>'Human Details'!N4</f>
        <v>0.27272727272727271</v>
      </c>
      <c r="S27">
        <f>'gpt-4.1-mini-Details'!N4</f>
        <v>0.79999999919999998</v>
      </c>
      <c r="T27" t="s">
        <v>196</v>
      </c>
      <c r="U27">
        <v>11</v>
      </c>
      <c r="V27" s="17">
        <f>'Human Details'!O4</f>
        <v>0.5</v>
      </c>
      <c r="W27">
        <f>'gpt-4.1-mini-Details'!O4</f>
        <v>0</v>
      </c>
      <c r="X27" t="s">
        <v>196</v>
      </c>
    </row>
    <row r="28" spans="1:24" x14ac:dyDescent="0.25">
      <c r="A28">
        <v>17</v>
      </c>
      <c r="B28" s="17">
        <f>'Human Details'!J5</f>
        <v>0.66666666666666663</v>
      </c>
      <c r="C28">
        <f>'gpt-4.1-mini-Details'!J5</f>
        <v>0.8</v>
      </c>
      <c r="D28" t="s">
        <v>195</v>
      </c>
      <c r="E28">
        <v>17</v>
      </c>
      <c r="F28" s="17">
        <f>'Human Details'!K5</f>
        <v>0.33333333333333331</v>
      </c>
      <c r="G28">
        <f>'gpt-4.1-mini-Details'!K5</f>
        <v>0</v>
      </c>
      <c r="H28" t="s">
        <v>195</v>
      </c>
      <c r="I28">
        <v>17</v>
      </c>
      <c r="J28" s="17">
        <f>'Human Details'!L5</f>
        <v>0.32500000000000001</v>
      </c>
      <c r="K28">
        <f>'gpt-4.1-mini-Details'!L5</f>
        <v>0.19999999998000001</v>
      </c>
      <c r="L28" t="s">
        <v>195</v>
      </c>
      <c r="M28">
        <v>17</v>
      </c>
      <c r="N28" s="17">
        <f>'Human Details'!M5</f>
        <v>0.5</v>
      </c>
      <c r="O28">
        <f>'gpt-4.1-mini-Details'!M5</f>
        <v>0.77592699340364291</v>
      </c>
      <c r="P28" t="s">
        <v>195</v>
      </c>
      <c r="Q28">
        <v>17</v>
      </c>
      <c r="R28" s="17">
        <f>'Human Details'!N5</f>
        <v>0.33333333333333331</v>
      </c>
      <c r="S28">
        <f>'gpt-4.1-mini-Details'!N5</f>
        <v>0.44444444395061722</v>
      </c>
      <c r="T28" t="s">
        <v>195</v>
      </c>
      <c r="U28">
        <v>17</v>
      </c>
      <c r="V28" s="17">
        <f>'Human Details'!O5</f>
        <v>0.5</v>
      </c>
      <c r="W28">
        <f>'gpt-4.1-mini-Details'!O5</f>
        <v>0.87199182957967969</v>
      </c>
    </row>
    <row r="29" spans="1:24" x14ac:dyDescent="0.25">
      <c r="A29">
        <v>20</v>
      </c>
      <c r="B29" s="17">
        <f>'Human Details'!J6</f>
        <v>0.9</v>
      </c>
      <c r="C29">
        <f>'gpt-4.1-mini-Details'!J6</f>
        <v>0.6</v>
      </c>
      <c r="E29">
        <v>20</v>
      </c>
      <c r="F29" s="17">
        <f>'Human Details'!K6</f>
        <v>0.75</v>
      </c>
      <c r="G29">
        <f>'gpt-4.1-mini-Details'!K6</f>
        <v>0</v>
      </c>
      <c r="H29" t="s">
        <v>196</v>
      </c>
      <c r="I29">
        <v>20</v>
      </c>
      <c r="J29" s="17">
        <f>'Human Details'!L6</f>
        <v>1</v>
      </c>
      <c r="K29">
        <f>'gpt-4.1-mini-Details'!L6</f>
        <v>0.99999999989999999</v>
      </c>
      <c r="L29" t="s">
        <v>195</v>
      </c>
      <c r="M29">
        <v>20</v>
      </c>
      <c r="N29" s="17">
        <f>'Human Details'!M6</f>
        <v>0.5</v>
      </c>
      <c r="O29">
        <f>'gpt-4.1-mini-Details'!M6</f>
        <v>0.54732096792325347</v>
      </c>
      <c r="P29" t="s">
        <v>195</v>
      </c>
      <c r="Q29">
        <v>20</v>
      </c>
      <c r="R29" s="17">
        <f>'Human Details'!N6</f>
        <v>0.25</v>
      </c>
      <c r="S29">
        <f>'gpt-4.1-mini-Details'!N6</f>
        <v>0.77777777691358019</v>
      </c>
      <c r="T29" t="s">
        <v>196</v>
      </c>
      <c r="U29">
        <v>20</v>
      </c>
      <c r="V29" s="17">
        <f>'Human Details'!O6</f>
        <v>0.8</v>
      </c>
      <c r="W29">
        <f>'gpt-4.1-mini-Details'!O6</f>
        <v>0.79382326567130201</v>
      </c>
      <c r="X29" t="s">
        <v>195</v>
      </c>
    </row>
    <row r="30" spans="1:24" x14ac:dyDescent="0.25">
      <c r="A30">
        <v>30</v>
      </c>
      <c r="B30" s="17">
        <f>'Human Details'!J7</f>
        <v>0.33333333333333331</v>
      </c>
      <c r="C30">
        <f>'gpt-4.1-mini-Details'!J7</f>
        <v>1</v>
      </c>
      <c r="D30" t="s">
        <v>196</v>
      </c>
      <c r="E30">
        <v>30</v>
      </c>
      <c r="F30" s="17">
        <f>'Human Details'!K7</f>
        <v>0</v>
      </c>
      <c r="G30">
        <f>'gpt-4.1-mini-Details'!K7</f>
        <v>1</v>
      </c>
      <c r="H30" t="s">
        <v>196</v>
      </c>
      <c r="I30">
        <v>30</v>
      </c>
      <c r="J30" s="17">
        <f>'Human Details'!L7</f>
        <v>0.75</v>
      </c>
      <c r="K30">
        <f>'gpt-4.1-mini-Details'!L7</f>
        <v>0</v>
      </c>
      <c r="L30" t="s">
        <v>196</v>
      </c>
      <c r="M30">
        <v>30</v>
      </c>
      <c r="N30" s="17">
        <f>'Human Details'!M7</f>
        <v>0.25</v>
      </c>
      <c r="O30">
        <f>'gpt-4.1-mini-Details'!M7</f>
        <v>0.86740094111044419</v>
      </c>
      <c r="P30" t="s">
        <v>196</v>
      </c>
      <c r="Q30">
        <v>30</v>
      </c>
      <c r="R30" s="17">
        <f>'Human Details'!N7</f>
        <v>0</v>
      </c>
      <c r="S30">
        <f>'gpt-4.1-mini-Details'!N7</f>
        <v>0.19999999960000001</v>
      </c>
      <c r="T30" t="s">
        <v>195</v>
      </c>
      <c r="U30">
        <v>30</v>
      </c>
      <c r="V30" s="17">
        <f>'Human Details'!O7</f>
        <v>0.25</v>
      </c>
      <c r="W30">
        <f>'gpt-4.1-mini-Details'!O7</f>
        <v>0.90361799764373485</v>
      </c>
      <c r="X30" t="s">
        <v>196</v>
      </c>
    </row>
    <row r="31" spans="1:24" x14ac:dyDescent="0.25">
      <c r="A31">
        <v>33</v>
      </c>
      <c r="B31" s="17">
        <f>'Human Details'!J8</f>
        <v>0.5</v>
      </c>
      <c r="C31">
        <f>'gpt-4.1-mini-Details'!J8</f>
        <v>0.83333333333333337</v>
      </c>
      <c r="E31">
        <v>33</v>
      </c>
      <c r="F31" s="17">
        <f>'Human Details'!K8</f>
        <v>1</v>
      </c>
      <c r="G31">
        <f>'gpt-4.1-mini-Details'!K8</f>
        <v>1</v>
      </c>
      <c r="H31" t="s">
        <v>195</v>
      </c>
      <c r="I31">
        <v>33</v>
      </c>
      <c r="J31" s="17">
        <f>'Human Details'!L8</f>
        <v>0.87</v>
      </c>
      <c r="K31">
        <f>'gpt-4.1-mini-Details'!L8</f>
        <v>0.8666666666377778</v>
      </c>
      <c r="L31" t="s">
        <v>195</v>
      </c>
      <c r="M31">
        <v>33</v>
      </c>
      <c r="N31" s="17">
        <f>'Human Details'!M8</f>
        <v>0.75</v>
      </c>
      <c r="O31">
        <f>'gpt-4.1-mini-Details'!M8</f>
        <v>0.88175794034474853</v>
      </c>
      <c r="P31" t="s">
        <v>195</v>
      </c>
      <c r="Q31">
        <v>33</v>
      </c>
      <c r="R31" s="17">
        <f>'Human Details'!N8</f>
        <v>1</v>
      </c>
      <c r="S31">
        <f>'gpt-4.1-mini-Details'!N8</f>
        <v>0.99999999500000003</v>
      </c>
      <c r="T31" t="s">
        <v>195</v>
      </c>
      <c r="U31">
        <v>33</v>
      </c>
      <c r="V31" s="17">
        <f>'Human Details'!O8</f>
        <v>0.75</v>
      </c>
      <c r="W31">
        <f>'gpt-4.1-mini-Details'!O8</f>
        <v>0.96393741104571706</v>
      </c>
      <c r="X31" t="s">
        <v>195</v>
      </c>
    </row>
    <row r="32" spans="1:24" x14ac:dyDescent="0.25">
      <c r="A32">
        <v>34</v>
      </c>
      <c r="B32" s="17">
        <f>'Human Details'!J9</f>
        <v>0</v>
      </c>
      <c r="C32">
        <f>'gpt-4.1-mini-Details'!J9</f>
        <v>0</v>
      </c>
      <c r="D32" t="s">
        <v>195</v>
      </c>
      <c r="E32">
        <v>34</v>
      </c>
      <c r="F32" s="17">
        <f>'Human Details'!K9</f>
        <v>0</v>
      </c>
      <c r="G32">
        <f>'gpt-4.1-mini-Details'!K9</f>
        <v>0</v>
      </c>
      <c r="H32" t="s">
        <v>195</v>
      </c>
      <c r="I32">
        <v>34</v>
      </c>
      <c r="J32" s="17">
        <f>'Human Details'!L9</f>
        <v>0</v>
      </c>
      <c r="K32">
        <f>'gpt-4.1-mini-Details'!L9</f>
        <v>0</v>
      </c>
      <c r="L32" t="s">
        <v>195</v>
      </c>
      <c r="M32">
        <v>34</v>
      </c>
      <c r="N32" s="17">
        <f>'Human Details'!M9</f>
        <v>0.5</v>
      </c>
      <c r="O32">
        <f>'gpt-4.1-mini-Details'!M9</f>
        <v>0.76584728450071693</v>
      </c>
      <c r="P32" t="s">
        <v>195</v>
      </c>
      <c r="Q32">
        <v>34</v>
      </c>
      <c r="R32" s="17">
        <f>'Human Details'!N9</f>
        <v>0</v>
      </c>
      <c r="S32">
        <f>'gpt-4.1-mini-Details'!N9</f>
        <v>0</v>
      </c>
      <c r="T32" t="s">
        <v>195</v>
      </c>
      <c r="U32">
        <v>34</v>
      </c>
      <c r="V32" s="17">
        <f>'Human Details'!O9</f>
        <v>1</v>
      </c>
      <c r="W32">
        <f>'gpt-4.1-mini-Details'!O9</f>
        <v>0.96368457269512253</v>
      </c>
      <c r="X32" t="s">
        <v>195</v>
      </c>
    </row>
    <row r="33" spans="1:24" x14ac:dyDescent="0.25">
      <c r="A33">
        <v>64</v>
      </c>
      <c r="B33" s="17">
        <f>'Human Details'!J10</f>
        <v>0</v>
      </c>
      <c r="C33">
        <f>'gpt-4.1-mini-Details'!J10</f>
        <v>0</v>
      </c>
      <c r="D33" t="s">
        <v>195</v>
      </c>
      <c r="E33">
        <v>64</v>
      </c>
      <c r="F33" s="17">
        <f>'Human Details'!K10</f>
        <v>0</v>
      </c>
      <c r="G33">
        <f>'gpt-4.1-mini-Details'!K10</f>
        <v>0.2857142857142857</v>
      </c>
      <c r="H33" t="s">
        <v>195</v>
      </c>
      <c r="I33">
        <v>64</v>
      </c>
      <c r="J33" s="17">
        <f>'Human Details'!L10</f>
        <v>0</v>
      </c>
      <c r="K33">
        <f>'gpt-4.1-mini-Details'!L10</f>
        <v>0</v>
      </c>
      <c r="L33" t="s">
        <v>195</v>
      </c>
      <c r="M33">
        <v>64</v>
      </c>
      <c r="N33" s="17">
        <f>'Human Details'!M10</f>
        <v>0</v>
      </c>
      <c r="O33">
        <f>'gpt-4.1-mini-Details'!M10</f>
        <v>0.67507926277689445</v>
      </c>
      <c r="P33" t="s">
        <v>196</v>
      </c>
      <c r="Q33">
        <v>64</v>
      </c>
      <c r="R33" s="17">
        <f>'Human Details'!N10</f>
        <v>0</v>
      </c>
      <c r="S33">
        <f>'gpt-4.1-mini-Details'!N10</f>
        <v>0</v>
      </c>
      <c r="T33" t="s">
        <v>195</v>
      </c>
      <c r="U33">
        <v>64</v>
      </c>
      <c r="V33" s="17">
        <f>'Human Details'!O10</f>
        <v>0</v>
      </c>
      <c r="W33">
        <f>'gpt-4.1-mini-Details'!O10</f>
        <v>0</v>
      </c>
      <c r="X33" t="s">
        <v>195</v>
      </c>
    </row>
    <row r="34" spans="1:24" x14ac:dyDescent="0.25">
      <c r="A34">
        <v>65</v>
      </c>
      <c r="B34" s="17">
        <f>'Human Details'!J11</f>
        <v>0.66666666666666663</v>
      </c>
      <c r="C34">
        <f>'gpt-4.1-mini-Details'!J11</f>
        <v>0.55555555555555558</v>
      </c>
      <c r="D34" t="s">
        <v>195</v>
      </c>
      <c r="E34">
        <v>65</v>
      </c>
      <c r="F34" s="17">
        <f>'Human Details'!K11</f>
        <v>1</v>
      </c>
      <c r="G34">
        <f>'gpt-4.1-mini-Details'!K11</f>
        <v>1</v>
      </c>
      <c r="H34" t="s">
        <v>195</v>
      </c>
      <c r="I34">
        <v>65</v>
      </c>
      <c r="J34" s="17">
        <f>'Human Details'!L11</f>
        <v>1</v>
      </c>
      <c r="K34">
        <f>'gpt-4.1-mini-Details'!L11</f>
        <v>0.33333333329999998</v>
      </c>
      <c r="L34" t="s">
        <v>196</v>
      </c>
      <c r="M34">
        <v>65</v>
      </c>
      <c r="N34" s="17">
        <f>'Human Details'!M11</f>
        <v>0.5</v>
      </c>
      <c r="O34">
        <f>'gpt-4.1-mini-Details'!M11</f>
        <v>0.85285397946863595</v>
      </c>
      <c r="Q34">
        <v>65</v>
      </c>
      <c r="R34" s="17">
        <f>'Human Details'!N11</f>
        <v>1</v>
      </c>
      <c r="S34">
        <f>'gpt-4.1-mini-Details'!N11</f>
        <v>0.1249999999479167</v>
      </c>
      <c r="T34" t="s">
        <v>196</v>
      </c>
      <c r="U34">
        <v>65</v>
      </c>
      <c r="V34" s="17">
        <f>'Human Details'!O11</f>
        <v>1</v>
      </c>
      <c r="W34">
        <f>'gpt-4.1-mini-Details'!O11</f>
        <v>0</v>
      </c>
      <c r="X34" t="s">
        <v>196</v>
      </c>
    </row>
    <row r="35" spans="1:24" x14ac:dyDescent="0.25">
      <c r="A35">
        <v>84</v>
      </c>
      <c r="B35" s="17">
        <f>'Human Details'!J12</f>
        <v>0.7142857142857143</v>
      </c>
      <c r="C35">
        <f>'gpt-4.1-mini-Details'!J12</f>
        <v>0.9285714285714286</v>
      </c>
      <c r="D35" t="s">
        <v>195</v>
      </c>
      <c r="E35">
        <v>84</v>
      </c>
      <c r="F35" s="17">
        <f>'Human Details'!K12</f>
        <v>0.4</v>
      </c>
      <c r="G35">
        <f>'gpt-4.1-mini-Details'!K12</f>
        <v>0.8</v>
      </c>
      <c r="I35">
        <v>84</v>
      </c>
      <c r="J35" s="17">
        <f>'Human Details'!L12</f>
        <v>1</v>
      </c>
      <c r="K35">
        <f>'gpt-4.1-mini-Details'!L12</f>
        <v>0.83333333329166659</v>
      </c>
      <c r="L35" t="s">
        <v>195</v>
      </c>
      <c r="M35">
        <v>84</v>
      </c>
      <c r="N35" s="17">
        <f>'Human Details'!M12</f>
        <v>0.5</v>
      </c>
      <c r="O35">
        <f>'gpt-4.1-mini-Details'!M12</f>
        <v>0.71745191536450648</v>
      </c>
      <c r="P35" t="s">
        <v>195</v>
      </c>
      <c r="Q35">
        <v>84</v>
      </c>
      <c r="R35" s="17">
        <f>'Human Details'!N12</f>
        <v>0.11428571428571428</v>
      </c>
      <c r="S35">
        <f>'gpt-4.1-mini-Details'!N12</f>
        <v>0</v>
      </c>
      <c r="T35" t="s">
        <v>195</v>
      </c>
      <c r="U35">
        <v>84</v>
      </c>
      <c r="V35" s="17">
        <f>'Human Details'!O12</f>
        <v>1</v>
      </c>
      <c r="W35">
        <f>'gpt-4.1-mini-Details'!O12</f>
        <v>0.97927291860309695</v>
      </c>
      <c r="X35" t="s">
        <v>195</v>
      </c>
    </row>
    <row r="36" spans="1:24" x14ac:dyDescent="0.25">
      <c r="A36">
        <v>89</v>
      </c>
      <c r="B36" s="17">
        <f>'Human Details'!J13</f>
        <v>0</v>
      </c>
      <c r="C36">
        <f>'gpt-4.1-mini-Details'!J13</f>
        <v>0</v>
      </c>
      <c r="D36" t="s">
        <v>195</v>
      </c>
      <c r="E36">
        <v>89</v>
      </c>
      <c r="F36" s="17">
        <f>'Human Details'!K13</f>
        <v>0</v>
      </c>
      <c r="G36">
        <f>'gpt-4.1-mini-Details'!K13</f>
        <v>0</v>
      </c>
      <c r="H36" t="s">
        <v>195</v>
      </c>
      <c r="I36">
        <v>89</v>
      </c>
      <c r="J36" s="17">
        <f>'Human Details'!L13</f>
        <v>0</v>
      </c>
      <c r="K36">
        <f>'gpt-4.1-mini-Details'!L13</f>
        <v>0</v>
      </c>
      <c r="L36" t="s">
        <v>195</v>
      </c>
      <c r="M36">
        <v>89</v>
      </c>
      <c r="N36" s="17">
        <f>'Human Details'!M13</f>
        <v>0</v>
      </c>
      <c r="O36">
        <f>'gpt-4.1-mini-Details'!M13</f>
        <v>0.57422403734337246</v>
      </c>
      <c r="P36" t="s">
        <v>196</v>
      </c>
      <c r="Q36">
        <v>89</v>
      </c>
      <c r="R36" s="17">
        <f>'Human Details'!N13</f>
        <v>0</v>
      </c>
      <c r="S36">
        <f>'gpt-4.1-mini-Details'!N13</f>
        <v>0</v>
      </c>
      <c r="T36" t="s">
        <v>195</v>
      </c>
      <c r="U36">
        <v>89</v>
      </c>
      <c r="V36" s="17">
        <f>'Human Details'!O13</f>
        <v>0.2</v>
      </c>
      <c r="W36">
        <f>'gpt-4.1-mini-Details'!O13</f>
        <v>0</v>
      </c>
    </row>
    <row r="37" spans="1:24" x14ac:dyDescent="0.25">
      <c r="A37">
        <v>91</v>
      </c>
      <c r="B37" s="17">
        <f>'Human Details'!J14</f>
        <v>0.46153846153846156</v>
      </c>
      <c r="C37">
        <f>'gpt-4.1-mini-Details'!J14</f>
        <v>0.53846153846153844</v>
      </c>
      <c r="D37" t="s">
        <v>195</v>
      </c>
      <c r="E37">
        <v>91</v>
      </c>
      <c r="F37" s="17">
        <f>'Human Details'!K14</f>
        <v>0.42857142857142855</v>
      </c>
      <c r="G37">
        <f>'gpt-4.1-mini-Details'!K14</f>
        <v>0.6</v>
      </c>
      <c r="H37" t="s">
        <v>195</v>
      </c>
      <c r="I37">
        <v>91</v>
      </c>
      <c r="J37" s="17">
        <f>'Human Details'!L14</f>
        <v>0.5</v>
      </c>
      <c r="K37">
        <f>'gpt-4.1-mini-Details'!L14</f>
        <v>0.83333333329166659</v>
      </c>
      <c r="M37">
        <v>91</v>
      </c>
      <c r="N37" s="17">
        <f>'Human Details'!M14</f>
        <v>0.5</v>
      </c>
      <c r="O37">
        <f>'gpt-4.1-mini-Details'!M14</f>
        <v>0.89307463717486524</v>
      </c>
      <c r="Q37">
        <v>91</v>
      </c>
      <c r="R37" s="17">
        <f>'Human Details'!N14</f>
        <v>0.65384615384615385</v>
      </c>
      <c r="S37">
        <f>'gpt-4.1-mini-Details'!N14</f>
        <v>0.21052631567867039</v>
      </c>
      <c r="U37">
        <v>91</v>
      </c>
      <c r="V37" s="17">
        <f>'Human Details'!O14</f>
        <v>0.75</v>
      </c>
      <c r="W37">
        <f>'gpt-4.1-mini-Details'!O14</f>
        <v>0</v>
      </c>
      <c r="X37" t="s">
        <v>196</v>
      </c>
    </row>
    <row r="38" spans="1:24" x14ac:dyDescent="0.25">
      <c r="A38">
        <v>97</v>
      </c>
      <c r="B38" s="17">
        <f>'Human Details'!J15</f>
        <v>0.4</v>
      </c>
      <c r="C38">
        <f>'gpt-4.1-mini-Details'!J15</f>
        <v>0.89473684210526316</v>
      </c>
      <c r="D38" t="s">
        <v>196</v>
      </c>
      <c r="E38">
        <v>97</v>
      </c>
      <c r="F38" s="17">
        <f>'Human Details'!K15</f>
        <v>0.4</v>
      </c>
      <c r="G38">
        <f>'gpt-4.1-mini-Details'!K15</f>
        <v>0.66666666666666663</v>
      </c>
      <c r="H38" t="s">
        <v>195</v>
      </c>
      <c r="I38">
        <v>97</v>
      </c>
      <c r="J38" s="17">
        <f>'Human Details'!L15</f>
        <v>0.5</v>
      </c>
      <c r="K38">
        <f>'gpt-4.1-mini-Details'!L15</f>
        <v>0.80555555552870362</v>
      </c>
      <c r="M38">
        <v>97</v>
      </c>
      <c r="N38" s="17">
        <f>'Human Details'!M15</f>
        <v>0.25</v>
      </c>
      <c r="O38">
        <f>'gpt-4.1-mini-Details'!M15</f>
        <v>0.87738409874872403</v>
      </c>
      <c r="P38" t="s">
        <v>196</v>
      </c>
      <c r="Q38">
        <v>97</v>
      </c>
      <c r="R38" s="17">
        <f>'Human Details'!N15</f>
        <v>0.6</v>
      </c>
      <c r="S38">
        <f>'gpt-4.1-mini-Details'!N15</f>
        <v>0</v>
      </c>
      <c r="T38" t="s">
        <v>196</v>
      </c>
      <c r="U38">
        <v>97</v>
      </c>
      <c r="V38" s="17">
        <f>'Human Details'!O15</f>
        <v>0.75</v>
      </c>
      <c r="W38">
        <f>'gpt-4.1-mini-Details'!O15</f>
        <v>0</v>
      </c>
      <c r="X38" t="s">
        <v>196</v>
      </c>
    </row>
    <row r="39" spans="1:24" x14ac:dyDescent="0.25">
      <c r="A39">
        <v>110</v>
      </c>
      <c r="B39" s="17">
        <f>'Human Details'!J16</f>
        <v>0.25</v>
      </c>
      <c r="C39">
        <f>'gpt-4.1-mini-Details'!J16</f>
        <v>0.2857142857142857</v>
      </c>
      <c r="D39" t="s">
        <v>195</v>
      </c>
      <c r="E39">
        <v>110</v>
      </c>
      <c r="F39" s="17">
        <f>'Human Details'!K16</f>
        <v>0.3</v>
      </c>
      <c r="G39">
        <f>'gpt-4.1-mini-Details'!K16</f>
        <v>1</v>
      </c>
      <c r="H39" t="s">
        <v>196</v>
      </c>
      <c r="I39">
        <v>110</v>
      </c>
      <c r="J39" s="17">
        <f>'Human Details'!L16</f>
        <v>0.91666666666666663</v>
      </c>
      <c r="K39">
        <f>'gpt-4.1-mini-Details'!L16</f>
        <v>0.47777777776185187</v>
      </c>
      <c r="M39">
        <v>110</v>
      </c>
      <c r="N39" s="17">
        <f>'Human Details'!M16</f>
        <v>0.25</v>
      </c>
      <c r="O39">
        <f>'gpt-4.1-mini-Details'!M16</f>
        <v>0.85351900611722364</v>
      </c>
      <c r="P39" t="s">
        <v>196</v>
      </c>
      <c r="Q39">
        <v>110</v>
      </c>
      <c r="R39" s="17">
        <f>'Human Details'!N16</f>
        <v>0.26315789473684209</v>
      </c>
      <c r="S39">
        <f>'gpt-4.1-mini-Details'!N16</f>
        <v>0.66666666444444445</v>
      </c>
      <c r="U39">
        <v>110</v>
      </c>
      <c r="V39" s="17">
        <f>'Human Details'!O16</f>
        <v>0.25</v>
      </c>
      <c r="W39">
        <f>'gpt-4.1-mini-Details'!O16</f>
        <v>0</v>
      </c>
      <c r="X39" t="s">
        <v>195</v>
      </c>
    </row>
    <row r="41" spans="1:24" x14ac:dyDescent="0.25">
      <c r="B41" t="s">
        <v>197</v>
      </c>
      <c r="C41">
        <f>COUNTIFS(D25:D39,"Ja")</f>
        <v>10</v>
      </c>
      <c r="D41" s="13">
        <f>C41/15</f>
        <v>0.66666666666666663</v>
      </c>
      <c r="F41" t="s">
        <v>197</v>
      </c>
      <c r="G41">
        <f>COUNTIFS(H25:H39,"Ja")</f>
        <v>11</v>
      </c>
      <c r="H41" s="13">
        <f>G41/15</f>
        <v>0.73333333333333328</v>
      </c>
      <c r="J41" t="s">
        <v>197</v>
      </c>
      <c r="K41">
        <f>COUNTIFS(L25:L39,"Ja")</f>
        <v>9</v>
      </c>
      <c r="L41" s="13">
        <f>K41/15</f>
        <v>0.6</v>
      </c>
      <c r="N41" t="s">
        <v>197</v>
      </c>
      <c r="O41">
        <f>COUNTIFS(P25:P39,"Ja")</f>
        <v>7</v>
      </c>
      <c r="P41" s="14">
        <f>O41/15</f>
        <v>0.46666666666666667</v>
      </c>
      <c r="R41" t="s">
        <v>197</v>
      </c>
      <c r="S41">
        <f>COUNTIFS(T25:T39,"Ja")</f>
        <v>8</v>
      </c>
      <c r="T41" s="13">
        <f>S41/15</f>
        <v>0.53333333333333333</v>
      </c>
      <c r="V41" t="s">
        <v>197</v>
      </c>
      <c r="W41">
        <f>COUNTIFS(X25:X39,"Ja")</f>
        <v>8</v>
      </c>
      <c r="X41">
        <f>W41/15</f>
        <v>0.53333333333333333</v>
      </c>
    </row>
    <row r="42" spans="1:24" x14ac:dyDescent="0.25">
      <c r="B42" t="s">
        <v>198</v>
      </c>
      <c r="C42">
        <f>COUNTIFS(D25:D39,"Nein")</f>
        <v>2</v>
      </c>
      <c r="D42">
        <f t="shared" ref="D42:D43" si="3">C42/15</f>
        <v>0.13333333333333333</v>
      </c>
      <c r="F42" t="s">
        <v>198</v>
      </c>
      <c r="G42">
        <f>COUNTIFS(H25:H39,"Nein")</f>
        <v>3</v>
      </c>
      <c r="H42">
        <f t="shared" ref="H42:H43" si="4">G42/15</f>
        <v>0.2</v>
      </c>
      <c r="J42" t="s">
        <v>198</v>
      </c>
      <c r="K42">
        <f>COUNTIFS(L25:L39,"Nein")</f>
        <v>3</v>
      </c>
      <c r="L42">
        <f t="shared" ref="L42:L43" si="5">K42/15</f>
        <v>0.2</v>
      </c>
      <c r="N42" t="s">
        <v>198</v>
      </c>
      <c r="O42">
        <f>COUNTIFS(P25:P39,"Nein")</f>
        <v>6</v>
      </c>
      <c r="P42" s="14">
        <f t="shared" ref="P42:P43" si="6">O42/15</f>
        <v>0.4</v>
      </c>
      <c r="R42" t="s">
        <v>198</v>
      </c>
      <c r="S42">
        <f>COUNTIFS(T25:T39,"Nein")</f>
        <v>4</v>
      </c>
      <c r="T42">
        <f t="shared" ref="T42:T43" si="7">S42/15</f>
        <v>0.26666666666666666</v>
      </c>
      <c r="V42" t="s">
        <v>198</v>
      </c>
      <c r="W42">
        <f>COUNTIFS(X25:X39,"Nein")</f>
        <v>5</v>
      </c>
      <c r="X42">
        <f t="shared" ref="X42:X43" si="8">W42/15</f>
        <v>0.33333333333333331</v>
      </c>
    </row>
    <row r="43" spans="1:24" x14ac:dyDescent="0.25">
      <c r="B43" t="s">
        <v>199</v>
      </c>
      <c r="C43">
        <f>COUNTIFS(D25:D39,"")</f>
        <v>3</v>
      </c>
      <c r="D43">
        <f t="shared" si="3"/>
        <v>0.2</v>
      </c>
      <c r="F43" t="s">
        <v>199</v>
      </c>
      <c r="G43">
        <f>COUNTIFS(H25:H39,"")</f>
        <v>1</v>
      </c>
      <c r="H43">
        <f t="shared" si="4"/>
        <v>6.6666666666666666E-2</v>
      </c>
      <c r="J43" t="s">
        <v>199</v>
      </c>
      <c r="K43">
        <f>COUNTIFS(L25:L39,"")</f>
        <v>3</v>
      </c>
      <c r="L43">
        <f t="shared" si="5"/>
        <v>0.2</v>
      </c>
      <c r="N43" t="s">
        <v>199</v>
      </c>
      <c r="O43">
        <f>COUNTIFS(P25:P39,"")</f>
        <v>2</v>
      </c>
      <c r="P43">
        <f t="shared" si="6"/>
        <v>0.13333333333333333</v>
      </c>
      <c r="R43" t="s">
        <v>199</v>
      </c>
      <c r="S43">
        <f>COUNTIFS(T25:T39,"")</f>
        <v>3</v>
      </c>
      <c r="T43">
        <f t="shared" si="7"/>
        <v>0.2</v>
      </c>
      <c r="V43" t="s">
        <v>199</v>
      </c>
      <c r="W43">
        <f>COUNTIFS(X25:X39,"")</f>
        <v>2</v>
      </c>
      <c r="X43">
        <f t="shared" si="8"/>
        <v>0.13333333333333333</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D19C-6134-4C1A-A2CC-35047FD83D34}">
  <dimension ref="A1:G20"/>
  <sheetViews>
    <sheetView workbookViewId="0">
      <selection sqref="A1:G20"/>
    </sheetView>
  </sheetViews>
  <sheetFormatPr baseColWidth="10" defaultRowHeight="15" x14ac:dyDescent="0.25"/>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Details'!J2-'gpt-5.2-Details'!J2)</f>
        <v>0.48148148148148151</v>
      </c>
      <c r="C3">
        <f>ABS('Human Details'!K2-'gpt-5.2-Details'!K2)</f>
        <v>1</v>
      </c>
      <c r="D3">
        <f>ABS('Human Details'!L2-'gpt-5.2-Details'!L2)</f>
        <v>0.35500000001625004</v>
      </c>
      <c r="E3">
        <f>ABS('Human Details'!M2-'gpt-5.2-Details'!M2)</f>
        <v>5.8254653749573948E-2</v>
      </c>
      <c r="F3">
        <f>ABS('Human Details'!N2-'gpt-5.2-Details'!N2)</f>
        <v>0.5454545354545457</v>
      </c>
      <c r="G3">
        <f>ABS('Human Details'!O2-'gpt-5.2-Details'!O2)</f>
        <v>0.15294693983317087</v>
      </c>
    </row>
    <row r="4" spans="1:7" x14ac:dyDescent="0.25">
      <c r="A4">
        <v>8</v>
      </c>
      <c r="B4">
        <f>ABS('Human Details'!J3-'gpt-5.2-Details'!J3)</f>
        <v>0.11538461538461542</v>
      </c>
      <c r="C4">
        <f>ABS('Human Details'!K3-'gpt-5.2-Details'!K3)</f>
        <v>0</v>
      </c>
      <c r="D4">
        <f>ABS('Human Details'!L3-'gpt-5.2-Details'!L3)</f>
        <v>1</v>
      </c>
      <c r="E4">
        <f>ABS('Human Details'!M3-'gpt-5.2-Details'!M3)</f>
        <v>0.71366373138551342</v>
      </c>
      <c r="F4">
        <f>ABS('Human Details'!N3-'gpt-5.2-Details'!N3)</f>
        <v>0</v>
      </c>
      <c r="G4">
        <f>ABS('Human Details'!O3-'gpt-5.2-Details'!O3)</f>
        <v>0.98983701136776203</v>
      </c>
    </row>
    <row r="5" spans="1:7" x14ac:dyDescent="0.25">
      <c r="A5">
        <v>11</v>
      </c>
      <c r="B5">
        <f>ABS('Human Details'!J4-'gpt-5.2-Details'!J4)</f>
        <v>0.25</v>
      </c>
      <c r="C5">
        <f>ABS('Human Details'!K4-'gpt-5.2-Details'!K4)</f>
        <v>0</v>
      </c>
      <c r="D5">
        <f>ABS('Human Details'!L4-'gpt-5.2-Details'!L4)</f>
        <v>5.000000413701855E-11</v>
      </c>
      <c r="E5">
        <f>ABS('Human Details'!M4-'gpt-5.2-Details'!M4)</f>
        <v>0.21741346021913099</v>
      </c>
      <c r="F5">
        <f>ABS('Human Details'!N4-'gpt-5.2-Details'!N4)</f>
        <v>0.45454545388429746</v>
      </c>
      <c r="G5">
        <f>ABS('Human Details'!O4-'gpt-5.2-Details'!O4)</f>
        <v>0.5</v>
      </c>
    </row>
    <row r="6" spans="1:7" x14ac:dyDescent="0.25">
      <c r="A6">
        <v>17</v>
      </c>
      <c r="B6">
        <f>ABS('Human Details'!J5-'gpt-5.2-Details'!J5)</f>
        <v>0.48484848484848486</v>
      </c>
      <c r="C6">
        <f>ABS('Human Details'!K5-'gpt-5.2-Details'!K5)</f>
        <v>0.33333333333333331</v>
      </c>
      <c r="D6">
        <f>ABS('Human Details'!L5-'gpt-5.2-Details'!L5)</f>
        <v>0.32500000000000001</v>
      </c>
      <c r="E6">
        <f>ABS('Human Details'!M5-'gpt-5.2-Details'!M5)</f>
        <v>0.26307917657424806</v>
      </c>
      <c r="F6">
        <f>ABS('Human Details'!N5-'gpt-5.2-Details'!N5)</f>
        <v>6.6666666266666674E-2</v>
      </c>
      <c r="G6">
        <f>ABS('Human Details'!O5-'gpt-5.2-Details'!O5)</f>
        <v>0.5</v>
      </c>
    </row>
    <row r="7" spans="1:7" x14ac:dyDescent="0.25">
      <c r="A7">
        <v>20</v>
      </c>
      <c r="B7">
        <f>ABS('Human Details'!J6-'gpt-5.2-Details'!J6)</f>
        <v>0.23333333333333339</v>
      </c>
      <c r="C7">
        <f>ABS('Human Details'!K6-'gpt-5.2-Details'!K6)</f>
        <v>0.75</v>
      </c>
      <c r="D7">
        <f>ABS('Human Details'!L6-'gpt-5.2-Details'!L6)</f>
        <v>1.000000082740371E-10</v>
      </c>
      <c r="E7">
        <f>ABS('Human Details'!M6-'gpt-5.2-Details'!M6)</f>
        <v>4.7320967923253465E-2</v>
      </c>
      <c r="F7">
        <f>ABS('Human Details'!N6-'gpt-5.2-Details'!N6)</f>
        <v>0.1388888890123457</v>
      </c>
      <c r="G7">
        <f>ABS('Human Details'!O6-'gpt-5.2-Details'!O6)</f>
        <v>2.0846897200288428E-4</v>
      </c>
    </row>
    <row r="8" spans="1:7" x14ac:dyDescent="0.25">
      <c r="A8">
        <v>30</v>
      </c>
      <c r="B8">
        <f>ABS('Human Details'!J7-'gpt-5.2-Details'!J7)</f>
        <v>0.36666666666666664</v>
      </c>
      <c r="C8">
        <f>ABS('Human Details'!K7-'gpt-5.2-Details'!K7)</f>
        <v>0</v>
      </c>
      <c r="D8">
        <f>ABS('Human Details'!L7-'gpt-5.2-Details'!L7)</f>
        <v>0.75</v>
      </c>
      <c r="E8">
        <f>ABS('Human Details'!M7-'gpt-5.2-Details'!M7)</f>
        <v>0.61740094111044419</v>
      </c>
      <c r="F8">
        <f>ABS('Human Details'!N7-'gpt-5.2-Details'!N7)</f>
        <v>0</v>
      </c>
      <c r="G8">
        <f>ABS('Human Details'!O7-'gpt-5.2-Details'!O7)</f>
        <v>0.71865010466522383</v>
      </c>
    </row>
    <row r="9" spans="1:7" x14ac:dyDescent="0.25">
      <c r="A9">
        <v>33</v>
      </c>
      <c r="B9">
        <f>ABS('Human Details'!J8-'gpt-5.2-Details'!J8)</f>
        <v>0</v>
      </c>
      <c r="C9">
        <f>ABS('Human Details'!K8-'gpt-5.2-Details'!K8)</f>
        <v>0</v>
      </c>
      <c r="D9">
        <f>ABS('Human Details'!L8-'gpt-5.2-Details'!L8)</f>
        <v>3.3333333622221906E-3</v>
      </c>
      <c r="E9">
        <f>ABS('Human Details'!M8-'gpt-5.2-Details'!M8)</f>
        <v>0.13175794034474853</v>
      </c>
      <c r="F9">
        <f>ABS('Human Details'!N8-'gpt-5.2-Details'!N8)</f>
        <v>0.50000000249999998</v>
      </c>
      <c r="G9">
        <f>ABS('Human Details'!O8-'gpt-5.2-Details'!O8)</f>
        <v>0.20418259378277803</v>
      </c>
    </row>
    <row r="10" spans="1:7" x14ac:dyDescent="0.25">
      <c r="A10" s="13">
        <v>34</v>
      </c>
      <c r="B10">
        <f>ABS('Human Details'!J9-'gpt-5.2-Details'!J9)</f>
        <v>0</v>
      </c>
      <c r="C10">
        <f>ABS('Human Details'!K9-'gpt-5.2-Details'!K9)</f>
        <v>0</v>
      </c>
      <c r="D10">
        <f>ABS('Human Details'!L9-'gpt-5.2-Details'!L9)</f>
        <v>0</v>
      </c>
      <c r="E10">
        <f>ABS('Human Details'!M9-'gpt-5.2-Details'!M9)</f>
        <v>0.24801993950570767</v>
      </c>
      <c r="F10">
        <f>ABS('Human Details'!N9-'gpt-5.2-Details'!N9)</f>
        <v>0</v>
      </c>
      <c r="G10">
        <f>ABS('Human Details'!O9-'gpt-5.2-Details'!O9)</f>
        <v>9.4443725658249766E-3</v>
      </c>
    </row>
    <row r="11" spans="1:7" x14ac:dyDescent="0.25">
      <c r="A11">
        <v>64</v>
      </c>
      <c r="B11">
        <f>ABS('Human Details'!J10-'gpt-5.2-Details'!J10)</f>
        <v>0.2608695652173913</v>
      </c>
      <c r="C11">
        <f>ABS('Human Details'!K10-'gpt-5.2-Details'!K10)</f>
        <v>0</v>
      </c>
      <c r="D11">
        <f>ABS('Human Details'!L10-'gpt-5.2-Details'!L10)</f>
        <v>0</v>
      </c>
      <c r="E11">
        <f>ABS('Human Details'!M10-'gpt-5.2-Details'!M10)</f>
        <v>0.80823798188452467</v>
      </c>
      <c r="F11">
        <f>ABS('Human Details'!N10-'gpt-5.2-Details'!N10)</f>
        <v>0</v>
      </c>
      <c r="G11">
        <f>ABS('Human Details'!O10-'gpt-5.2-Details'!O10)</f>
        <v>0</v>
      </c>
    </row>
    <row r="12" spans="1:7" x14ac:dyDescent="0.25">
      <c r="A12">
        <v>65</v>
      </c>
      <c r="B12">
        <f>ABS('Human Details'!J11-'gpt-5.2-Details'!J11)</f>
        <v>0.33333333333333331</v>
      </c>
      <c r="C12">
        <f>ABS('Human Details'!K11-'gpt-5.2-Details'!K11)</f>
        <v>0.4375</v>
      </c>
      <c r="D12">
        <f>ABS('Human Details'!L11-'gpt-5.2-Details'!L11)</f>
        <v>1.000000082740371E-10</v>
      </c>
      <c r="E12">
        <f>ABS('Human Details'!M11-'gpt-5.2-Details'!M11)</f>
        <v>0.35041125424598185</v>
      </c>
      <c r="F12">
        <f>ABS('Human Details'!N11-'gpt-5.2-Details'!N11)</f>
        <v>0.76666666674444439</v>
      </c>
      <c r="G12">
        <f>ABS('Human Details'!O11-'gpt-5.2-Details'!O11)</f>
        <v>0.23107735433412646</v>
      </c>
    </row>
    <row r="13" spans="1:7" x14ac:dyDescent="0.25">
      <c r="A13">
        <v>84</v>
      </c>
      <c r="B13">
        <f>ABS('Human Details'!J12-'gpt-5.2-Details'!J12)</f>
        <v>5.0420168067226823E-2</v>
      </c>
      <c r="C13">
        <f>ABS('Human Details'!K12-'gpt-5.2-Details'!K12)</f>
        <v>0.4</v>
      </c>
      <c r="D13">
        <f>ABS('Human Details'!L12-'gpt-5.2-Details'!L12)</f>
        <v>1.000000082740371E-10</v>
      </c>
      <c r="E13">
        <f>ABS('Human Details'!M12-'gpt-5.2-Details'!M12)</f>
        <v>0.22480963765983408</v>
      </c>
      <c r="F13">
        <f>ABS('Human Details'!N12-'gpt-5.2-Details'!N12)</f>
        <v>0.11428571428571428</v>
      </c>
      <c r="G13">
        <f>ABS('Human Details'!O12-'gpt-5.2-Details'!O12)</f>
        <v>2.9958942568908853E-2</v>
      </c>
    </row>
    <row r="14" spans="1:7" x14ac:dyDescent="0.25">
      <c r="A14">
        <v>89</v>
      </c>
      <c r="B14">
        <f>ABS('Human Details'!J13-'gpt-5.2-Details'!J13)</f>
        <v>0</v>
      </c>
      <c r="C14">
        <f>ABS('Human Details'!K13-'gpt-5.2-Details'!K13)</f>
        <v>0</v>
      </c>
      <c r="D14">
        <f>ABS('Human Details'!L13-'gpt-5.2-Details'!L13)</f>
        <v>0</v>
      </c>
      <c r="E14">
        <f>ABS('Human Details'!M13-'gpt-5.2-Details'!M13)</f>
        <v>0.57422403734337246</v>
      </c>
      <c r="F14">
        <f>ABS('Human Details'!N13-'gpt-5.2-Details'!N13)</f>
        <v>0</v>
      </c>
      <c r="G14">
        <f>ABS('Human Details'!O13-'gpt-5.2-Details'!O13)</f>
        <v>0.2</v>
      </c>
    </row>
    <row r="15" spans="1:7" x14ac:dyDescent="0.25">
      <c r="A15">
        <v>91</v>
      </c>
      <c r="B15">
        <f>ABS('Human Details'!J14-'gpt-5.2-Details'!J14)</f>
        <v>0.10096153846153844</v>
      </c>
      <c r="C15">
        <f>ABS('Human Details'!K14-'gpt-5.2-Details'!K14)</f>
        <v>2.8571428571428525E-2</v>
      </c>
      <c r="D15">
        <f>ABS('Human Details'!L14-'gpt-5.2-Details'!L14)</f>
        <v>5.000000413701855E-11</v>
      </c>
      <c r="E15">
        <f>ABS('Human Details'!M14-'gpt-5.2-Details'!M14)</f>
        <v>0.33352148197934484</v>
      </c>
      <c r="F15">
        <f>ABS('Human Details'!N14-'gpt-5.2-Details'!N14)</f>
        <v>0.46336996346066639</v>
      </c>
      <c r="G15">
        <f>ABS('Human Details'!O14-'gpt-5.2-Details'!O14)</f>
        <v>9.3299597772481868E-2</v>
      </c>
    </row>
    <row r="16" spans="1:7" x14ac:dyDescent="0.25">
      <c r="A16">
        <v>97</v>
      </c>
      <c r="B16">
        <f>ABS('Human Details'!J15-'gpt-5.2-Details'!J15)</f>
        <v>0.16923076923076921</v>
      </c>
      <c r="C16">
        <f>ABS('Human Details'!K15-'gpt-5.2-Details'!K15)</f>
        <v>0.15000000000000002</v>
      </c>
      <c r="D16">
        <f>ABS('Human Details'!L15-'gpt-5.2-Details'!L15)</f>
        <v>0.1791666666496875</v>
      </c>
      <c r="E16">
        <f>ABS('Human Details'!M15-'gpt-5.2-Details'!M15)</f>
        <v>0.58696191881469706</v>
      </c>
      <c r="F16">
        <f>ABS('Human Details'!N15-'gpt-5.2-Details'!N15)</f>
        <v>0.43333333361111104</v>
      </c>
      <c r="G16">
        <f>ABS('Human Details'!O15-'gpt-5.2-Details'!O15)</f>
        <v>8.0487603134482444E-2</v>
      </c>
    </row>
    <row r="17" spans="1:7" x14ac:dyDescent="0.25">
      <c r="A17">
        <v>110</v>
      </c>
      <c r="B17">
        <f>ABS('Human Details'!J16-'gpt-5.2-Details'!J16)</f>
        <v>4.9999999999999989E-2</v>
      </c>
      <c r="C17">
        <f>ABS('Human Details'!K16-'gpt-5.2-Details'!K16)</f>
        <v>0.3</v>
      </c>
      <c r="D17">
        <f>ABS('Human Details'!L16-'gpt-5.2-Details'!L16)</f>
        <v>0.41666666671666663</v>
      </c>
      <c r="E17">
        <f>ABS('Human Details'!M16-'gpt-5.2-Details'!M16)</f>
        <v>0.51220810325268817</v>
      </c>
      <c r="F17">
        <f>ABS('Human Details'!N16-'gpt-5.2-Details'!N16)</f>
        <v>0.16315789478684209</v>
      </c>
      <c r="G17">
        <f>ABS('Human Details'!O16-'gpt-5.2-Details'!O16)</f>
        <v>0.74999999999999967</v>
      </c>
    </row>
    <row r="19" spans="1:7" x14ac:dyDescent="0.25">
      <c r="B19" t="s">
        <v>9</v>
      </c>
      <c r="C19" t="s">
        <v>10</v>
      </c>
      <c r="D19" t="s">
        <v>11</v>
      </c>
      <c r="E19" t="s">
        <v>12</v>
      </c>
      <c r="F19" t="s">
        <v>13</v>
      </c>
      <c r="G19" t="s">
        <v>14</v>
      </c>
    </row>
    <row r="20" spans="1:7" x14ac:dyDescent="0.25">
      <c r="A20" t="s">
        <v>168</v>
      </c>
      <c r="B20" s="11">
        <f>AVERAGE(B3:B17)</f>
        <v>0.19310199706832268</v>
      </c>
      <c r="C20" s="11">
        <f t="shared" ref="C20:G20" si="0">AVERAGE(C3:C17)</f>
        <v>0.22662698412698407</v>
      </c>
      <c r="D20" s="11">
        <f t="shared" si="0"/>
        <v>0.20194444447632173</v>
      </c>
      <c r="E20" s="11">
        <f t="shared" si="0"/>
        <v>0.37915234839953754</v>
      </c>
      <c r="F20" s="11">
        <f t="shared" si="0"/>
        <v>0.24309127466710889</v>
      </c>
      <c r="G20" s="11">
        <f t="shared" si="0"/>
        <v>0.29733953259978413</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DF19-0ECB-4C14-8078-9039741F0363}">
  <dimension ref="A1:Z16"/>
  <sheetViews>
    <sheetView topLeftCell="E1" workbookViewId="0">
      <pane ySplit="1" topLeftCell="A2" activePane="bottomLeft" state="frozen"/>
      <selection activeCell="J16" sqref="J16"/>
      <selection pane="bottomLeft" activeCell="J2" sqref="J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9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133</v>
      </c>
      <c r="V1" s="1" t="s">
        <v>135</v>
      </c>
      <c r="W1" s="1" t="s">
        <v>136</v>
      </c>
      <c r="X1" s="1" t="s">
        <v>139</v>
      </c>
      <c r="Y1" s="1" t="s">
        <v>140</v>
      </c>
      <c r="Z1" s="1" t="s">
        <v>151</v>
      </c>
    </row>
    <row r="2" spans="1:26" ht="409.5" x14ac:dyDescent="0.25">
      <c r="A2">
        <v>1</v>
      </c>
      <c r="B2" t="s">
        <v>20</v>
      </c>
      <c r="C2" t="s">
        <v>21</v>
      </c>
      <c r="D2" s="2" t="s">
        <v>22</v>
      </c>
      <c r="E2" s="2" t="s">
        <v>23</v>
      </c>
      <c r="F2" s="2" t="s">
        <v>24</v>
      </c>
      <c r="G2" s="2" t="s">
        <v>25</v>
      </c>
      <c r="H2" t="s">
        <v>26</v>
      </c>
      <c r="I2" t="s">
        <v>27</v>
      </c>
      <c r="J2" s="7">
        <v>1</v>
      </c>
      <c r="K2">
        <v>1</v>
      </c>
      <c r="L2">
        <v>0.68</v>
      </c>
      <c r="M2">
        <v>0.75</v>
      </c>
      <c r="N2">
        <f>IFERROR(X2/(X2+Y2), 0)</f>
        <v>0.45454545454545453</v>
      </c>
      <c r="O2">
        <v>1</v>
      </c>
      <c r="P2">
        <v>0</v>
      </c>
      <c r="Q2">
        <v>0</v>
      </c>
      <c r="R2">
        <v>45.547114849090583</v>
      </c>
      <c r="S2">
        <v>5</v>
      </c>
      <c r="T2">
        <v>45.547114849090583</v>
      </c>
      <c r="U2" t="s">
        <v>134</v>
      </c>
      <c r="V2" t="s">
        <v>137</v>
      </c>
      <c r="W2" t="s">
        <v>138</v>
      </c>
      <c r="X2">
        <v>5</v>
      </c>
      <c r="Y2">
        <v>6</v>
      </c>
      <c r="Z2" t="s">
        <v>152</v>
      </c>
    </row>
    <row r="3" spans="1:26" ht="409.5" x14ac:dyDescent="0.25">
      <c r="A3">
        <v>8</v>
      </c>
      <c r="B3" t="s">
        <v>20</v>
      </c>
      <c r="C3" t="s">
        <v>32</v>
      </c>
      <c r="D3" s="2" t="s">
        <v>33</v>
      </c>
      <c r="E3" s="2" t="s">
        <v>34</v>
      </c>
      <c r="F3" s="2" t="s">
        <v>35</v>
      </c>
      <c r="G3" s="2" t="s">
        <v>36</v>
      </c>
      <c r="H3" t="s">
        <v>37</v>
      </c>
      <c r="I3" t="s">
        <v>29</v>
      </c>
      <c r="J3" s="7">
        <v>0.5</v>
      </c>
      <c r="K3">
        <v>0</v>
      </c>
      <c r="L3">
        <v>1</v>
      </c>
      <c r="M3">
        <v>0</v>
      </c>
      <c r="N3">
        <f t="shared" ref="N3:N16" si="0">IFERROR(X3/(X3+Y3), 0)</f>
        <v>0</v>
      </c>
      <c r="O3">
        <v>0</v>
      </c>
      <c r="P3">
        <v>0</v>
      </c>
      <c r="Q3">
        <v>0</v>
      </c>
      <c r="R3">
        <v>10.010499954223629</v>
      </c>
      <c r="S3">
        <v>5</v>
      </c>
      <c r="T3">
        <v>10.010499954223629</v>
      </c>
      <c r="Z3" t="s">
        <v>153</v>
      </c>
    </row>
    <row r="4" spans="1:26" ht="409.5" x14ac:dyDescent="0.25">
      <c r="A4">
        <v>11</v>
      </c>
      <c r="B4" t="s">
        <v>38</v>
      </c>
      <c r="C4" t="s">
        <v>21</v>
      </c>
      <c r="D4" s="2" t="s">
        <v>39</v>
      </c>
      <c r="E4" s="2" t="s">
        <v>40</v>
      </c>
      <c r="F4" s="2" t="s">
        <v>41</v>
      </c>
      <c r="G4" s="2" t="s">
        <v>42</v>
      </c>
      <c r="H4" t="s">
        <v>43</v>
      </c>
      <c r="I4" t="s">
        <v>44</v>
      </c>
      <c r="J4" s="7">
        <f>0.5</f>
        <v>0.5</v>
      </c>
      <c r="K4">
        <v>1</v>
      </c>
      <c r="L4">
        <v>1</v>
      </c>
      <c r="M4">
        <v>0.5</v>
      </c>
      <c r="N4">
        <f t="shared" si="0"/>
        <v>0.27272727272727271</v>
      </c>
      <c r="O4">
        <v>0.5</v>
      </c>
      <c r="P4">
        <v>0.5</v>
      </c>
      <c r="Q4">
        <v>1</v>
      </c>
      <c r="R4">
        <v>9.4738509654998779</v>
      </c>
      <c r="S4">
        <v>5</v>
      </c>
      <c r="T4">
        <v>9.4738509654998779</v>
      </c>
      <c r="U4" s="10" t="s">
        <v>159</v>
      </c>
      <c r="V4" s="10" t="s">
        <v>160</v>
      </c>
      <c r="X4">
        <v>3</v>
      </c>
      <c r="Y4">
        <v>8</v>
      </c>
    </row>
    <row r="5" spans="1:26" ht="409.5" x14ac:dyDescent="0.25">
      <c r="A5">
        <v>17</v>
      </c>
      <c r="B5" t="s">
        <v>46</v>
      </c>
      <c r="C5" t="s">
        <v>28</v>
      </c>
      <c r="D5" s="2" t="s">
        <v>47</v>
      </c>
      <c r="E5" s="2" t="s">
        <v>48</v>
      </c>
      <c r="F5" s="2" t="s">
        <v>49</v>
      </c>
      <c r="G5" s="2" t="s">
        <v>50</v>
      </c>
      <c r="H5" t="s">
        <v>51</v>
      </c>
      <c r="I5" t="s">
        <v>30</v>
      </c>
      <c r="J5" s="7">
        <f>2/3</f>
        <v>0.66666666666666663</v>
      </c>
      <c r="K5">
        <f>3/9</f>
        <v>0.33333333333333331</v>
      </c>
      <c r="L5">
        <v>0.32500000000000001</v>
      </c>
      <c r="M5">
        <v>0.5</v>
      </c>
      <c r="N5">
        <f t="shared" si="0"/>
        <v>0.33333333333333331</v>
      </c>
      <c r="O5">
        <v>0.5</v>
      </c>
      <c r="P5">
        <v>0.5</v>
      </c>
      <c r="Q5">
        <v>1</v>
      </c>
      <c r="R5">
        <v>7.7230634689331046</v>
      </c>
      <c r="S5">
        <v>5</v>
      </c>
      <c r="T5">
        <v>7.7230634689331046</v>
      </c>
      <c r="U5" t="s">
        <v>164</v>
      </c>
      <c r="V5" t="s">
        <v>162</v>
      </c>
      <c r="W5" t="s">
        <v>163</v>
      </c>
      <c r="X5">
        <v>3</v>
      </c>
      <c r="Y5">
        <v>6</v>
      </c>
      <c r="Z5" t="s">
        <v>161</v>
      </c>
    </row>
    <row r="6" spans="1:26" ht="409.5" x14ac:dyDescent="0.25">
      <c r="A6">
        <v>20</v>
      </c>
      <c r="B6" t="s">
        <v>46</v>
      </c>
      <c r="C6" t="s">
        <v>32</v>
      </c>
      <c r="D6" s="2" t="s">
        <v>54</v>
      </c>
      <c r="E6" s="2" t="s">
        <v>55</v>
      </c>
      <c r="F6" s="2" t="s">
        <v>56</v>
      </c>
      <c r="G6" s="2" t="s">
        <v>57</v>
      </c>
      <c r="H6" t="s">
        <v>58</v>
      </c>
      <c r="I6" t="s">
        <v>30</v>
      </c>
      <c r="J6" s="7">
        <v>0.9</v>
      </c>
      <c r="K6">
        <v>0.75</v>
      </c>
      <c r="L6">
        <v>1</v>
      </c>
      <c r="M6">
        <v>0.5</v>
      </c>
      <c r="N6">
        <v>0.25</v>
      </c>
      <c r="O6">
        <v>0.8</v>
      </c>
      <c r="P6">
        <v>1</v>
      </c>
      <c r="Q6">
        <v>1</v>
      </c>
      <c r="R6">
        <v>8.7654869556427002</v>
      </c>
      <c r="S6">
        <v>5</v>
      </c>
      <c r="T6">
        <v>8.7654869556427002</v>
      </c>
      <c r="Z6" s="12" t="s">
        <v>165</v>
      </c>
    </row>
    <row r="7" spans="1:26" ht="409.5" x14ac:dyDescent="0.25">
      <c r="A7">
        <v>30</v>
      </c>
      <c r="B7" t="s">
        <v>59</v>
      </c>
      <c r="C7" t="s">
        <v>28</v>
      </c>
      <c r="D7" s="2" t="s">
        <v>60</v>
      </c>
      <c r="E7" s="2" t="s">
        <v>61</v>
      </c>
      <c r="F7" s="2" t="s">
        <v>62</v>
      </c>
      <c r="G7" s="2" t="s">
        <v>63</v>
      </c>
      <c r="H7" t="s">
        <v>64</v>
      </c>
      <c r="I7" t="s">
        <v>45</v>
      </c>
      <c r="J7" s="7">
        <f>2/6</f>
        <v>0.33333333333333331</v>
      </c>
      <c r="K7">
        <v>0</v>
      </c>
      <c r="L7">
        <v>0.75</v>
      </c>
      <c r="M7">
        <v>0.25</v>
      </c>
      <c r="N7">
        <f t="shared" si="0"/>
        <v>0</v>
      </c>
      <c r="O7">
        <v>0.25</v>
      </c>
      <c r="P7">
        <v>0</v>
      </c>
      <c r="Q7">
        <v>0</v>
      </c>
      <c r="R7">
        <v>9.9265642166137695</v>
      </c>
      <c r="S7">
        <v>5</v>
      </c>
      <c r="T7">
        <v>9.9265642166137695</v>
      </c>
      <c r="Z7" t="s">
        <v>166</v>
      </c>
    </row>
    <row r="8" spans="1:26" ht="409.5" x14ac:dyDescent="0.25">
      <c r="A8">
        <v>33</v>
      </c>
      <c r="B8" t="s">
        <v>65</v>
      </c>
      <c r="C8" t="s">
        <v>28</v>
      </c>
      <c r="D8" s="2" t="s">
        <v>66</v>
      </c>
      <c r="E8" s="2" t="s">
        <v>67</v>
      </c>
      <c r="F8" s="2" t="s">
        <v>68</v>
      </c>
      <c r="G8" s="2" t="s">
        <v>69</v>
      </c>
      <c r="H8" t="s">
        <v>70</v>
      </c>
      <c r="I8" t="s">
        <v>30</v>
      </c>
      <c r="J8" s="7">
        <v>0.5</v>
      </c>
      <c r="K8">
        <v>1</v>
      </c>
      <c r="L8">
        <v>0.87</v>
      </c>
      <c r="M8">
        <v>0.75</v>
      </c>
      <c r="N8">
        <v>1</v>
      </c>
      <c r="O8">
        <v>0.75</v>
      </c>
      <c r="P8">
        <v>0.2</v>
      </c>
      <c r="Q8">
        <v>1</v>
      </c>
      <c r="R8">
        <v>8.1560134887695313</v>
      </c>
      <c r="S8">
        <v>5</v>
      </c>
      <c r="T8">
        <v>8.1560134887695313</v>
      </c>
    </row>
    <row r="9" spans="1:26" ht="409.5" x14ac:dyDescent="0.25">
      <c r="A9">
        <v>34</v>
      </c>
      <c r="B9" t="s">
        <v>65</v>
      </c>
      <c r="C9" t="s">
        <v>21</v>
      </c>
      <c r="D9" s="2" t="s">
        <v>71</v>
      </c>
      <c r="E9" s="2" t="s">
        <v>72</v>
      </c>
      <c r="F9" s="2" t="s">
        <v>73</v>
      </c>
      <c r="G9" s="2" t="s">
        <v>74</v>
      </c>
      <c r="H9" t="s">
        <v>75</v>
      </c>
      <c r="I9" t="s">
        <v>27</v>
      </c>
      <c r="J9" s="7">
        <v>0</v>
      </c>
      <c r="K9">
        <v>0</v>
      </c>
      <c r="L9">
        <v>0</v>
      </c>
      <c r="M9">
        <v>0.5</v>
      </c>
      <c r="N9">
        <v>0</v>
      </c>
      <c r="O9">
        <v>1</v>
      </c>
      <c r="P9">
        <v>0.33333333333333331</v>
      </c>
      <c r="Q9">
        <v>1</v>
      </c>
      <c r="R9">
        <v>11.905722618103029</v>
      </c>
      <c r="S9">
        <v>5</v>
      </c>
      <c r="T9">
        <v>11.905722618103029</v>
      </c>
    </row>
    <row r="10" spans="1:26" ht="409.5" x14ac:dyDescent="0.25">
      <c r="A10">
        <v>64</v>
      </c>
      <c r="B10" t="s">
        <v>77</v>
      </c>
      <c r="C10" t="s">
        <v>21</v>
      </c>
      <c r="D10" s="2" t="s">
        <v>78</v>
      </c>
      <c r="E10" s="2" t="s">
        <v>79</v>
      </c>
      <c r="F10" s="2" t="s">
        <v>80</v>
      </c>
      <c r="G10" s="2" t="s">
        <v>81</v>
      </c>
      <c r="H10" t="s">
        <v>82</v>
      </c>
      <c r="I10" t="s">
        <v>44</v>
      </c>
      <c r="J10" s="7">
        <v>0</v>
      </c>
      <c r="K10">
        <v>0</v>
      </c>
      <c r="L10">
        <v>0</v>
      </c>
      <c r="M10">
        <v>0</v>
      </c>
      <c r="N10">
        <f t="shared" si="0"/>
        <v>0</v>
      </c>
      <c r="O10">
        <v>0</v>
      </c>
      <c r="P10">
        <v>0</v>
      </c>
      <c r="Q10">
        <v>0</v>
      </c>
      <c r="R10">
        <v>19.49518513679504</v>
      </c>
      <c r="S10">
        <v>5</v>
      </c>
      <c r="T10">
        <v>19.49518513679504</v>
      </c>
    </row>
    <row r="11" spans="1:26" ht="409.5" x14ac:dyDescent="0.25">
      <c r="A11">
        <v>65</v>
      </c>
      <c r="B11" t="s">
        <v>77</v>
      </c>
      <c r="C11" t="s">
        <v>32</v>
      </c>
      <c r="D11" s="2" t="s">
        <v>83</v>
      </c>
      <c r="E11" s="2" t="s">
        <v>84</v>
      </c>
      <c r="F11" s="2" t="s">
        <v>85</v>
      </c>
      <c r="G11" s="2" t="s">
        <v>86</v>
      </c>
      <c r="H11" t="s">
        <v>87</v>
      </c>
      <c r="I11" t="s">
        <v>88</v>
      </c>
      <c r="J11" s="7">
        <f>4/6</f>
        <v>0.66666666666666663</v>
      </c>
      <c r="K11">
        <v>1</v>
      </c>
      <c r="L11">
        <v>1</v>
      </c>
      <c r="M11">
        <v>0.5</v>
      </c>
      <c r="N11">
        <v>1</v>
      </c>
      <c r="O11">
        <v>1</v>
      </c>
      <c r="P11">
        <v>1</v>
      </c>
      <c r="Q11">
        <v>1</v>
      </c>
      <c r="R11">
        <v>10.89683628082275</v>
      </c>
      <c r="S11">
        <v>5</v>
      </c>
      <c r="T11">
        <v>10.89683628082275</v>
      </c>
    </row>
    <row r="12" spans="1:26" ht="409.5" x14ac:dyDescent="0.25">
      <c r="A12">
        <v>84</v>
      </c>
      <c r="B12" t="s">
        <v>65</v>
      </c>
      <c r="C12" t="s">
        <v>21</v>
      </c>
      <c r="D12" s="2" t="s">
        <v>89</v>
      </c>
      <c r="E12" s="2" t="s">
        <v>90</v>
      </c>
      <c r="F12" s="2" t="s">
        <v>91</v>
      </c>
      <c r="G12" s="2" t="s">
        <v>92</v>
      </c>
      <c r="H12" t="s">
        <v>93</v>
      </c>
      <c r="I12" t="s">
        <v>30</v>
      </c>
      <c r="J12" s="7">
        <f>5/7</f>
        <v>0.7142857142857143</v>
      </c>
      <c r="K12">
        <f>2/5</f>
        <v>0.4</v>
      </c>
      <c r="L12">
        <v>1</v>
      </c>
      <c r="M12">
        <v>0.5</v>
      </c>
      <c r="N12">
        <f>IFERROR(X12/(X12+Y12), 0)</f>
        <v>0.11428571428571428</v>
      </c>
      <c r="O12">
        <v>1</v>
      </c>
      <c r="P12" s="11">
        <v>0</v>
      </c>
      <c r="Q12" s="11">
        <v>0</v>
      </c>
      <c r="R12">
        <v>11.943759441375731</v>
      </c>
      <c r="S12">
        <v>5</v>
      </c>
      <c r="T12">
        <v>11.943759441375731</v>
      </c>
      <c r="X12">
        <v>4</v>
      </c>
      <c r="Y12">
        <v>31</v>
      </c>
      <c r="Z12" t="s">
        <v>167</v>
      </c>
    </row>
    <row r="13" spans="1:26" ht="409.5" x14ac:dyDescent="0.25">
      <c r="A13">
        <v>89</v>
      </c>
      <c r="B13" t="s">
        <v>94</v>
      </c>
      <c r="C13" t="s">
        <v>28</v>
      </c>
      <c r="D13" s="2" t="s">
        <v>95</v>
      </c>
      <c r="E13" s="2" t="s">
        <v>96</v>
      </c>
      <c r="F13" s="2" t="s">
        <v>97</v>
      </c>
      <c r="G13" s="2" t="s">
        <v>98</v>
      </c>
      <c r="H13" t="s">
        <v>99</v>
      </c>
      <c r="I13" t="s">
        <v>31</v>
      </c>
      <c r="J13" s="7">
        <v>0</v>
      </c>
      <c r="K13">
        <v>0</v>
      </c>
      <c r="L13">
        <v>0</v>
      </c>
      <c r="M13">
        <v>0</v>
      </c>
      <c r="N13">
        <f t="shared" ref="N13:N14" si="1">IFERROR(X13/(X13+Y13), 0)</f>
        <v>0</v>
      </c>
      <c r="O13">
        <v>0.2</v>
      </c>
      <c r="P13">
        <v>0</v>
      </c>
      <c r="Q13">
        <v>0</v>
      </c>
      <c r="R13">
        <v>8.4058101177215576</v>
      </c>
      <c r="S13">
        <v>5</v>
      </c>
      <c r="T13">
        <v>8.4058101177215576</v>
      </c>
      <c r="Z13" t="s">
        <v>169</v>
      </c>
    </row>
    <row r="14" spans="1:26" ht="409.5" x14ac:dyDescent="0.25">
      <c r="A14">
        <v>91</v>
      </c>
      <c r="B14" t="s">
        <v>94</v>
      </c>
      <c r="C14" t="s">
        <v>32</v>
      </c>
      <c r="D14" s="2" t="s">
        <v>100</v>
      </c>
      <c r="E14" s="2" t="s">
        <v>101</v>
      </c>
      <c r="F14" s="2" t="s">
        <v>102</v>
      </c>
      <c r="G14" s="2" t="s">
        <v>103</v>
      </c>
      <c r="H14" t="s">
        <v>104</v>
      </c>
      <c r="I14" t="s">
        <v>31</v>
      </c>
      <c r="J14" s="7">
        <f>6/13</f>
        <v>0.46153846153846156</v>
      </c>
      <c r="K14">
        <f>6/14</f>
        <v>0.42857142857142855</v>
      </c>
      <c r="L14">
        <v>0.5</v>
      </c>
      <c r="M14">
        <v>0.5</v>
      </c>
      <c r="N14">
        <f t="shared" si="1"/>
        <v>0.65384615384615385</v>
      </c>
      <c r="O14">
        <f>0.75</f>
        <v>0.75</v>
      </c>
      <c r="P14" s="13">
        <v>0.5</v>
      </c>
      <c r="Q14" s="13">
        <v>1</v>
      </c>
      <c r="R14">
        <v>14.452758550643919</v>
      </c>
      <c r="S14">
        <v>5</v>
      </c>
      <c r="T14">
        <v>14.452758550643919</v>
      </c>
      <c r="U14" s="12" t="s">
        <v>171</v>
      </c>
      <c r="V14" s="12" t="s">
        <v>172</v>
      </c>
      <c r="W14" s="12" t="s">
        <v>173</v>
      </c>
      <c r="X14">
        <v>17</v>
      </c>
      <c r="Y14">
        <v>9</v>
      </c>
      <c r="Z14" t="s">
        <v>170</v>
      </c>
    </row>
    <row r="15" spans="1:26" ht="409.5" x14ac:dyDescent="0.25">
      <c r="A15">
        <v>97</v>
      </c>
      <c r="B15" t="s">
        <v>94</v>
      </c>
      <c r="C15" t="s">
        <v>32</v>
      </c>
      <c r="D15" s="2" t="s">
        <v>105</v>
      </c>
      <c r="E15" s="2" t="s">
        <v>106</v>
      </c>
      <c r="F15" s="2" t="s">
        <v>107</v>
      </c>
      <c r="G15" s="2" t="s">
        <v>108</v>
      </c>
      <c r="H15" t="s">
        <v>109</v>
      </c>
      <c r="I15" t="s">
        <v>31</v>
      </c>
      <c r="J15" s="7">
        <f>4/10</f>
        <v>0.4</v>
      </c>
      <c r="K15">
        <f>2/5</f>
        <v>0.4</v>
      </c>
      <c r="L15">
        <f>0.5</f>
        <v>0.5</v>
      </c>
      <c r="M15">
        <v>0.25</v>
      </c>
      <c r="N15">
        <f t="shared" si="0"/>
        <v>0.6</v>
      </c>
      <c r="O15">
        <v>0.75</v>
      </c>
      <c r="P15" s="11">
        <v>0</v>
      </c>
      <c r="Q15" s="11">
        <v>0</v>
      </c>
      <c r="R15">
        <v>15.475528955459589</v>
      </c>
      <c r="S15">
        <v>5</v>
      </c>
      <c r="T15">
        <v>15.475528955459589</v>
      </c>
      <c r="U15" s="12" t="s">
        <v>174</v>
      </c>
      <c r="V15" s="12" t="s">
        <v>175</v>
      </c>
      <c r="W15" s="12" t="s">
        <v>176</v>
      </c>
      <c r="X15">
        <v>12</v>
      </c>
      <c r="Y15">
        <v>8</v>
      </c>
      <c r="Z15" s="12" t="s">
        <v>177</v>
      </c>
    </row>
    <row r="16" spans="1:26" ht="409.5" x14ac:dyDescent="0.25">
      <c r="A16">
        <v>110</v>
      </c>
      <c r="B16" t="s">
        <v>94</v>
      </c>
      <c r="C16" t="s">
        <v>28</v>
      </c>
      <c r="D16" s="2" t="s">
        <v>110</v>
      </c>
      <c r="E16" s="2" t="s">
        <v>111</v>
      </c>
      <c r="F16" s="2" t="s">
        <v>112</v>
      </c>
      <c r="G16" s="2" t="s">
        <v>113</v>
      </c>
      <c r="H16" t="s">
        <v>114</v>
      </c>
      <c r="I16" t="s">
        <v>52</v>
      </c>
      <c r="J16" s="7">
        <f>3/12</f>
        <v>0.25</v>
      </c>
      <c r="K16">
        <f>3/10</f>
        <v>0.3</v>
      </c>
      <c r="L16">
        <f>2.75/3</f>
        <v>0.91666666666666663</v>
      </c>
      <c r="M16">
        <v>0.25</v>
      </c>
      <c r="N16">
        <f t="shared" si="0"/>
        <v>0.26315789473684209</v>
      </c>
      <c r="O16">
        <v>0.25</v>
      </c>
      <c r="P16">
        <v>0</v>
      </c>
      <c r="Q16">
        <v>0</v>
      </c>
      <c r="R16">
        <v>16.019131183624271</v>
      </c>
      <c r="S16">
        <v>5</v>
      </c>
      <c r="T16">
        <v>16.019131183624271</v>
      </c>
      <c r="U16" s="12" t="s">
        <v>178</v>
      </c>
      <c r="V16" s="12" t="s">
        <v>179</v>
      </c>
      <c r="W16" s="12" t="s">
        <v>180</v>
      </c>
      <c r="X16">
        <v>5</v>
      </c>
      <c r="Y16">
        <v>14</v>
      </c>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10D8-0C13-4999-957D-C1CE83B890B0}">
  <dimension ref="A1:E8"/>
  <sheetViews>
    <sheetView workbookViewId="0">
      <selection activeCell="I29" sqref="I29"/>
    </sheetView>
  </sheetViews>
  <sheetFormatPr baseColWidth="10" defaultRowHeight="15" x14ac:dyDescent="0.25"/>
  <cols>
    <col min="1" max="1" width="20.7109375" bestFit="1" customWidth="1"/>
    <col min="2" max="2" width="18" bestFit="1" customWidth="1"/>
    <col min="3" max="3" width="16.5703125" bestFit="1" customWidth="1"/>
    <col min="4" max="4" width="19.5703125" bestFit="1" customWidth="1"/>
    <col min="5" max="5" width="19.28515625" bestFit="1" customWidth="1"/>
  </cols>
  <sheetData>
    <row r="1" spans="1:5" x14ac:dyDescent="0.25">
      <c r="A1" s="9" t="s">
        <v>124</v>
      </c>
      <c r="B1" s="9"/>
      <c r="C1" s="9"/>
      <c r="D1" s="9"/>
      <c r="E1" s="9"/>
    </row>
    <row r="2" spans="1:5" x14ac:dyDescent="0.25">
      <c r="A2" s="9" t="s">
        <v>141</v>
      </c>
      <c r="B2" s="9" t="s">
        <v>144</v>
      </c>
      <c r="C2" s="9" t="s">
        <v>145</v>
      </c>
      <c r="D2" s="9" t="s">
        <v>143</v>
      </c>
      <c r="E2" s="9" t="s">
        <v>142</v>
      </c>
    </row>
    <row r="3" spans="1:5" x14ac:dyDescent="0.25">
      <c r="A3" s="9">
        <v>0</v>
      </c>
      <c r="B3" s="9">
        <v>0.25</v>
      </c>
      <c r="C3" s="9">
        <v>0.5</v>
      </c>
      <c r="D3" s="9">
        <v>0.75</v>
      </c>
      <c r="E3" s="9">
        <v>1</v>
      </c>
    </row>
    <row r="4" spans="1:5" x14ac:dyDescent="0.25">
      <c r="A4" s="9"/>
      <c r="B4" s="9"/>
      <c r="C4" s="9"/>
      <c r="D4" s="9"/>
      <c r="E4" s="9"/>
    </row>
    <row r="5" spans="1:5" x14ac:dyDescent="0.25">
      <c r="A5" s="9"/>
      <c r="B5" s="9"/>
      <c r="C5" s="9"/>
      <c r="D5" s="9"/>
      <c r="E5" s="9"/>
    </row>
    <row r="6" spans="1:5" x14ac:dyDescent="0.25">
      <c r="A6" s="9" t="s">
        <v>126</v>
      </c>
      <c r="B6" s="9"/>
      <c r="C6" s="9"/>
      <c r="D6" s="9"/>
      <c r="E6" s="9"/>
    </row>
    <row r="7" spans="1:5" x14ac:dyDescent="0.25">
      <c r="A7" s="9" t="s">
        <v>146</v>
      </c>
      <c r="B7" s="9" t="s">
        <v>150</v>
      </c>
      <c r="C7" s="9" t="s">
        <v>147</v>
      </c>
      <c r="D7" s="9" t="s">
        <v>149</v>
      </c>
      <c r="E7" s="9" t="s">
        <v>148</v>
      </c>
    </row>
    <row r="8" spans="1:5" x14ac:dyDescent="0.25">
      <c r="A8" s="9">
        <v>0</v>
      </c>
      <c r="B8" s="9">
        <v>0.25</v>
      </c>
      <c r="C8" s="9">
        <v>0.5</v>
      </c>
      <c r="D8" s="9">
        <v>0.75</v>
      </c>
      <c r="E8" s="9">
        <v>1</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zoomScale="85" zoomScaleNormal="85" workbookViewId="0">
      <pane ySplit="1" topLeftCell="A15" activePane="bottomLeft" state="frozen"/>
      <selection activeCell="J16" sqref="J16"/>
      <selection pane="bottomLeft" activeCell="J16" sqref="J1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21.85546875" bestFit="1"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0.8571428571428571</v>
      </c>
      <c r="K2">
        <v>1</v>
      </c>
      <c r="L2">
        <v>0.41666666664583329</v>
      </c>
      <c r="M2">
        <v>0.69174534625042605</v>
      </c>
      <c r="N2">
        <v>0.1111111109876543</v>
      </c>
      <c r="O2">
        <v>0.82932121972340545</v>
      </c>
      <c r="P2">
        <v>0</v>
      </c>
      <c r="Q2">
        <v>0</v>
      </c>
      <c r="R2">
        <v>45.547114849090583</v>
      </c>
      <c r="S2">
        <v>5</v>
      </c>
      <c r="T2">
        <v>45.547114849090583</v>
      </c>
    </row>
    <row r="3" spans="1:20" ht="409.5" x14ac:dyDescent="0.25">
      <c r="A3">
        <v>8</v>
      </c>
      <c r="B3" t="s">
        <v>20</v>
      </c>
      <c r="C3" t="s">
        <v>32</v>
      </c>
      <c r="D3" s="2" t="s">
        <v>33</v>
      </c>
      <c r="E3" s="2" t="s">
        <v>34</v>
      </c>
      <c r="F3" s="2" t="s">
        <v>35</v>
      </c>
      <c r="G3" s="2" t="s">
        <v>36</v>
      </c>
      <c r="H3" t="s">
        <v>37</v>
      </c>
      <c r="I3" t="s">
        <v>29</v>
      </c>
      <c r="J3" s="4">
        <v>0.4</v>
      </c>
      <c r="K3">
        <v>0</v>
      </c>
      <c r="L3">
        <v>0.99999999989999999</v>
      </c>
      <c r="M3">
        <v>0.71366373138551342</v>
      </c>
      <c r="N3">
        <v>0</v>
      </c>
      <c r="O3">
        <v>0</v>
      </c>
      <c r="P3">
        <v>0</v>
      </c>
      <c r="Q3">
        <v>0</v>
      </c>
      <c r="R3">
        <v>10.010499954223629</v>
      </c>
      <c r="S3">
        <v>5</v>
      </c>
      <c r="T3">
        <v>10.010499954223629</v>
      </c>
    </row>
    <row r="4" spans="1:20" ht="409.5" x14ac:dyDescent="0.25">
      <c r="A4">
        <v>11</v>
      </c>
      <c r="B4" t="s">
        <v>38</v>
      </c>
      <c r="C4" t="s">
        <v>21</v>
      </c>
      <c r="D4" s="2" t="s">
        <v>39</v>
      </c>
      <c r="E4" s="2" t="s">
        <v>40</v>
      </c>
      <c r="F4" s="2" t="s">
        <v>41</v>
      </c>
      <c r="G4" s="2" t="s">
        <v>42</v>
      </c>
      <c r="H4" t="s">
        <v>43</v>
      </c>
      <c r="I4" t="s">
        <v>44</v>
      </c>
      <c r="J4" s="4">
        <v>0.5</v>
      </c>
      <c r="K4">
        <v>1</v>
      </c>
      <c r="L4">
        <v>0.99999999996666666</v>
      </c>
      <c r="M4">
        <v>0.71741346021913099</v>
      </c>
      <c r="N4">
        <v>0.79999999919999998</v>
      </c>
      <c r="O4">
        <v>0</v>
      </c>
      <c r="P4">
        <v>0.5</v>
      </c>
      <c r="Q4">
        <v>1</v>
      </c>
      <c r="R4">
        <v>9.4738509654998779</v>
      </c>
      <c r="S4">
        <v>5</v>
      </c>
      <c r="T4">
        <v>9.4738509654998779</v>
      </c>
    </row>
    <row r="5" spans="1:20" ht="409.5" x14ac:dyDescent="0.25">
      <c r="A5">
        <v>17</v>
      </c>
      <c r="B5" t="s">
        <v>46</v>
      </c>
      <c r="C5" t="s">
        <v>28</v>
      </c>
      <c r="D5" s="2" t="s">
        <v>47</v>
      </c>
      <c r="E5" s="2" t="s">
        <v>48</v>
      </c>
      <c r="F5" s="2" t="s">
        <v>49</v>
      </c>
      <c r="G5" s="2" t="s">
        <v>50</v>
      </c>
      <c r="H5" t="s">
        <v>51</v>
      </c>
      <c r="I5" t="s">
        <v>30</v>
      </c>
      <c r="J5" s="4">
        <v>0.5</v>
      </c>
      <c r="K5">
        <v>0</v>
      </c>
      <c r="L5">
        <v>0.99999999995</v>
      </c>
      <c r="M5">
        <v>0.76307917657424806</v>
      </c>
      <c r="N5">
        <v>0.1111111109876543</v>
      </c>
      <c r="O5">
        <v>0</v>
      </c>
      <c r="P5">
        <v>0.5</v>
      </c>
      <c r="Q5">
        <v>1</v>
      </c>
      <c r="R5">
        <v>7.7230634689331046</v>
      </c>
      <c r="S5">
        <v>5</v>
      </c>
      <c r="T5">
        <v>7.7230634689331046</v>
      </c>
    </row>
    <row r="6" spans="1:20" ht="409.5" x14ac:dyDescent="0.25">
      <c r="A6">
        <v>20</v>
      </c>
      <c r="B6" t="s">
        <v>46</v>
      </c>
      <c r="C6" t="s">
        <v>32</v>
      </c>
      <c r="D6" s="2" t="s">
        <v>54</v>
      </c>
      <c r="E6" s="2" t="s">
        <v>55</v>
      </c>
      <c r="F6" s="2" t="s">
        <v>56</v>
      </c>
      <c r="G6" s="2" t="s">
        <v>57</v>
      </c>
      <c r="H6" t="s">
        <v>58</v>
      </c>
      <c r="I6" t="s">
        <v>30</v>
      </c>
      <c r="J6" s="3">
        <v>0.8</v>
      </c>
      <c r="K6">
        <v>1</v>
      </c>
      <c r="L6">
        <v>0.69999999996499995</v>
      </c>
      <c r="M6">
        <v>0.54732096792325347</v>
      </c>
      <c r="N6">
        <v>0</v>
      </c>
      <c r="O6">
        <v>0.55936743224954488</v>
      </c>
      <c r="P6">
        <v>1</v>
      </c>
      <c r="Q6">
        <v>1</v>
      </c>
      <c r="R6">
        <v>8.7654869556427002</v>
      </c>
      <c r="S6">
        <v>5</v>
      </c>
      <c r="T6">
        <v>8.7654869556427002</v>
      </c>
    </row>
    <row r="7" spans="1:20" ht="409.5" x14ac:dyDescent="0.25">
      <c r="A7">
        <v>30</v>
      </c>
      <c r="B7" t="s">
        <v>59</v>
      </c>
      <c r="C7" t="s">
        <v>28</v>
      </c>
      <c r="D7" s="2" t="s">
        <v>60</v>
      </c>
      <c r="E7" s="2" t="s">
        <v>61</v>
      </c>
      <c r="F7" s="2" t="s">
        <v>62</v>
      </c>
      <c r="G7" s="2" t="s">
        <v>63</v>
      </c>
      <c r="H7" t="s">
        <v>64</v>
      </c>
      <c r="I7" t="s">
        <v>45</v>
      </c>
      <c r="J7" s="4">
        <v>0.25</v>
      </c>
      <c r="K7">
        <v>1</v>
      </c>
      <c r="L7">
        <v>0.99999999989999999</v>
      </c>
      <c r="M7">
        <v>0.86740094111044419</v>
      </c>
      <c r="N7">
        <v>0</v>
      </c>
      <c r="O7">
        <v>0</v>
      </c>
      <c r="P7">
        <v>0</v>
      </c>
      <c r="Q7">
        <v>0</v>
      </c>
      <c r="R7">
        <v>9.9265642166137695</v>
      </c>
      <c r="S7">
        <v>5</v>
      </c>
      <c r="T7">
        <v>9.9265642166137695</v>
      </c>
    </row>
    <row r="8" spans="1:20" ht="409.5" x14ac:dyDescent="0.25">
      <c r="A8">
        <v>33</v>
      </c>
      <c r="B8" t="s">
        <v>65</v>
      </c>
      <c r="C8" t="s">
        <v>28</v>
      </c>
      <c r="D8" s="2" t="s">
        <v>66</v>
      </c>
      <c r="E8" s="2" t="s">
        <v>67</v>
      </c>
      <c r="F8" s="2" t="s">
        <v>68</v>
      </c>
      <c r="G8" s="2" t="s">
        <v>69</v>
      </c>
      <c r="H8" t="s">
        <v>70</v>
      </c>
      <c r="I8" t="s">
        <v>30</v>
      </c>
      <c r="J8" s="4">
        <v>0.33333333333333331</v>
      </c>
      <c r="K8">
        <v>1</v>
      </c>
      <c r="L8">
        <v>0.8666666666377778</v>
      </c>
      <c r="M8">
        <v>0.88175794034474853</v>
      </c>
      <c r="N8">
        <v>0.249999999375</v>
      </c>
      <c r="O8">
        <v>0.87696433281486375</v>
      </c>
      <c r="P8">
        <v>0.2</v>
      </c>
      <c r="Q8">
        <v>1</v>
      </c>
      <c r="R8">
        <v>8.1560134887695313</v>
      </c>
      <c r="S8">
        <v>5</v>
      </c>
      <c r="T8">
        <v>8.1560134887695313</v>
      </c>
    </row>
    <row r="9" spans="1:20" ht="409.5" x14ac:dyDescent="0.25">
      <c r="A9">
        <v>34</v>
      </c>
      <c r="B9" t="s">
        <v>65</v>
      </c>
      <c r="C9" t="s">
        <v>21</v>
      </c>
      <c r="D9" s="2" t="s">
        <v>71</v>
      </c>
      <c r="E9" s="2" t="s">
        <v>72</v>
      </c>
      <c r="F9" s="2" t="s">
        <v>73</v>
      </c>
      <c r="G9" s="2" t="s">
        <v>74</v>
      </c>
      <c r="H9" t="s">
        <v>75</v>
      </c>
      <c r="I9" t="s">
        <v>27</v>
      </c>
      <c r="J9" s="4">
        <v>0</v>
      </c>
      <c r="K9">
        <v>0</v>
      </c>
      <c r="L9">
        <v>0</v>
      </c>
      <c r="M9">
        <v>0.74801993950570767</v>
      </c>
      <c r="N9">
        <v>0</v>
      </c>
      <c r="O9">
        <v>0.92611321766246613</v>
      </c>
      <c r="P9">
        <v>0.33333333333333331</v>
      </c>
      <c r="Q9">
        <v>1</v>
      </c>
      <c r="R9">
        <v>11.905722618103029</v>
      </c>
      <c r="S9">
        <v>5</v>
      </c>
      <c r="T9">
        <v>11.905722618103029</v>
      </c>
    </row>
    <row r="10" spans="1:20" ht="409.5" x14ac:dyDescent="0.25">
      <c r="A10">
        <v>64</v>
      </c>
      <c r="B10" t="s">
        <v>77</v>
      </c>
      <c r="C10" t="s">
        <v>21</v>
      </c>
      <c r="D10" s="2" t="s">
        <v>78</v>
      </c>
      <c r="E10" s="2" t="s">
        <v>79</v>
      </c>
      <c r="F10" s="2" t="s">
        <v>80</v>
      </c>
      <c r="G10" s="2" t="s">
        <v>81</v>
      </c>
      <c r="H10" t="s">
        <v>82</v>
      </c>
      <c r="I10" t="s">
        <v>44</v>
      </c>
      <c r="J10" s="3">
        <v>0.8</v>
      </c>
      <c r="K10">
        <v>0.14285714285714279</v>
      </c>
      <c r="L10">
        <v>0.99999999995</v>
      </c>
      <c r="M10">
        <v>0.80823798188452467</v>
      </c>
      <c r="N10">
        <v>0</v>
      </c>
      <c r="O10">
        <v>0.9057499525724565</v>
      </c>
      <c r="P10">
        <v>0</v>
      </c>
      <c r="Q10">
        <v>0</v>
      </c>
      <c r="R10">
        <v>19.49518513679504</v>
      </c>
      <c r="S10">
        <v>5</v>
      </c>
      <c r="T10">
        <v>19.49518513679504</v>
      </c>
    </row>
    <row r="11" spans="1:20" ht="409.5" x14ac:dyDescent="0.25">
      <c r="A11">
        <v>65</v>
      </c>
      <c r="B11" t="s">
        <v>77</v>
      </c>
      <c r="C11" t="s">
        <v>32</v>
      </c>
      <c r="D11" s="2" t="s">
        <v>83</v>
      </c>
      <c r="E11" s="2" t="s">
        <v>84</v>
      </c>
      <c r="F11" s="2" t="s">
        <v>85</v>
      </c>
      <c r="G11" s="2" t="s">
        <v>86</v>
      </c>
      <c r="H11" t="s">
        <v>87</v>
      </c>
      <c r="I11" t="s">
        <v>88</v>
      </c>
      <c r="J11" s="5">
        <v>0.66666666666666663</v>
      </c>
      <c r="K11">
        <v>1</v>
      </c>
      <c r="L11">
        <v>0.99999999998</v>
      </c>
      <c r="M11">
        <v>0.85041125424598185</v>
      </c>
      <c r="N11">
        <v>5.8823529377162627E-2</v>
      </c>
      <c r="O11">
        <v>0.72243167472066594</v>
      </c>
      <c r="P11">
        <v>1</v>
      </c>
      <c r="Q11">
        <v>1</v>
      </c>
      <c r="R11">
        <v>10.89683628082275</v>
      </c>
      <c r="S11">
        <v>5</v>
      </c>
      <c r="T11">
        <v>10.89683628082275</v>
      </c>
    </row>
    <row r="12" spans="1:20" ht="409.5" x14ac:dyDescent="0.25">
      <c r="A12">
        <v>84</v>
      </c>
      <c r="B12" t="s">
        <v>65</v>
      </c>
      <c r="C12" t="s">
        <v>21</v>
      </c>
      <c r="D12" s="2" t="s">
        <v>89</v>
      </c>
      <c r="E12" s="2" t="s">
        <v>90</v>
      </c>
      <c r="F12" s="2" t="s">
        <v>91</v>
      </c>
      <c r="G12" s="2" t="s">
        <v>92</v>
      </c>
      <c r="H12" t="s">
        <v>93</v>
      </c>
      <c r="I12" t="s">
        <v>30</v>
      </c>
      <c r="J12" s="3">
        <v>0.8</v>
      </c>
      <c r="K12">
        <v>1</v>
      </c>
      <c r="L12">
        <v>0.75555555553037035</v>
      </c>
      <c r="M12">
        <v>0.72480963765983408</v>
      </c>
      <c r="N12">
        <v>0</v>
      </c>
      <c r="O12">
        <v>0.95987955397349634</v>
      </c>
      <c r="P12">
        <v>0</v>
      </c>
      <c r="Q12">
        <v>0</v>
      </c>
      <c r="R12">
        <v>11.943759441375731</v>
      </c>
      <c r="S12">
        <v>5</v>
      </c>
      <c r="T12">
        <v>11.943759441375731</v>
      </c>
    </row>
    <row r="13" spans="1:20" ht="409.5" x14ac:dyDescent="0.25">
      <c r="A13">
        <v>89</v>
      </c>
      <c r="B13" t="s">
        <v>94</v>
      </c>
      <c r="C13" t="s">
        <v>28</v>
      </c>
      <c r="D13" s="2" t="s">
        <v>95</v>
      </c>
      <c r="E13" s="2" t="s">
        <v>96</v>
      </c>
      <c r="F13" s="2" t="s">
        <v>97</v>
      </c>
      <c r="G13" s="2" t="s">
        <v>98</v>
      </c>
      <c r="H13" t="s">
        <v>99</v>
      </c>
      <c r="I13" t="s">
        <v>31</v>
      </c>
      <c r="J13" s="4">
        <v>0</v>
      </c>
      <c r="K13">
        <v>0</v>
      </c>
      <c r="L13">
        <v>0.19999999998000001</v>
      </c>
      <c r="M13">
        <v>0.57422403734337246</v>
      </c>
      <c r="N13">
        <v>0</v>
      </c>
      <c r="O13">
        <v>0</v>
      </c>
      <c r="P13">
        <v>0</v>
      </c>
      <c r="Q13">
        <v>0</v>
      </c>
      <c r="R13">
        <v>8.4058101177215576</v>
      </c>
      <c r="S13">
        <v>5</v>
      </c>
      <c r="T13">
        <v>8.4058101177215576</v>
      </c>
    </row>
    <row r="14" spans="1:20" ht="409.5" x14ac:dyDescent="0.25">
      <c r="A14">
        <v>91</v>
      </c>
      <c r="B14" t="s">
        <v>94</v>
      </c>
      <c r="C14" t="s">
        <v>32</v>
      </c>
      <c r="D14" s="2" t="s">
        <v>100</v>
      </c>
      <c r="E14" s="2" t="s">
        <v>101</v>
      </c>
      <c r="F14" s="2" t="s">
        <v>102</v>
      </c>
      <c r="G14" s="2" t="s">
        <v>103</v>
      </c>
      <c r="H14" t="s">
        <v>104</v>
      </c>
      <c r="I14" t="s">
        <v>31</v>
      </c>
      <c r="J14" s="4">
        <v>0.58333333333333337</v>
      </c>
      <c r="K14">
        <v>0.4</v>
      </c>
      <c r="L14">
        <v>0.88749999997781248</v>
      </c>
      <c r="M14">
        <v>0.83352148197934484</v>
      </c>
      <c r="N14">
        <v>0</v>
      </c>
      <c r="O14">
        <v>0</v>
      </c>
      <c r="P14">
        <v>0.5</v>
      </c>
      <c r="Q14">
        <v>1</v>
      </c>
      <c r="R14">
        <v>14.452758550643919</v>
      </c>
      <c r="S14">
        <v>5</v>
      </c>
      <c r="T14">
        <v>14.452758550643919</v>
      </c>
    </row>
    <row r="15" spans="1:20" ht="409.5" x14ac:dyDescent="0.25">
      <c r="A15">
        <v>97</v>
      </c>
      <c r="B15" t="s">
        <v>94</v>
      </c>
      <c r="C15" t="s">
        <v>32</v>
      </c>
      <c r="D15" s="2" t="s">
        <v>105</v>
      </c>
      <c r="E15" s="2" t="s">
        <v>106</v>
      </c>
      <c r="F15" s="2" t="s">
        <v>107</v>
      </c>
      <c r="G15" s="2" t="s">
        <v>108</v>
      </c>
      <c r="H15" t="s">
        <v>109</v>
      </c>
      <c r="I15" t="s">
        <v>31</v>
      </c>
      <c r="J15" s="4">
        <v>0.375</v>
      </c>
      <c r="K15">
        <v>0.25</v>
      </c>
      <c r="L15">
        <v>0.99999999998</v>
      </c>
      <c r="M15">
        <v>0.83696191881469706</v>
      </c>
      <c r="N15">
        <v>0</v>
      </c>
      <c r="O15">
        <v>0</v>
      </c>
      <c r="P15">
        <v>0</v>
      </c>
      <c r="Q15">
        <v>0</v>
      </c>
      <c r="R15">
        <v>15.475528955459589</v>
      </c>
      <c r="S15">
        <v>5</v>
      </c>
      <c r="T15">
        <v>15.475528955459589</v>
      </c>
    </row>
    <row r="16" spans="1:20" ht="409.5" x14ac:dyDescent="0.25">
      <c r="A16">
        <v>110</v>
      </c>
      <c r="B16" t="s">
        <v>94</v>
      </c>
      <c r="C16" t="s">
        <v>28</v>
      </c>
      <c r="D16" s="2" t="s">
        <v>110</v>
      </c>
      <c r="E16" s="2" t="s">
        <v>111</v>
      </c>
      <c r="F16" s="2" t="s">
        <v>112</v>
      </c>
      <c r="G16" s="2" t="s">
        <v>113</v>
      </c>
      <c r="H16" t="s">
        <v>114</v>
      </c>
      <c r="I16" t="s">
        <v>52</v>
      </c>
      <c r="J16" s="4">
        <v>0.55555555555555558</v>
      </c>
      <c r="K16">
        <v>0.25</v>
      </c>
      <c r="L16">
        <v>0.44999999997750001</v>
      </c>
      <c r="M16">
        <v>0.76220810325268817</v>
      </c>
      <c r="N16">
        <v>7.6923076863905315E-2</v>
      </c>
      <c r="O16">
        <v>0.92710612806559023</v>
      </c>
      <c r="P16">
        <v>0</v>
      </c>
      <c r="Q16">
        <v>0</v>
      </c>
      <c r="R16">
        <v>16.019131183624271</v>
      </c>
      <c r="S16">
        <v>5</v>
      </c>
      <c r="T16">
        <v>16.019131183624271</v>
      </c>
    </row>
  </sheetData>
  <autoFilter ref="A1:T16" xr:uid="{00000000-0001-0000-0000-000000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465D-3A19-4F21-AD62-A5E7625098D2}">
  <dimension ref="A1:T16"/>
  <sheetViews>
    <sheetView topLeftCell="D1" workbookViewId="0">
      <pane ySplit="1" topLeftCell="A2" activePane="bottomLeft" state="frozen"/>
      <selection activeCell="J16" sqref="J16"/>
      <selection pane="bottomLeft" activeCell="F2" sqref="F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0.94117647058823528</v>
      </c>
      <c r="K2">
        <v>1</v>
      </c>
      <c r="L2">
        <v>0.99999999998</v>
      </c>
      <c r="M2">
        <v>0.69174534625042605</v>
      </c>
      <c r="N2">
        <v>0.1111111109876543</v>
      </c>
      <c r="O2">
        <v>0.83917455865196222</v>
      </c>
      <c r="P2">
        <v>0</v>
      </c>
      <c r="Q2">
        <v>0</v>
      </c>
      <c r="R2">
        <v>45.547114849090583</v>
      </c>
      <c r="S2">
        <v>5</v>
      </c>
      <c r="T2">
        <v>45.547114849090583</v>
      </c>
    </row>
    <row r="3" spans="1:20" ht="409.5" x14ac:dyDescent="0.25">
      <c r="A3">
        <v>8</v>
      </c>
      <c r="B3" t="s">
        <v>20</v>
      </c>
      <c r="C3" t="s">
        <v>32</v>
      </c>
      <c r="D3" s="2" t="s">
        <v>33</v>
      </c>
      <c r="E3" s="2" t="s">
        <v>34</v>
      </c>
      <c r="F3" s="2" t="s">
        <v>35</v>
      </c>
      <c r="G3" s="2" t="s">
        <v>36</v>
      </c>
      <c r="H3" t="s">
        <v>37</v>
      </c>
      <c r="I3" t="s">
        <v>29</v>
      </c>
      <c r="J3" s="4">
        <v>0.45454545454545447</v>
      </c>
      <c r="K3">
        <v>0.66666666666666663</v>
      </c>
      <c r="L3">
        <v>0.99999999989999999</v>
      </c>
      <c r="M3">
        <v>0.71366373138551342</v>
      </c>
      <c r="N3">
        <v>0</v>
      </c>
      <c r="O3">
        <v>0</v>
      </c>
      <c r="P3">
        <v>0</v>
      </c>
      <c r="Q3">
        <v>0</v>
      </c>
      <c r="R3">
        <v>10.010499954223629</v>
      </c>
      <c r="S3">
        <v>5</v>
      </c>
      <c r="T3">
        <v>10.010499954223629</v>
      </c>
    </row>
    <row r="4" spans="1:20" ht="409.5" x14ac:dyDescent="0.25">
      <c r="A4">
        <v>11</v>
      </c>
      <c r="B4" t="s">
        <v>38</v>
      </c>
      <c r="C4" t="s">
        <v>21</v>
      </c>
      <c r="D4" s="2" t="s">
        <v>39</v>
      </c>
      <c r="E4" s="2" t="s">
        <v>40</v>
      </c>
      <c r="F4" s="2" t="s">
        <v>41</v>
      </c>
      <c r="G4" s="2" t="s">
        <v>42</v>
      </c>
      <c r="H4" t="s">
        <v>43</v>
      </c>
      <c r="I4" t="s">
        <v>44</v>
      </c>
      <c r="J4" s="3">
        <v>0.8</v>
      </c>
      <c r="K4">
        <v>1</v>
      </c>
      <c r="L4">
        <v>0.99999999996666666</v>
      </c>
      <c r="M4">
        <v>0.71741346021913099</v>
      </c>
      <c r="N4">
        <v>0.6999999992999999</v>
      </c>
      <c r="O4">
        <v>0</v>
      </c>
      <c r="P4">
        <v>0.5</v>
      </c>
      <c r="Q4">
        <v>1</v>
      </c>
      <c r="R4">
        <v>9.4738509654998779</v>
      </c>
      <c r="S4">
        <v>5</v>
      </c>
      <c r="T4">
        <v>9.4738509654998779</v>
      </c>
    </row>
    <row r="5" spans="1:20" ht="409.5" x14ac:dyDescent="0.25">
      <c r="A5">
        <v>17</v>
      </c>
      <c r="B5" t="s">
        <v>46</v>
      </c>
      <c r="C5" t="s">
        <v>28</v>
      </c>
      <c r="D5" s="2" t="s">
        <v>47</v>
      </c>
      <c r="E5" s="2" t="s">
        <v>48</v>
      </c>
      <c r="F5" s="2" t="s">
        <v>49</v>
      </c>
      <c r="G5" s="2" t="s">
        <v>50</v>
      </c>
      <c r="H5" t="s">
        <v>51</v>
      </c>
      <c r="I5" t="s">
        <v>30</v>
      </c>
      <c r="J5" s="4">
        <v>0.5</v>
      </c>
      <c r="K5">
        <v>1</v>
      </c>
      <c r="L5">
        <v>0.53333333331555555</v>
      </c>
      <c r="M5">
        <v>0.76307917657424806</v>
      </c>
      <c r="N5">
        <v>0.1111111109876543</v>
      </c>
      <c r="O5">
        <v>0</v>
      </c>
      <c r="P5">
        <v>0.5</v>
      </c>
      <c r="Q5">
        <v>1</v>
      </c>
      <c r="R5">
        <v>7.7230634689331046</v>
      </c>
      <c r="S5">
        <v>5</v>
      </c>
      <c r="T5">
        <v>7.7230634689331046</v>
      </c>
    </row>
    <row r="6" spans="1:20" ht="409.5" x14ac:dyDescent="0.25">
      <c r="A6">
        <v>20</v>
      </c>
      <c r="B6" t="s">
        <v>46</v>
      </c>
      <c r="C6" t="s">
        <v>32</v>
      </c>
      <c r="D6" s="2" t="s">
        <v>54</v>
      </c>
      <c r="E6" s="2" t="s">
        <v>55</v>
      </c>
      <c r="F6" s="2" t="s">
        <v>56</v>
      </c>
      <c r="G6" s="2" t="s">
        <v>57</v>
      </c>
      <c r="H6" t="s">
        <v>58</v>
      </c>
      <c r="I6" t="s">
        <v>30</v>
      </c>
      <c r="J6" s="5">
        <v>0.6</v>
      </c>
      <c r="K6">
        <v>0.6</v>
      </c>
      <c r="L6">
        <v>0.99999999995</v>
      </c>
      <c r="M6">
        <v>0.54732096792325347</v>
      </c>
      <c r="N6">
        <v>0</v>
      </c>
      <c r="O6">
        <v>0.79537475669705948</v>
      </c>
      <c r="P6">
        <v>1</v>
      </c>
      <c r="Q6">
        <v>1</v>
      </c>
      <c r="R6">
        <v>8.7654869556427002</v>
      </c>
      <c r="S6">
        <v>5</v>
      </c>
      <c r="T6">
        <v>8.7654869556427002</v>
      </c>
    </row>
    <row r="7" spans="1:20" ht="409.5" x14ac:dyDescent="0.25">
      <c r="A7">
        <v>30</v>
      </c>
      <c r="B7" t="s">
        <v>59</v>
      </c>
      <c r="C7" t="s">
        <v>28</v>
      </c>
      <c r="D7" s="2" t="s">
        <v>60</v>
      </c>
      <c r="E7" s="2" t="s">
        <v>61</v>
      </c>
      <c r="F7" s="2" t="s">
        <v>62</v>
      </c>
      <c r="G7" s="2" t="s">
        <v>63</v>
      </c>
      <c r="H7" t="s">
        <v>64</v>
      </c>
      <c r="I7" t="s">
        <v>45</v>
      </c>
      <c r="J7" s="3">
        <v>1</v>
      </c>
      <c r="K7">
        <v>1</v>
      </c>
      <c r="L7">
        <v>0.91666666663611107</v>
      </c>
      <c r="M7">
        <v>0.86740094111044419</v>
      </c>
      <c r="N7">
        <v>0</v>
      </c>
      <c r="O7">
        <v>0.90348977789532314</v>
      </c>
      <c r="P7">
        <v>0</v>
      </c>
      <c r="Q7">
        <v>0</v>
      </c>
      <c r="R7">
        <v>9.9265642166137695</v>
      </c>
      <c r="S7">
        <v>5</v>
      </c>
      <c r="T7">
        <v>9.9265642166137695</v>
      </c>
    </row>
    <row r="8" spans="1:20" ht="409.5" x14ac:dyDescent="0.25">
      <c r="A8">
        <v>33</v>
      </c>
      <c r="B8" t="s">
        <v>65</v>
      </c>
      <c r="C8" t="s">
        <v>28</v>
      </c>
      <c r="D8" s="2" t="s">
        <v>66</v>
      </c>
      <c r="E8" s="2" t="s">
        <v>67</v>
      </c>
      <c r="F8" s="2" t="s">
        <v>68</v>
      </c>
      <c r="G8" s="2" t="s">
        <v>69</v>
      </c>
      <c r="H8" t="s">
        <v>70</v>
      </c>
      <c r="I8" t="s">
        <v>30</v>
      </c>
      <c r="J8" s="4">
        <v>0.5</v>
      </c>
      <c r="K8">
        <v>1</v>
      </c>
      <c r="L8">
        <v>0.8666666666377778</v>
      </c>
      <c r="M8">
        <v>0.88175794034474853</v>
      </c>
      <c r="N8">
        <v>0</v>
      </c>
      <c r="O8">
        <v>0.9891112201369866</v>
      </c>
      <c r="P8">
        <v>0.2</v>
      </c>
      <c r="Q8">
        <v>1</v>
      </c>
      <c r="R8">
        <v>8.1560134887695313</v>
      </c>
      <c r="S8">
        <v>5</v>
      </c>
      <c r="T8">
        <v>8.1560134887695313</v>
      </c>
    </row>
    <row r="9" spans="1:20" ht="409.5" x14ac:dyDescent="0.25">
      <c r="A9">
        <v>34</v>
      </c>
      <c r="B9" t="s">
        <v>65</v>
      </c>
      <c r="C9" t="s">
        <v>21</v>
      </c>
      <c r="D9" s="2" t="s">
        <v>71</v>
      </c>
      <c r="E9" s="2" t="s">
        <v>72</v>
      </c>
      <c r="F9" s="2" t="s">
        <v>73</v>
      </c>
      <c r="G9" s="2" t="s">
        <v>74</v>
      </c>
      <c r="H9" t="s">
        <v>75</v>
      </c>
      <c r="I9" t="s">
        <v>27</v>
      </c>
      <c r="J9" s="4">
        <v>0</v>
      </c>
      <c r="K9">
        <v>0.5</v>
      </c>
      <c r="L9">
        <v>0</v>
      </c>
      <c r="M9">
        <v>0.74801993950570767</v>
      </c>
      <c r="N9">
        <v>0</v>
      </c>
      <c r="O9">
        <v>0.99055562743417502</v>
      </c>
      <c r="P9">
        <v>0.33333333333333331</v>
      </c>
      <c r="Q9">
        <v>1</v>
      </c>
      <c r="R9">
        <v>11.905722618103029</v>
      </c>
      <c r="S9">
        <v>5</v>
      </c>
      <c r="T9">
        <v>11.905722618103029</v>
      </c>
    </row>
    <row r="10" spans="1:20" ht="409.5" x14ac:dyDescent="0.25">
      <c r="A10">
        <v>64</v>
      </c>
      <c r="B10" t="s">
        <v>77</v>
      </c>
      <c r="C10" t="s">
        <v>21</v>
      </c>
      <c r="D10" s="2" t="s">
        <v>78</v>
      </c>
      <c r="E10" s="2" t="s">
        <v>79</v>
      </c>
      <c r="F10" s="2" t="s">
        <v>80</v>
      </c>
      <c r="G10" s="2" t="s">
        <v>81</v>
      </c>
      <c r="H10" t="s">
        <v>82</v>
      </c>
      <c r="I10" t="s">
        <v>44</v>
      </c>
      <c r="J10" s="4">
        <v>0.44444444444444442</v>
      </c>
      <c r="K10">
        <v>0.42857142857142849</v>
      </c>
      <c r="L10">
        <v>0.999999999975</v>
      </c>
      <c r="M10">
        <v>0.80823798188452467</v>
      </c>
      <c r="N10">
        <v>0</v>
      </c>
      <c r="O10">
        <v>0</v>
      </c>
      <c r="P10">
        <v>0</v>
      </c>
      <c r="Q10">
        <v>0</v>
      </c>
      <c r="R10">
        <v>19.49518513679504</v>
      </c>
      <c r="S10">
        <v>5</v>
      </c>
      <c r="T10">
        <v>19.49518513679504</v>
      </c>
    </row>
    <row r="11" spans="1:20" ht="409.5" x14ac:dyDescent="0.25">
      <c r="A11">
        <v>65</v>
      </c>
      <c r="B11" t="s">
        <v>77</v>
      </c>
      <c r="C11" t="s">
        <v>32</v>
      </c>
      <c r="D11" s="2" t="s">
        <v>83</v>
      </c>
      <c r="E11" s="2" t="s">
        <v>84</v>
      </c>
      <c r="F11" s="2" t="s">
        <v>85</v>
      </c>
      <c r="G11" s="2" t="s">
        <v>86</v>
      </c>
      <c r="H11" t="s">
        <v>87</v>
      </c>
      <c r="I11" t="s">
        <v>88</v>
      </c>
      <c r="J11" s="3">
        <v>1</v>
      </c>
      <c r="K11">
        <v>1</v>
      </c>
      <c r="L11">
        <v>0.99999999998</v>
      </c>
      <c r="M11">
        <v>0.85041125424598185</v>
      </c>
      <c r="N11">
        <v>0.1999999999</v>
      </c>
      <c r="O11">
        <v>0.7708164339628607</v>
      </c>
      <c r="P11">
        <v>1</v>
      </c>
      <c r="Q11">
        <v>1</v>
      </c>
      <c r="R11">
        <v>10.89683628082275</v>
      </c>
      <c r="S11">
        <v>5</v>
      </c>
      <c r="T11">
        <v>10.89683628082275</v>
      </c>
    </row>
    <row r="12" spans="1:20" ht="409.5" x14ac:dyDescent="0.25">
      <c r="A12">
        <v>84</v>
      </c>
      <c r="B12" t="s">
        <v>65</v>
      </c>
      <c r="C12" t="s">
        <v>21</v>
      </c>
      <c r="D12" s="2" t="s">
        <v>89</v>
      </c>
      <c r="E12" s="2" t="s">
        <v>90</v>
      </c>
      <c r="F12" s="2" t="s">
        <v>91</v>
      </c>
      <c r="G12" s="2" t="s">
        <v>92</v>
      </c>
      <c r="H12" t="s">
        <v>93</v>
      </c>
      <c r="I12" t="s">
        <v>30</v>
      </c>
      <c r="J12" s="3">
        <v>1</v>
      </c>
      <c r="K12">
        <v>0.8</v>
      </c>
      <c r="L12">
        <v>0.75555555553037035</v>
      </c>
      <c r="M12">
        <v>0.72480963765983408</v>
      </c>
      <c r="N12">
        <v>0.1538461537278106</v>
      </c>
      <c r="O12">
        <v>0.95521306809088935</v>
      </c>
      <c r="P12">
        <v>0</v>
      </c>
      <c r="Q12">
        <v>0</v>
      </c>
      <c r="R12">
        <v>11.943759441375731</v>
      </c>
      <c r="S12">
        <v>5</v>
      </c>
      <c r="T12">
        <v>11.943759441375731</v>
      </c>
    </row>
    <row r="13" spans="1:20" ht="409.5" x14ac:dyDescent="0.25">
      <c r="A13">
        <v>89</v>
      </c>
      <c r="B13" t="s">
        <v>94</v>
      </c>
      <c r="C13" t="s">
        <v>28</v>
      </c>
      <c r="D13" s="2" t="s">
        <v>95</v>
      </c>
      <c r="E13" s="2" t="s">
        <v>96</v>
      </c>
      <c r="F13" s="2" t="s">
        <v>97</v>
      </c>
      <c r="G13" s="2" t="s">
        <v>98</v>
      </c>
      <c r="H13" t="s">
        <v>99</v>
      </c>
      <c r="I13" t="s">
        <v>31</v>
      </c>
      <c r="J13" s="4">
        <v>0</v>
      </c>
      <c r="K13">
        <v>0</v>
      </c>
      <c r="L13">
        <v>0.69999999996499995</v>
      </c>
      <c r="M13">
        <v>0.57422403734337246</v>
      </c>
      <c r="N13">
        <v>0</v>
      </c>
      <c r="O13">
        <v>0</v>
      </c>
      <c r="P13">
        <v>0</v>
      </c>
      <c r="Q13">
        <v>0</v>
      </c>
      <c r="R13">
        <v>8.4058101177215576</v>
      </c>
      <c r="S13">
        <v>5</v>
      </c>
      <c r="T13">
        <v>8.4058101177215576</v>
      </c>
    </row>
    <row r="14" spans="1:20" ht="409.5" x14ac:dyDescent="0.25">
      <c r="A14">
        <v>91</v>
      </c>
      <c r="B14" t="s">
        <v>94</v>
      </c>
      <c r="C14" t="s">
        <v>32</v>
      </c>
      <c r="D14" s="2" t="s">
        <v>100</v>
      </c>
      <c r="E14" s="2" t="s">
        <v>101</v>
      </c>
      <c r="F14" s="2" t="s">
        <v>102</v>
      </c>
      <c r="G14" s="2" t="s">
        <v>103</v>
      </c>
      <c r="H14" t="s">
        <v>104</v>
      </c>
      <c r="I14" t="s">
        <v>31</v>
      </c>
      <c r="J14" s="4">
        <v>0.375</v>
      </c>
      <c r="K14">
        <v>0.4</v>
      </c>
      <c r="L14">
        <v>0.63888888886759254</v>
      </c>
      <c r="M14">
        <v>0.83352148197934484</v>
      </c>
      <c r="N14">
        <v>0.14999999992499999</v>
      </c>
      <c r="O14">
        <v>0</v>
      </c>
      <c r="P14">
        <v>0.5</v>
      </c>
      <c r="Q14">
        <v>1</v>
      </c>
      <c r="R14">
        <v>14.452758550643919</v>
      </c>
      <c r="S14">
        <v>5</v>
      </c>
      <c r="T14">
        <v>14.452758550643919</v>
      </c>
    </row>
    <row r="15" spans="1:20" ht="409.5" x14ac:dyDescent="0.25">
      <c r="A15">
        <v>97</v>
      </c>
      <c r="B15" t="s">
        <v>94</v>
      </c>
      <c r="C15" t="s">
        <v>32</v>
      </c>
      <c r="D15" s="2" t="s">
        <v>105</v>
      </c>
      <c r="E15" s="2" t="s">
        <v>106</v>
      </c>
      <c r="F15" s="2" t="s">
        <v>107</v>
      </c>
      <c r="G15" s="2" t="s">
        <v>108</v>
      </c>
      <c r="H15" t="s">
        <v>109</v>
      </c>
      <c r="I15" t="s">
        <v>31</v>
      </c>
      <c r="J15" s="4">
        <v>0.36363636363636359</v>
      </c>
      <c r="K15">
        <v>0.75</v>
      </c>
      <c r="L15">
        <v>0.99999999998</v>
      </c>
      <c r="M15">
        <v>0.83696191881469706</v>
      </c>
      <c r="N15">
        <v>0.14285714265306121</v>
      </c>
      <c r="O15">
        <v>0.80877589023595409</v>
      </c>
      <c r="P15">
        <v>0</v>
      </c>
      <c r="Q15">
        <v>0</v>
      </c>
      <c r="R15">
        <v>15.475528955459589</v>
      </c>
      <c r="S15">
        <v>5</v>
      </c>
      <c r="T15">
        <v>15.475528955459589</v>
      </c>
    </row>
    <row r="16" spans="1:20" ht="409.5" x14ac:dyDescent="0.25">
      <c r="A16">
        <v>110</v>
      </c>
      <c r="B16" t="s">
        <v>94</v>
      </c>
      <c r="C16" t="s">
        <v>28</v>
      </c>
      <c r="D16" s="2" t="s">
        <v>110</v>
      </c>
      <c r="E16" s="2" t="s">
        <v>111</v>
      </c>
      <c r="F16" s="2" t="s">
        <v>112</v>
      </c>
      <c r="G16" s="2" t="s">
        <v>113</v>
      </c>
      <c r="H16" t="s">
        <v>114</v>
      </c>
      <c r="I16" t="s">
        <v>52</v>
      </c>
      <c r="J16" s="5">
        <v>0.63636363636363635</v>
      </c>
      <c r="K16">
        <v>0.6</v>
      </c>
      <c r="L16">
        <v>0.999999999975</v>
      </c>
      <c r="M16">
        <v>0.76220810325268817</v>
      </c>
      <c r="N16">
        <v>5.5555555524691352E-2</v>
      </c>
      <c r="O16">
        <v>0</v>
      </c>
      <c r="P16">
        <v>0</v>
      </c>
      <c r="Q16">
        <v>0</v>
      </c>
      <c r="R16">
        <v>16.019131183624271</v>
      </c>
      <c r="S16">
        <v>5</v>
      </c>
      <c r="T16">
        <v>16.019131183624271</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E3DD-8A5C-4AA4-AD34-EFE870B9D592}">
  <dimension ref="A1:T16"/>
  <sheetViews>
    <sheetView workbookViewId="0">
      <selection activeCell="J2" sqref="J2"/>
    </sheetView>
  </sheetViews>
  <sheetFormatPr baseColWidth="10" defaultRowHeight="15" x14ac:dyDescent="0.25"/>
  <cols>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0.94444444444444442</v>
      </c>
      <c r="K2">
        <v>1</v>
      </c>
      <c r="L2">
        <v>0.47777777776185187</v>
      </c>
      <c r="M2">
        <v>0.69174534625042605</v>
      </c>
      <c r="N2">
        <v>0.1111111109876543</v>
      </c>
      <c r="O2">
        <v>0.84578900131503387</v>
      </c>
      <c r="P2">
        <v>0</v>
      </c>
      <c r="Q2">
        <v>0</v>
      </c>
      <c r="R2">
        <v>31.847076416015621</v>
      </c>
      <c r="S2">
        <v>5</v>
      </c>
      <c r="T2">
        <v>31.847076416015621</v>
      </c>
    </row>
    <row r="3" spans="1:20" ht="409.5" x14ac:dyDescent="0.25">
      <c r="A3">
        <v>8</v>
      </c>
      <c r="B3" t="s">
        <v>20</v>
      </c>
      <c r="C3" t="s">
        <v>32</v>
      </c>
      <c r="D3" s="2" t="s">
        <v>33</v>
      </c>
      <c r="E3" s="2" t="s">
        <v>34</v>
      </c>
      <c r="F3" s="2" t="s">
        <v>35</v>
      </c>
      <c r="G3" s="2" t="s">
        <v>36</v>
      </c>
      <c r="H3" t="s">
        <v>37</v>
      </c>
      <c r="I3" t="s">
        <v>29</v>
      </c>
      <c r="J3" s="4">
        <v>0.5</v>
      </c>
      <c r="K3">
        <v>0</v>
      </c>
      <c r="L3">
        <v>0</v>
      </c>
      <c r="M3">
        <v>0.68219252845269107</v>
      </c>
      <c r="N3">
        <v>0</v>
      </c>
      <c r="O3">
        <v>0</v>
      </c>
      <c r="P3">
        <v>0</v>
      </c>
      <c r="Q3">
        <v>0</v>
      </c>
      <c r="R3">
        <v>13.16566491127014</v>
      </c>
      <c r="S3">
        <v>5</v>
      </c>
      <c r="T3">
        <v>13.16566491127014</v>
      </c>
    </row>
    <row r="4" spans="1:20" ht="409.5" x14ac:dyDescent="0.25">
      <c r="A4">
        <v>11</v>
      </c>
      <c r="B4" t="s">
        <v>38</v>
      </c>
      <c r="C4" t="s">
        <v>21</v>
      </c>
      <c r="D4" s="2" t="s">
        <v>39</v>
      </c>
      <c r="E4" s="2" t="s">
        <v>40</v>
      </c>
      <c r="F4" s="2" t="s">
        <v>41</v>
      </c>
      <c r="G4" s="2" t="s">
        <v>42</v>
      </c>
      <c r="H4" t="s">
        <v>43</v>
      </c>
      <c r="I4" t="s">
        <v>44</v>
      </c>
      <c r="J4" s="3">
        <v>0.83333333333333337</v>
      </c>
      <c r="K4">
        <v>1</v>
      </c>
      <c r="L4">
        <v>0.99999999995</v>
      </c>
      <c r="M4">
        <v>0.71741346021913099</v>
      </c>
      <c r="N4">
        <v>0.79999999919999998</v>
      </c>
      <c r="O4">
        <v>0</v>
      </c>
      <c r="P4">
        <v>0.5</v>
      </c>
      <c r="Q4">
        <v>1</v>
      </c>
      <c r="R4">
        <v>10.40932035446167</v>
      </c>
      <c r="S4">
        <v>5</v>
      </c>
      <c r="T4">
        <v>10.40932035446167</v>
      </c>
    </row>
    <row r="5" spans="1:20" ht="409.5" x14ac:dyDescent="0.25">
      <c r="A5">
        <v>17</v>
      </c>
      <c r="B5" t="s">
        <v>46</v>
      </c>
      <c r="C5" t="s">
        <v>28</v>
      </c>
      <c r="D5" s="2" t="s">
        <v>47</v>
      </c>
      <c r="E5" s="2" t="s">
        <v>48</v>
      </c>
      <c r="F5" s="2" t="s">
        <v>49</v>
      </c>
      <c r="G5" s="2" t="s">
        <v>50</v>
      </c>
      <c r="H5" t="s">
        <v>51</v>
      </c>
      <c r="I5" t="s">
        <v>30</v>
      </c>
      <c r="J5" s="3">
        <v>0.8</v>
      </c>
      <c r="K5">
        <v>0</v>
      </c>
      <c r="L5">
        <v>0.19999999998000001</v>
      </c>
      <c r="M5">
        <v>0.77592699340364291</v>
      </c>
      <c r="N5">
        <v>0.44444444395061722</v>
      </c>
      <c r="O5">
        <v>0.87199182957967969</v>
      </c>
      <c r="P5">
        <v>0.5</v>
      </c>
      <c r="Q5">
        <v>1</v>
      </c>
      <c r="R5">
        <v>9.1491155624389648</v>
      </c>
      <c r="S5">
        <v>5</v>
      </c>
      <c r="T5">
        <v>9.1491155624389648</v>
      </c>
    </row>
    <row r="6" spans="1:20" ht="409.5" x14ac:dyDescent="0.25">
      <c r="A6">
        <v>20</v>
      </c>
      <c r="B6" t="s">
        <v>46</v>
      </c>
      <c r="C6" t="s">
        <v>32</v>
      </c>
      <c r="D6" s="2" t="s">
        <v>54</v>
      </c>
      <c r="E6" s="2" t="s">
        <v>55</v>
      </c>
      <c r="F6" s="2" t="s">
        <v>56</v>
      </c>
      <c r="G6" s="2" t="s">
        <v>57</v>
      </c>
      <c r="H6" t="s">
        <v>58</v>
      </c>
      <c r="I6" t="s">
        <v>30</v>
      </c>
      <c r="J6" s="5">
        <v>0.6</v>
      </c>
      <c r="K6">
        <v>0</v>
      </c>
      <c r="L6">
        <v>0.99999999989999999</v>
      </c>
      <c r="M6">
        <v>0.54732096792325347</v>
      </c>
      <c r="N6">
        <v>0.77777777691358019</v>
      </c>
      <c r="O6">
        <v>0.79382326567130201</v>
      </c>
      <c r="P6">
        <v>1</v>
      </c>
      <c r="Q6">
        <v>1</v>
      </c>
      <c r="R6">
        <v>18.27154541015625</v>
      </c>
      <c r="S6">
        <v>5</v>
      </c>
      <c r="T6">
        <v>18.27154541015625</v>
      </c>
    </row>
    <row r="7" spans="1:20" ht="409.5" x14ac:dyDescent="0.25">
      <c r="A7">
        <v>30</v>
      </c>
      <c r="B7" t="s">
        <v>59</v>
      </c>
      <c r="C7" t="s">
        <v>28</v>
      </c>
      <c r="D7" s="2" t="s">
        <v>66</v>
      </c>
      <c r="E7" s="2" t="s">
        <v>67</v>
      </c>
      <c r="F7" s="2" t="s">
        <v>68</v>
      </c>
      <c r="G7" s="2" t="s">
        <v>69</v>
      </c>
      <c r="H7" t="s">
        <v>70</v>
      </c>
      <c r="I7" t="s">
        <v>30</v>
      </c>
      <c r="J7" s="3">
        <v>1</v>
      </c>
      <c r="K7">
        <v>1</v>
      </c>
      <c r="L7">
        <v>0</v>
      </c>
      <c r="M7">
        <v>0.86740094111044419</v>
      </c>
      <c r="N7">
        <v>0.19999999960000001</v>
      </c>
      <c r="O7">
        <v>0.90361799764373485</v>
      </c>
      <c r="P7">
        <v>0</v>
      </c>
      <c r="Q7">
        <v>0</v>
      </c>
      <c r="R7">
        <v>11.04914927482605</v>
      </c>
      <c r="S7">
        <v>5</v>
      </c>
      <c r="T7">
        <v>11.04914927482605</v>
      </c>
    </row>
    <row r="8" spans="1:20" ht="409.5" x14ac:dyDescent="0.25">
      <c r="A8">
        <v>33</v>
      </c>
      <c r="B8" t="s">
        <v>65</v>
      </c>
      <c r="C8" t="s">
        <v>28</v>
      </c>
      <c r="D8" s="2" t="s">
        <v>71</v>
      </c>
      <c r="E8" s="2" t="s">
        <v>72</v>
      </c>
      <c r="F8" s="2" t="s">
        <v>73</v>
      </c>
      <c r="G8" s="2" t="s">
        <v>74</v>
      </c>
      <c r="H8" t="s">
        <v>75</v>
      </c>
      <c r="I8" t="s">
        <v>27</v>
      </c>
      <c r="J8" s="3">
        <v>0.83333333333333337</v>
      </c>
      <c r="K8">
        <v>1</v>
      </c>
      <c r="L8">
        <v>0.8666666666377778</v>
      </c>
      <c r="M8">
        <v>0.88175794034474853</v>
      </c>
      <c r="N8">
        <v>0.99999999500000003</v>
      </c>
      <c r="O8">
        <v>0.96393741104571706</v>
      </c>
      <c r="P8">
        <v>0.2</v>
      </c>
      <c r="Q8">
        <v>1</v>
      </c>
      <c r="R8">
        <v>9.1217787265777588</v>
      </c>
      <c r="S8">
        <v>5</v>
      </c>
      <c r="T8">
        <v>9.1217787265777588</v>
      </c>
    </row>
    <row r="9" spans="1:20" ht="409.5" x14ac:dyDescent="0.25">
      <c r="A9">
        <v>34</v>
      </c>
      <c r="B9" t="s">
        <v>65</v>
      </c>
      <c r="C9" t="s">
        <v>21</v>
      </c>
      <c r="D9" s="2" t="s">
        <v>78</v>
      </c>
      <c r="E9" s="2" t="s">
        <v>79</v>
      </c>
      <c r="F9" s="2" t="s">
        <v>80</v>
      </c>
      <c r="G9" s="2" t="s">
        <v>81</v>
      </c>
      <c r="H9" t="s">
        <v>82</v>
      </c>
      <c r="I9" t="s">
        <v>44</v>
      </c>
      <c r="J9" s="4">
        <v>0</v>
      </c>
      <c r="K9">
        <v>0</v>
      </c>
      <c r="L9">
        <v>0</v>
      </c>
      <c r="M9">
        <v>0.76584728450071693</v>
      </c>
      <c r="N9">
        <v>0</v>
      </c>
      <c r="O9">
        <v>0.96368457269512253</v>
      </c>
      <c r="P9">
        <v>0.33333333333333331</v>
      </c>
      <c r="Q9">
        <v>1</v>
      </c>
      <c r="R9">
        <v>16.61525297164917</v>
      </c>
      <c r="S9">
        <v>5</v>
      </c>
      <c r="T9">
        <v>16.61525297164917</v>
      </c>
    </row>
    <row r="10" spans="1:20" ht="409.5" x14ac:dyDescent="0.25">
      <c r="A10">
        <v>64</v>
      </c>
      <c r="B10" t="s">
        <v>77</v>
      </c>
      <c r="C10" t="s">
        <v>21</v>
      </c>
      <c r="D10" s="2" t="s">
        <v>83</v>
      </c>
      <c r="E10" s="2" t="s">
        <v>84</v>
      </c>
      <c r="F10" s="2" t="s">
        <v>85</v>
      </c>
      <c r="G10" s="2" t="s">
        <v>86</v>
      </c>
      <c r="H10" t="s">
        <v>87</v>
      </c>
      <c r="I10" t="s">
        <v>88</v>
      </c>
      <c r="J10" s="4">
        <v>0</v>
      </c>
      <c r="K10">
        <v>0.2857142857142857</v>
      </c>
      <c r="L10">
        <v>0</v>
      </c>
      <c r="M10">
        <v>0.67507926277689445</v>
      </c>
      <c r="N10">
        <v>0</v>
      </c>
      <c r="O10">
        <v>0</v>
      </c>
      <c r="P10">
        <v>0</v>
      </c>
      <c r="Q10">
        <v>0</v>
      </c>
      <c r="R10">
        <v>11.4879937171936</v>
      </c>
      <c r="S10">
        <v>5</v>
      </c>
      <c r="T10">
        <v>11.4879937171936</v>
      </c>
    </row>
    <row r="11" spans="1:20" ht="409.5" x14ac:dyDescent="0.25">
      <c r="A11">
        <v>65</v>
      </c>
      <c r="B11" t="s">
        <v>77</v>
      </c>
      <c r="C11" t="s">
        <v>32</v>
      </c>
      <c r="D11" s="2" t="s">
        <v>89</v>
      </c>
      <c r="E11" s="2" t="s">
        <v>90</v>
      </c>
      <c r="F11" s="2" t="s">
        <v>91</v>
      </c>
      <c r="G11" s="2" t="s">
        <v>92</v>
      </c>
      <c r="H11" t="s">
        <v>93</v>
      </c>
      <c r="I11" t="s">
        <v>30</v>
      </c>
      <c r="J11" s="4">
        <v>0.55555555555555558</v>
      </c>
      <c r="K11">
        <v>1</v>
      </c>
      <c r="L11">
        <v>0.33333333329999998</v>
      </c>
      <c r="M11">
        <v>0.85285397946863595</v>
      </c>
      <c r="N11">
        <v>0.1249999999479167</v>
      </c>
      <c r="O11">
        <v>0</v>
      </c>
      <c r="P11">
        <v>0.33333333333333331</v>
      </c>
      <c r="Q11">
        <v>1</v>
      </c>
      <c r="R11">
        <v>24.864171504974369</v>
      </c>
      <c r="S11">
        <v>5</v>
      </c>
      <c r="T11">
        <v>24.864171504974369</v>
      </c>
    </row>
    <row r="12" spans="1:20" ht="409.5" x14ac:dyDescent="0.25">
      <c r="A12">
        <v>84</v>
      </c>
      <c r="B12" t="s">
        <v>65</v>
      </c>
      <c r="C12" t="s">
        <v>21</v>
      </c>
      <c r="D12" s="2" t="s">
        <v>95</v>
      </c>
      <c r="E12" s="2" t="s">
        <v>96</v>
      </c>
      <c r="F12" s="2" t="s">
        <v>97</v>
      </c>
      <c r="G12" s="2" t="s">
        <v>98</v>
      </c>
      <c r="H12" t="s">
        <v>99</v>
      </c>
      <c r="I12" t="s">
        <v>31</v>
      </c>
      <c r="J12" s="3">
        <v>0.9285714285714286</v>
      </c>
      <c r="K12">
        <v>0.8</v>
      </c>
      <c r="L12">
        <v>0.83333333329166659</v>
      </c>
      <c r="M12">
        <v>0.71745191536450648</v>
      </c>
      <c r="N12">
        <v>0</v>
      </c>
      <c r="O12">
        <v>0.97927291860309695</v>
      </c>
      <c r="P12">
        <v>0</v>
      </c>
      <c r="Q12">
        <v>0</v>
      </c>
      <c r="R12">
        <v>16.892225980758671</v>
      </c>
      <c r="S12">
        <v>5</v>
      </c>
      <c r="T12">
        <v>16.892225980758671</v>
      </c>
    </row>
    <row r="13" spans="1:20" ht="409.5" x14ac:dyDescent="0.25">
      <c r="A13">
        <v>89</v>
      </c>
      <c r="B13" t="s">
        <v>94</v>
      </c>
      <c r="C13" t="s">
        <v>28</v>
      </c>
      <c r="D13" s="2" t="s">
        <v>100</v>
      </c>
      <c r="E13" s="2" t="s">
        <v>101</v>
      </c>
      <c r="F13" s="2" t="s">
        <v>102</v>
      </c>
      <c r="G13" s="2" t="s">
        <v>103</v>
      </c>
      <c r="H13" t="s">
        <v>104</v>
      </c>
      <c r="I13" t="s">
        <v>31</v>
      </c>
      <c r="J13" s="4">
        <v>0</v>
      </c>
      <c r="K13">
        <v>0</v>
      </c>
      <c r="L13">
        <v>0</v>
      </c>
      <c r="M13">
        <v>0.57422403734337246</v>
      </c>
      <c r="N13">
        <v>0</v>
      </c>
      <c r="O13">
        <v>0</v>
      </c>
      <c r="P13">
        <v>0</v>
      </c>
      <c r="Q13">
        <v>0</v>
      </c>
      <c r="R13">
        <v>18.279784679412838</v>
      </c>
      <c r="S13">
        <v>5</v>
      </c>
      <c r="T13">
        <v>18.279784679412838</v>
      </c>
    </row>
    <row r="14" spans="1:20" ht="409.5" x14ac:dyDescent="0.25">
      <c r="A14">
        <v>91</v>
      </c>
      <c r="B14" t="s">
        <v>94</v>
      </c>
      <c r="C14" t="s">
        <v>32</v>
      </c>
      <c r="D14" s="2" t="s">
        <v>105</v>
      </c>
      <c r="E14" s="2" t="s">
        <v>106</v>
      </c>
      <c r="F14" s="2" t="s">
        <v>107</v>
      </c>
      <c r="G14" s="2" t="s">
        <v>108</v>
      </c>
      <c r="H14" t="s">
        <v>109</v>
      </c>
      <c r="I14" t="s">
        <v>31</v>
      </c>
      <c r="J14" s="4">
        <v>0.53846153846153844</v>
      </c>
      <c r="K14">
        <v>0.6</v>
      </c>
      <c r="L14">
        <v>0.83333333329166659</v>
      </c>
      <c r="M14">
        <v>0.89307463717486524</v>
      </c>
      <c r="N14">
        <v>0.21052631567867039</v>
      </c>
      <c r="O14">
        <v>0</v>
      </c>
      <c r="P14">
        <v>1</v>
      </c>
      <c r="Q14">
        <v>1</v>
      </c>
      <c r="R14">
        <v>18.270648241043091</v>
      </c>
      <c r="S14">
        <v>5</v>
      </c>
      <c r="T14">
        <v>18.270648241043091</v>
      </c>
    </row>
    <row r="15" spans="1:20" ht="409.5" x14ac:dyDescent="0.25">
      <c r="A15">
        <v>97</v>
      </c>
      <c r="B15" t="s">
        <v>94</v>
      </c>
      <c r="C15" t="s">
        <v>32</v>
      </c>
      <c r="D15" s="2" t="s">
        <v>110</v>
      </c>
      <c r="E15" s="2" t="s">
        <v>111</v>
      </c>
      <c r="F15" s="2" t="s">
        <v>112</v>
      </c>
      <c r="G15" s="2" t="s">
        <v>113</v>
      </c>
      <c r="H15" t="s">
        <v>114</v>
      </c>
      <c r="I15" t="s">
        <v>52</v>
      </c>
      <c r="J15" s="3">
        <v>0.89473684210526316</v>
      </c>
      <c r="K15">
        <v>0.66666666666666663</v>
      </c>
      <c r="L15">
        <v>0.80555555552870362</v>
      </c>
      <c r="M15">
        <v>0.87738409874872403</v>
      </c>
      <c r="N15">
        <v>0</v>
      </c>
      <c r="O15">
        <v>0</v>
      </c>
      <c r="P15">
        <v>0.33333333333333331</v>
      </c>
      <c r="Q15">
        <v>1</v>
      </c>
      <c r="R15">
        <v>25.263578414916989</v>
      </c>
      <c r="S15">
        <v>5</v>
      </c>
      <c r="T15">
        <v>25.263578414916989</v>
      </c>
    </row>
    <row r="16" spans="1:20" ht="409.5" x14ac:dyDescent="0.25">
      <c r="A16">
        <v>110</v>
      </c>
      <c r="B16" t="s">
        <v>94</v>
      </c>
      <c r="C16" t="s">
        <v>28</v>
      </c>
      <c r="D16" s="2" t="s">
        <v>60</v>
      </c>
      <c r="E16" s="2" t="s">
        <v>61</v>
      </c>
      <c r="F16" s="2" t="s">
        <v>62</v>
      </c>
      <c r="G16" s="2" t="s">
        <v>63</v>
      </c>
      <c r="H16" t="s">
        <v>64</v>
      </c>
      <c r="I16" t="s">
        <v>45</v>
      </c>
      <c r="J16" s="4">
        <v>0.2857142857142857</v>
      </c>
      <c r="K16">
        <v>1</v>
      </c>
      <c r="L16">
        <v>0.47777777776185187</v>
      </c>
      <c r="M16">
        <v>0.85351900611722364</v>
      </c>
      <c r="N16">
        <v>0.66666666444444445</v>
      </c>
      <c r="O16">
        <v>0</v>
      </c>
      <c r="P16">
        <v>0.25</v>
      </c>
      <c r="Q16">
        <v>1</v>
      </c>
      <c r="R16">
        <v>10.780250310897831</v>
      </c>
      <c r="S16">
        <v>5</v>
      </c>
      <c r="T16">
        <v>10.780250310897831</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2A7C-9A0A-48DB-8B0E-B450130CCF37}">
  <dimension ref="A1:V16"/>
  <sheetViews>
    <sheetView topLeftCell="E1" workbookViewId="0">
      <selection activeCell="H2" sqref="H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2"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2" ht="409.5" x14ac:dyDescent="0.25">
      <c r="A2">
        <v>1</v>
      </c>
      <c r="B2" t="s">
        <v>20</v>
      </c>
      <c r="C2" t="s">
        <v>21</v>
      </c>
      <c r="D2" s="2" t="s">
        <v>22</v>
      </c>
      <c r="E2" s="2" t="s">
        <v>23</v>
      </c>
      <c r="F2" s="2" t="s">
        <v>24</v>
      </c>
      <c r="G2" s="2" t="s">
        <v>25</v>
      </c>
      <c r="H2" t="s">
        <v>26</v>
      </c>
      <c r="I2" t="s">
        <v>27</v>
      </c>
      <c r="J2" s="3">
        <v>0.94117647058823528</v>
      </c>
      <c r="K2">
        <v>1</v>
      </c>
      <c r="L2">
        <v>0.6791666666496875</v>
      </c>
      <c r="M2">
        <v>0.69174534625042605</v>
      </c>
      <c r="N2">
        <v>0.1111111109876543</v>
      </c>
      <c r="O2">
        <v>0.84578900131503387</v>
      </c>
      <c r="P2">
        <v>0</v>
      </c>
      <c r="Q2">
        <v>0</v>
      </c>
      <c r="R2">
        <v>45.547114849090583</v>
      </c>
      <c r="S2">
        <v>5</v>
      </c>
      <c r="T2">
        <v>45.547114849090583</v>
      </c>
    </row>
    <row r="3" spans="1:22" ht="409.5" x14ac:dyDescent="0.25">
      <c r="A3">
        <v>8</v>
      </c>
      <c r="B3" t="s">
        <v>20</v>
      </c>
      <c r="C3" t="s">
        <v>32</v>
      </c>
      <c r="D3" s="2" t="s">
        <v>33</v>
      </c>
      <c r="E3" s="2" t="s">
        <v>34</v>
      </c>
      <c r="F3" s="2" t="s">
        <v>35</v>
      </c>
      <c r="G3" s="2" t="s">
        <v>36</v>
      </c>
      <c r="H3" t="s">
        <v>37</v>
      </c>
      <c r="I3" t="s">
        <v>29</v>
      </c>
      <c r="J3" s="5">
        <v>0.61538461538461542</v>
      </c>
      <c r="K3">
        <v>0</v>
      </c>
      <c r="L3">
        <v>0</v>
      </c>
      <c r="M3">
        <v>0.71366373138551342</v>
      </c>
      <c r="N3">
        <v>0</v>
      </c>
      <c r="O3">
        <v>0</v>
      </c>
      <c r="P3">
        <v>0</v>
      </c>
      <c r="Q3">
        <v>0</v>
      </c>
      <c r="R3">
        <v>10.010499954223629</v>
      </c>
      <c r="S3">
        <v>5</v>
      </c>
      <c r="T3">
        <v>10.010499954223629</v>
      </c>
    </row>
    <row r="4" spans="1:22" ht="409.5" x14ac:dyDescent="0.25">
      <c r="A4">
        <v>11</v>
      </c>
      <c r="B4" t="s">
        <v>38</v>
      </c>
      <c r="C4" t="s">
        <v>21</v>
      </c>
      <c r="D4" s="2" t="s">
        <v>39</v>
      </c>
      <c r="E4" s="2" t="s">
        <v>40</v>
      </c>
      <c r="F4" s="2" t="s">
        <v>41</v>
      </c>
      <c r="G4" s="2" t="s">
        <v>42</v>
      </c>
      <c r="H4" t="s">
        <v>43</v>
      </c>
      <c r="I4" t="s">
        <v>44</v>
      </c>
      <c r="J4" s="4">
        <v>0.2</v>
      </c>
      <c r="K4">
        <v>1</v>
      </c>
      <c r="L4">
        <v>0.94999999997624995</v>
      </c>
      <c r="M4">
        <v>0.71741346021913099</v>
      </c>
      <c r="N4">
        <v>0.54545454495867762</v>
      </c>
      <c r="O4">
        <v>0</v>
      </c>
      <c r="P4">
        <v>0.5</v>
      </c>
      <c r="Q4">
        <v>1</v>
      </c>
      <c r="R4">
        <v>9.4738509654998779</v>
      </c>
      <c r="S4">
        <v>5</v>
      </c>
      <c r="T4">
        <v>9.4738509654998779</v>
      </c>
      <c r="U4" s="10" t="s">
        <v>159</v>
      </c>
      <c r="V4" s="10" t="s">
        <v>160</v>
      </c>
    </row>
    <row r="5" spans="1:22" ht="409.5" x14ac:dyDescent="0.25">
      <c r="A5">
        <v>17</v>
      </c>
      <c r="B5" t="s">
        <v>46</v>
      </c>
      <c r="C5" t="s">
        <v>28</v>
      </c>
      <c r="D5" s="2" t="s">
        <v>47</v>
      </c>
      <c r="E5" s="2" t="s">
        <v>48</v>
      </c>
      <c r="F5" s="2" t="s">
        <v>49</v>
      </c>
      <c r="G5" s="2" t="s">
        <v>50</v>
      </c>
      <c r="H5" t="s">
        <v>51</v>
      </c>
      <c r="I5" t="s">
        <v>30</v>
      </c>
      <c r="J5" s="5">
        <v>0.6</v>
      </c>
      <c r="K5">
        <v>0</v>
      </c>
      <c r="L5">
        <v>0.19999999998000001</v>
      </c>
      <c r="M5">
        <v>0.76307917657424806</v>
      </c>
      <c r="N5">
        <v>0.39999999959999999</v>
      </c>
      <c r="O5">
        <v>0</v>
      </c>
      <c r="P5">
        <v>0.5</v>
      </c>
      <c r="Q5">
        <v>1</v>
      </c>
      <c r="R5">
        <v>7.7230634689331046</v>
      </c>
      <c r="S5">
        <v>5</v>
      </c>
      <c r="T5">
        <v>7.7230634689331046</v>
      </c>
    </row>
    <row r="6" spans="1:22" ht="409.5" x14ac:dyDescent="0.25">
      <c r="A6">
        <v>20</v>
      </c>
      <c r="B6" t="s">
        <v>46</v>
      </c>
      <c r="C6" t="s">
        <v>32</v>
      </c>
      <c r="D6" s="2" t="s">
        <v>54</v>
      </c>
      <c r="E6" s="2" t="s">
        <v>55</v>
      </c>
      <c r="F6" s="2" t="s">
        <v>56</v>
      </c>
      <c r="G6" s="2" t="s">
        <v>57</v>
      </c>
      <c r="H6" t="s">
        <v>58</v>
      </c>
      <c r="I6" t="s">
        <v>30</v>
      </c>
      <c r="J6" s="3">
        <v>0.8</v>
      </c>
      <c r="K6">
        <v>0.88888888888888884</v>
      </c>
      <c r="L6">
        <v>0.69999999996499995</v>
      </c>
      <c r="M6">
        <v>0.54732096792325347</v>
      </c>
      <c r="N6">
        <v>0.1111111109876543</v>
      </c>
      <c r="O6">
        <v>0.79459901118418097</v>
      </c>
      <c r="P6">
        <v>1</v>
      </c>
      <c r="Q6">
        <v>1</v>
      </c>
      <c r="R6">
        <v>8.7654869556427002</v>
      </c>
      <c r="S6">
        <v>5</v>
      </c>
      <c r="T6">
        <v>8.7654869556427002</v>
      </c>
    </row>
    <row r="7" spans="1:22" ht="409.5" x14ac:dyDescent="0.25">
      <c r="A7">
        <v>30</v>
      </c>
      <c r="B7" t="s">
        <v>59</v>
      </c>
      <c r="C7" t="s">
        <v>28</v>
      </c>
      <c r="D7" s="2" t="s">
        <v>66</v>
      </c>
      <c r="E7" s="2" t="s">
        <v>67</v>
      </c>
      <c r="F7" s="2" t="s">
        <v>68</v>
      </c>
      <c r="G7" s="2" t="s">
        <v>69</v>
      </c>
      <c r="H7" t="s">
        <v>70</v>
      </c>
      <c r="I7" t="s">
        <v>30</v>
      </c>
      <c r="J7" s="3">
        <v>1</v>
      </c>
      <c r="K7">
        <v>1</v>
      </c>
      <c r="L7">
        <v>0.8666666666377778</v>
      </c>
      <c r="M7">
        <v>0.88175794034474853</v>
      </c>
      <c r="N7">
        <v>0.33333333222222222</v>
      </c>
      <c r="O7">
        <v>0.95019120770547782</v>
      </c>
      <c r="P7">
        <v>0</v>
      </c>
      <c r="Q7">
        <v>0</v>
      </c>
      <c r="R7">
        <v>8.1560134887695313</v>
      </c>
      <c r="S7">
        <v>5</v>
      </c>
      <c r="T7">
        <v>8.1560134887695313</v>
      </c>
    </row>
    <row r="8" spans="1:22" ht="409.5" x14ac:dyDescent="0.25">
      <c r="A8">
        <v>33</v>
      </c>
      <c r="B8" t="s">
        <v>65</v>
      </c>
      <c r="C8" t="s">
        <v>28</v>
      </c>
      <c r="D8" s="2" t="s">
        <v>71</v>
      </c>
      <c r="E8" s="2" t="s">
        <v>72</v>
      </c>
      <c r="F8" s="2" t="s">
        <v>73</v>
      </c>
      <c r="G8" s="2" t="s">
        <v>74</v>
      </c>
      <c r="H8" t="s">
        <v>75</v>
      </c>
      <c r="I8" t="s">
        <v>27</v>
      </c>
      <c r="J8" s="4">
        <v>0</v>
      </c>
      <c r="K8">
        <v>0</v>
      </c>
      <c r="L8">
        <v>0</v>
      </c>
      <c r="M8">
        <v>0.74801993950570767</v>
      </c>
      <c r="N8">
        <v>0</v>
      </c>
      <c r="O8">
        <v>0.96368457269512253</v>
      </c>
      <c r="P8">
        <v>0.33333333333333331</v>
      </c>
      <c r="Q8">
        <v>1</v>
      </c>
      <c r="R8">
        <v>11.905722618103029</v>
      </c>
      <c r="S8">
        <v>5</v>
      </c>
      <c r="T8">
        <v>11.905722618103029</v>
      </c>
    </row>
    <row r="9" spans="1:22" ht="409.5" x14ac:dyDescent="0.25">
      <c r="A9">
        <v>34</v>
      </c>
      <c r="B9" t="s">
        <v>65</v>
      </c>
      <c r="C9" t="s">
        <v>21</v>
      </c>
      <c r="D9" s="2" t="s">
        <v>78</v>
      </c>
      <c r="E9" s="2" t="s">
        <v>79</v>
      </c>
      <c r="F9" s="2" t="s">
        <v>80</v>
      </c>
      <c r="G9" s="2" t="s">
        <v>81</v>
      </c>
      <c r="H9" t="s">
        <v>82</v>
      </c>
      <c r="I9" t="s">
        <v>44</v>
      </c>
      <c r="J9" s="4">
        <v>0.33333333333333331</v>
      </c>
      <c r="K9">
        <v>0</v>
      </c>
      <c r="L9">
        <v>0</v>
      </c>
      <c r="M9">
        <v>0.80823798188452467</v>
      </c>
      <c r="N9">
        <v>5.8823529377162627E-2</v>
      </c>
      <c r="O9">
        <v>0</v>
      </c>
      <c r="P9">
        <v>0</v>
      </c>
      <c r="Q9">
        <v>0</v>
      </c>
      <c r="R9">
        <v>19.49518513679504</v>
      </c>
      <c r="S9">
        <v>5</v>
      </c>
      <c r="T9">
        <v>19.49518513679504</v>
      </c>
    </row>
    <row r="10" spans="1:22" ht="409.5" x14ac:dyDescent="0.25">
      <c r="A10">
        <v>64</v>
      </c>
      <c r="B10" t="s">
        <v>77</v>
      </c>
      <c r="C10" t="s">
        <v>21</v>
      </c>
      <c r="D10" s="2" t="s">
        <v>83</v>
      </c>
      <c r="E10" s="2" t="s">
        <v>84</v>
      </c>
      <c r="F10" s="2" t="s">
        <v>85</v>
      </c>
      <c r="G10" s="2" t="s">
        <v>86</v>
      </c>
      <c r="H10" t="s">
        <v>87</v>
      </c>
      <c r="I10" t="s">
        <v>88</v>
      </c>
      <c r="J10" s="4">
        <v>0.44444444444444442</v>
      </c>
      <c r="K10">
        <v>1</v>
      </c>
      <c r="L10">
        <v>0.7499999999625</v>
      </c>
      <c r="M10">
        <v>0.85041125424598185</v>
      </c>
      <c r="N10">
        <v>0.20588235288062279</v>
      </c>
      <c r="O10">
        <v>0</v>
      </c>
      <c r="P10">
        <v>1</v>
      </c>
      <c r="Q10">
        <v>1</v>
      </c>
      <c r="R10">
        <v>10.89683628082275</v>
      </c>
      <c r="S10">
        <v>5</v>
      </c>
      <c r="T10">
        <v>10.89683628082275</v>
      </c>
    </row>
    <row r="11" spans="1:22" ht="409.5" x14ac:dyDescent="0.25">
      <c r="A11">
        <v>65</v>
      </c>
      <c r="B11" t="s">
        <v>77</v>
      </c>
      <c r="C11" t="s">
        <v>32</v>
      </c>
      <c r="D11" s="2" t="s">
        <v>89</v>
      </c>
      <c r="E11" s="2" t="s">
        <v>90</v>
      </c>
      <c r="F11" s="2" t="s">
        <v>91</v>
      </c>
      <c r="G11" s="2" t="s">
        <v>92</v>
      </c>
      <c r="H11" t="s">
        <v>93</v>
      </c>
      <c r="I11" t="s">
        <v>30</v>
      </c>
      <c r="J11" s="3">
        <v>0.9</v>
      </c>
      <c r="K11">
        <v>0.4</v>
      </c>
      <c r="L11">
        <v>0.75555555553037035</v>
      </c>
      <c r="M11">
        <v>0.72480963765983408</v>
      </c>
      <c r="N11">
        <v>0</v>
      </c>
      <c r="O11">
        <v>0.95987955397349634</v>
      </c>
      <c r="P11">
        <v>0</v>
      </c>
      <c r="Q11">
        <v>0</v>
      </c>
      <c r="R11">
        <v>11.943759441375731</v>
      </c>
      <c r="S11">
        <v>5</v>
      </c>
      <c r="T11">
        <v>11.943759441375731</v>
      </c>
    </row>
    <row r="12" spans="1:22" ht="409.5" x14ac:dyDescent="0.25">
      <c r="A12">
        <v>84</v>
      </c>
      <c r="B12" t="s">
        <v>65</v>
      </c>
      <c r="C12" t="s">
        <v>21</v>
      </c>
      <c r="D12" s="2" t="s">
        <v>95</v>
      </c>
      <c r="E12" s="2" t="s">
        <v>96</v>
      </c>
      <c r="F12" s="2" t="s">
        <v>97</v>
      </c>
      <c r="G12" s="2" t="s">
        <v>98</v>
      </c>
      <c r="H12" t="s">
        <v>99</v>
      </c>
      <c r="I12" t="s">
        <v>31</v>
      </c>
      <c r="J12" s="4">
        <v>0.5</v>
      </c>
      <c r="K12">
        <v>0</v>
      </c>
      <c r="L12">
        <v>0</v>
      </c>
      <c r="M12">
        <v>0.57422403734337246</v>
      </c>
      <c r="N12">
        <v>0</v>
      </c>
      <c r="O12">
        <v>0</v>
      </c>
      <c r="P12">
        <v>0</v>
      </c>
      <c r="Q12">
        <v>0</v>
      </c>
      <c r="R12">
        <v>8.4058101177215576</v>
      </c>
      <c r="S12">
        <v>5</v>
      </c>
      <c r="T12">
        <v>8.4058101177215576</v>
      </c>
    </row>
    <row r="13" spans="1:22" ht="409.5" x14ac:dyDescent="0.25">
      <c r="A13">
        <v>89</v>
      </c>
      <c r="B13" t="s">
        <v>94</v>
      </c>
      <c r="C13" t="s">
        <v>28</v>
      </c>
      <c r="D13" s="2" t="s">
        <v>100</v>
      </c>
      <c r="E13" s="2" t="s">
        <v>101</v>
      </c>
      <c r="F13" s="2" t="s">
        <v>102</v>
      </c>
      <c r="G13" s="2" t="s">
        <v>103</v>
      </c>
      <c r="H13" t="s">
        <v>104</v>
      </c>
      <c r="I13" t="s">
        <v>31</v>
      </c>
      <c r="J13" s="5">
        <v>0.66666666666666663</v>
      </c>
      <c r="K13">
        <v>0.6</v>
      </c>
      <c r="L13">
        <v>0.88749999997781248</v>
      </c>
      <c r="M13">
        <v>0.83352148197934484</v>
      </c>
      <c r="N13">
        <v>0.14999999992499999</v>
      </c>
      <c r="O13">
        <v>0</v>
      </c>
      <c r="P13">
        <v>0</v>
      </c>
      <c r="Q13">
        <v>0</v>
      </c>
      <c r="R13">
        <v>14.452758550643919</v>
      </c>
      <c r="S13">
        <v>5</v>
      </c>
      <c r="T13">
        <v>14.452758550643919</v>
      </c>
    </row>
    <row r="14" spans="1:22" ht="409.5" x14ac:dyDescent="0.25">
      <c r="A14">
        <v>91</v>
      </c>
      <c r="B14" t="s">
        <v>94</v>
      </c>
      <c r="C14" t="s">
        <v>32</v>
      </c>
      <c r="D14" s="2" t="s">
        <v>105</v>
      </c>
      <c r="E14" s="2" t="s">
        <v>106</v>
      </c>
      <c r="F14" s="2" t="s">
        <v>107</v>
      </c>
      <c r="G14" s="2" t="s">
        <v>108</v>
      </c>
      <c r="H14" t="s">
        <v>109</v>
      </c>
      <c r="I14" t="s">
        <v>31</v>
      </c>
      <c r="J14" s="4">
        <v>0.5</v>
      </c>
      <c r="K14">
        <v>0.75</v>
      </c>
      <c r="L14">
        <v>0.99999999998</v>
      </c>
      <c r="M14">
        <v>0.83696191881469706</v>
      </c>
      <c r="N14">
        <v>0.12499999984375</v>
      </c>
      <c r="O14">
        <v>0.87540317137051504</v>
      </c>
      <c r="P14">
        <v>0</v>
      </c>
      <c r="Q14">
        <v>0</v>
      </c>
      <c r="R14">
        <v>15.475528955459589</v>
      </c>
      <c r="S14">
        <v>5</v>
      </c>
      <c r="T14">
        <v>15.475528955459589</v>
      </c>
    </row>
    <row r="15" spans="1:22" ht="409.5" x14ac:dyDescent="0.25">
      <c r="A15">
        <v>97</v>
      </c>
      <c r="B15" t="s">
        <v>94</v>
      </c>
      <c r="C15" t="s">
        <v>32</v>
      </c>
      <c r="D15" s="2" t="s">
        <v>110</v>
      </c>
      <c r="E15" s="2" t="s">
        <v>111</v>
      </c>
      <c r="F15" s="2" t="s">
        <v>112</v>
      </c>
      <c r="G15" s="2" t="s">
        <v>113</v>
      </c>
      <c r="H15" t="s">
        <v>114</v>
      </c>
      <c r="I15" t="s">
        <v>52</v>
      </c>
      <c r="J15" s="5">
        <v>0.6</v>
      </c>
      <c r="K15">
        <v>0.25</v>
      </c>
      <c r="L15">
        <v>0.99999999995</v>
      </c>
      <c r="M15">
        <v>0.76220810325268817</v>
      </c>
      <c r="N15">
        <v>4.9999999975000001E-2</v>
      </c>
      <c r="O15">
        <v>0.98361773256739216</v>
      </c>
      <c r="P15">
        <v>0</v>
      </c>
      <c r="Q15">
        <v>0</v>
      </c>
      <c r="R15">
        <v>16.019131183624271</v>
      </c>
      <c r="S15">
        <v>5</v>
      </c>
      <c r="T15">
        <v>16.019131183624271</v>
      </c>
    </row>
    <row r="16" spans="1:22" ht="409.5" x14ac:dyDescent="0.25">
      <c r="A16">
        <v>110</v>
      </c>
      <c r="B16" t="s">
        <v>94</v>
      </c>
      <c r="C16" t="s">
        <v>28</v>
      </c>
      <c r="D16" s="2" t="s">
        <v>60</v>
      </c>
      <c r="E16" s="2" t="s">
        <v>61</v>
      </c>
      <c r="F16" s="2" t="s">
        <v>62</v>
      </c>
      <c r="G16" s="2" t="s">
        <v>63</v>
      </c>
      <c r="H16" t="s">
        <v>64</v>
      </c>
      <c r="I16" t="s">
        <v>45</v>
      </c>
      <c r="J16" s="5">
        <v>0.625</v>
      </c>
      <c r="K16">
        <v>0</v>
      </c>
      <c r="L16">
        <v>0</v>
      </c>
      <c r="M16">
        <v>0.86740094111044419</v>
      </c>
      <c r="N16">
        <v>0.16666666638888891</v>
      </c>
      <c r="O16">
        <v>0.95413189044667701</v>
      </c>
      <c r="P16">
        <v>0</v>
      </c>
      <c r="Q16">
        <v>0</v>
      </c>
      <c r="R16">
        <v>22.873854398727421</v>
      </c>
      <c r="S16">
        <v>5</v>
      </c>
      <c r="T16">
        <v>22.873854398727421</v>
      </c>
    </row>
  </sheetData>
  <autoFilter ref="A1:V16" xr:uid="{F1052A7C-9A0A-48DB-8B0E-B450130CCF37}"/>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BEB6-D338-4C34-9211-9C51E4F06E79}">
  <dimension ref="A1:T16"/>
  <sheetViews>
    <sheetView topLeftCell="F1" workbookViewId="0">
      <selection sqref="A1:D1"/>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4">
        <v>0.51851851851851849</v>
      </c>
      <c r="K2">
        <v>0</v>
      </c>
      <c r="L2">
        <v>0.32499999998375001</v>
      </c>
      <c r="M2">
        <v>0.69174534625042605</v>
      </c>
      <c r="N2">
        <v>0.99999999000000017</v>
      </c>
      <c r="O2">
        <v>0.84705306016682913</v>
      </c>
      <c r="P2">
        <v>0</v>
      </c>
      <c r="Q2">
        <v>0</v>
      </c>
      <c r="R2">
        <v>45.547114849090583</v>
      </c>
      <c r="S2">
        <v>5</v>
      </c>
      <c r="T2">
        <v>45.547114849090583</v>
      </c>
    </row>
    <row r="3" spans="1:20" ht="409.5" x14ac:dyDescent="0.25">
      <c r="A3">
        <v>8</v>
      </c>
      <c r="B3" t="s">
        <v>20</v>
      </c>
      <c r="C3" t="s">
        <v>32</v>
      </c>
      <c r="D3" s="2" t="s">
        <v>33</v>
      </c>
      <c r="E3" s="2" t="s">
        <v>34</v>
      </c>
      <c r="F3" s="2" t="s">
        <v>35</v>
      </c>
      <c r="G3" s="2" t="s">
        <v>36</v>
      </c>
      <c r="H3" t="s">
        <v>37</v>
      </c>
      <c r="I3" t="s">
        <v>29</v>
      </c>
      <c r="J3" s="4">
        <v>0.38461538461538458</v>
      </c>
      <c r="K3">
        <v>0</v>
      </c>
      <c r="L3">
        <v>0</v>
      </c>
      <c r="M3">
        <v>0.71366373138551342</v>
      </c>
      <c r="N3">
        <v>0</v>
      </c>
      <c r="O3">
        <v>0.98983701136776203</v>
      </c>
      <c r="P3">
        <v>0</v>
      </c>
      <c r="Q3">
        <v>0</v>
      </c>
      <c r="R3">
        <v>10.010499954223629</v>
      </c>
      <c r="S3">
        <v>5</v>
      </c>
      <c r="T3">
        <v>10.010499954223629</v>
      </c>
    </row>
    <row r="4" spans="1:20" ht="409.5" x14ac:dyDescent="0.25">
      <c r="A4">
        <v>11</v>
      </c>
      <c r="B4" t="s">
        <v>38</v>
      </c>
      <c r="C4" t="s">
        <v>21</v>
      </c>
      <c r="D4" s="2" t="s">
        <v>39</v>
      </c>
      <c r="E4" s="2" t="s">
        <v>40</v>
      </c>
      <c r="F4" s="2" t="s">
        <v>41</v>
      </c>
      <c r="G4" s="2" t="s">
        <v>42</v>
      </c>
      <c r="H4" t="s">
        <v>43</v>
      </c>
      <c r="I4" t="s">
        <v>44</v>
      </c>
      <c r="J4" s="4">
        <v>0.25</v>
      </c>
      <c r="K4">
        <v>1</v>
      </c>
      <c r="L4">
        <v>0.99999999995</v>
      </c>
      <c r="M4">
        <v>0.71741346021913099</v>
      </c>
      <c r="N4">
        <v>0.72727272661157016</v>
      </c>
      <c r="O4">
        <v>0</v>
      </c>
      <c r="P4">
        <v>0.5</v>
      </c>
      <c r="Q4">
        <v>1</v>
      </c>
      <c r="R4">
        <v>9.4738509654998779</v>
      </c>
      <c r="S4">
        <v>5</v>
      </c>
      <c r="T4">
        <v>9.4738509654998779</v>
      </c>
    </row>
    <row r="5" spans="1:20" ht="409.5" x14ac:dyDescent="0.25">
      <c r="A5">
        <v>17</v>
      </c>
      <c r="B5" t="s">
        <v>46</v>
      </c>
      <c r="C5" t="s">
        <v>28</v>
      </c>
      <c r="D5" s="2" t="s">
        <v>47</v>
      </c>
      <c r="E5" s="2" t="s">
        <v>48</v>
      </c>
      <c r="F5" s="2" t="s">
        <v>49</v>
      </c>
      <c r="G5" s="2" t="s">
        <v>50</v>
      </c>
      <c r="H5" t="s">
        <v>51</v>
      </c>
      <c r="I5" t="s">
        <v>30</v>
      </c>
      <c r="J5" s="4">
        <v>0.1818181818181818</v>
      </c>
      <c r="K5">
        <v>0</v>
      </c>
      <c r="L5">
        <v>0</v>
      </c>
      <c r="M5">
        <v>0.76307917657424806</v>
      </c>
      <c r="N5">
        <v>0.39999999959999999</v>
      </c>
      <c r="O5">
        <v>0</v>
      </c>
      <c r="P5">
        <v>0.5</v>
      </c>
      <c r="Q5">
        <v>1</v>
      </c>
      <c r="R5">
        <v>7.7230634689331046</v>
      </c>
      <c r="S5">
        <v>5</v>
      </c>
      <c r="T5">
        <v>7.7230634689331046</v>
      </c>
    </row>
    <row r="6" spans="1:20" ht="409.5" x14ac:dyDescent="0.25">
      <c r="A6">
        <v>20</v>
      </c>
      <c r="B6" t="s">
        <v>46</v>
      </c>
      <c r="C6" t="s">
        <v>32</v>
      </c>
      <c r="D6" s="2" t="s">
        <v>54</v>
      </c>
      <c r="E6" s="2" t="s">
        <v>55</v>
      </c>
      <c r="F6" s="2" t="s">
        <v>56</v>
      </c>
      <c r="G6" s="2" t="s">
        <v>57</v>
      </c>
      <c r="H6" t="s">
        <v>58</v>
      </c>
      <c r="I6" t="s">
        <v>30</v>
      </c>
      <c r="J6" s="5">
        <v>0.66666666666666663</v>
      </c>
      <c r="K6">
        <v>0</v>
      </c>
      <c r="L6">
        <v>0.99999999989999999</v>
      </c>
      <c r="M6">
        <v>0.54732096792325347</v>
      </c>
      <c r="N6">
        <v>0.1111111109876543</v>
      </c>
      <c r="O6">
        <v>0.80020846897200293</v>
      </c>
      <c r="P6">
        <v>1</v>
      </c>
      <c r="Q6">
        <v>1</v>
      </c>
      <c r="R6">
        <v>8.7654869556427002</v>
      </c>
      <c r="S6">
        <v>5</v>
      </c>
      <c r="T6">
        <v>8.7654869556427002</v>
      </c>
    </row>
    <row r="7" spans="1:20" ht="409.5" x14ac:dyDescent="0.25">
      <c r="A7">
        <v>30</v>
      </c>
      <c r="B7" t="s">
        <v>94</v>
      </c>
      <c r="C7" t="s">
        <v>28</v>
      </c>
      <c r="D7" s="2" t="s">
        <v>60</v>
      </c>
      <c r="E7" s="2" t="s">
        <v>61</v>
      </c>
      <c r="F7" s="2" t="s">
        <v>62</v>
      </c>
      <c r="G7" s="2" t="s">
        <v>63</v>
      </c>
      <c r="H7" t="s">
        <v>64</v>
      </c>
      <c r="I7" t="s">
        <v>45</v>
      </c>
      <c r="J7" s="5">
        <v>0.7</v>
      </c>
      <c r="K7">
        <v>0</v>
      </c>
      <c r="L7">
        <v>0</v>
      </c>
      <c r="M7">
        <v>0.86740094111044419</v>
      </c>
      <c r="N7">
        <v>0</v>
      </c>
      <c r="O7">
        <v>0.96865010466522383</v>
      </c>
      <c r="P7">
        <v>0</v>
      </c>
      <c r="Q7">
        <v>0</v>
      </c>
      <c r="R7">
        <v>22.873854398727421</v>
      </c>
      <c r="S7">
        <v>5</v>
      </c>
      <c r="T7">
        <v>22.873854398727421</v>
      </c>
    </row>
    <row r="8" spans="1:20" ht="409.5" x14ac:dyDescent="0.25">
      <c r="A8">
        <v>33</v>
      </c>
      <c r="B8" t="s">
        <v>59</v>
      </c>
      <c r="C8" t="s">
        <v>28</v>
      </c>
      <c r="D8" s="2" t="s">
        <v>66</v>
      </c>
      <c r="E8" s="2" t="s">
        <v>67</v>
      </c>
      <c r="F8" s="2" t="s">
        <v>68</v>
      </c>
      <c r="G8" s="2" t="s">
        <v>69</v>
      </c>
      <c r="H8" t="s">
        <v>70</v>
      </c>
      <c r="I8" t="s">
        <v>30</v>
      </c>
      <c r="J8" s="4">
        <v>0.5</v>
      </c>
      <c r="K8">
        <v>1</v>
      </c>
      <c r="L8">
        <v>0.8666666666377778</v>
      </c>
      <c r="M8">
        <v>0.88175794034474853</v>
      </c>
      <c r="N8">
        <v>0.49999999750000002</v>
      </c>
      <c r="O8">
        <v>0.95418259378277803</v>
      </c>
      <c r="P8">
        <v>0</v>
      </c>
      <c r="Q8">
        <v>0</v>
      </c>
      <c r="R8">
        <v>8.1560134887695313</v>
      </c>
      <c r="S8">
        <v>5</v>
      </c>
      <c r="T8">
        <v>8.1560134887695313</v>
      </c>
    </row>
    <row r="9" spans="1:20" ht="409.5" x14ac:dyDescent="0.25">
      <c r="A9">
        <v>34</v>
      </c>
      <c r="B9" t="s">
        <v>65</v>
      </c>
      <c r="C9" t="s">
        <v>28</v>
      </c>
      <c r="D9" s="2" t="s">
        <v>71</v>
      </c>
      <c r="E9" s="2" t="s">
        <v>72</v>
      </c>
      <c r="F9" s="2" t="s">
        <v>73</v>
      </c>
      <c r="G9" s="2" t="s">
        <v>74</v>
      </c>
      <c r="H9" t="s">
        <v>75</v>
      </c>
      <c r="I9" t="s">
        <v>27</v>
      </c>
      <c r="J9" s="4">
        <v>0</v>
      </c>
      <c r="K9">
        <v>0</v>
      </c>
      <c r="L9">
        <v>0</v>
      </c>
      <c r="M9">
        <v>0.74801993950570767</v>
      </c>
      <c r="N9">
        <v>0</v>
      </c>
      <c r="O9">
        <v>0.99055562743417502</v>
      </c>
      <c r="P9">
        <v>0.33333333333333331</v>
      </c>
      <c r="Q9">
        <v>1</v>
      </c>
      <c r="R9">
        <v>11.905722618103029</v>
      </c>
      <c r="S9">
        <v>5</v>
      </c>
      <c r="T9">
        <v>11.905722618103029</v>
      </c>
    </row>
    <row r="10" spans="1:20" ht="409.5" x14ac:dyDescent="0.25">
      <c r="A10">
        <v>64</v>
      </c>
      <c r="B10" t="s">
        <v>65</v>
      </c>
      <c r="C10" t="s">
        <v>21</v>
      </c>
      <c r="D10" s="2" t="s">
        <v>78</v>
      </c>
      <c r="E10" s="2" t="s">
        <v>79</v>
      </c>
      <c r="F10" s="2" t="s">
        <v>80</v>
      </c>
      <c r="G10" s="2" t="s">
        <v>81</v>
      </c>
      <c r="H10" t="s">
        <v>82</v>
      </c>
      <c r="I10" t="s">
        <v>44</v>
      </c>
      <c r="J10" s="4">
        <v>0.2608695652173913</v>
      </c>
      <c r="K10">
        <v>0</v>
      </c>
      <c r="L10">
        <v>0</v>
      </c>
      <c r="M10">
        <v>0.80823798188452467</v>
      </c>
      <c r="N10">
        <v>0</v>
      </c>
      <c r="O10">
        <v>0</v>
      </c>
      <c r="P10">
        <v>0</v>
      </c>
      <c r="Q10">
        <v>0</v>
      </c>
      <c r="R10">
        <v>19.49518513679504</v>
      </c>
      <c r="S10">
        <v>5</v>
      </c>
      <c r="T10">
        <v>19.49518513679504</v>
      </c>
    </row>
    <row r="11" spans="1:20" ht="409.5" x14ac:dyDescent="0.25">
      <c r="A11">
        <v>65</v>
      </c>
      <c r="B11" t="s">
        <v>77</v>
      </c>
      <c r="C11" t="s">
        <v>21</v>
      </c>
      <c r="D11" s="2" t="s">
        <v>83</v>
      </c>
      <c r="E11" s="2" t="s">
        <v>84</v>
      </c>
      <c r="F11" s="2" t="s">
        <v>85</v>
      </c>
      <c r="G11" s="2" t="s">
        <v>86</v>
      </c>
      <c r="H11" t="s">
        <v>87</v>
      </c>
      <c r="I11" t="s">
        <v>88</v>
      </c>
      <c r="J11" s="4">
        <v>0.33333333333333331</v>
      </c>
      <c r="K11">
        <v>0.5625</v>
      </c>
      <c r="L11">
        <v>0.99999999989999999</v>
      </c>
      <c r="M11">
        <v>0.85041125424598185</v>
      </c>
      <c r="N11">
        <v>0.23333333325555561</v>
      </c>
      <c r="O11">
        <v>0.76892264566587354</v>
      </c>
      <c r="P11">
        <v>1</v>
      </c>
      <c r="Q11">
        <v>1</v>
      </c>
      <c r="R11">
        <v>10.89683628082275</v>
      </c>
      <c r="S11">
        <v>5</v>
      </c>
      <c r="T11">
        <v>10.89683628082275</v>
      </c>
    </row>
    <row r="12" spans="1:20" ht="409.5" x14ac:dyDescent="0.25">
      <c r="A12">
        <v>84</v>
      </c>
      <c r="B12" t="s">
        <v>77</v>
      </c>
      <c r="C12" t="s">
        <v>32</v>
      </c>
      <c r="D12" s="2" t="s">
        <v>89</v>
      </c>
      <c r="E12" s="2" t="s">
        <v>90</v>
      </c>
      <c r="F12" s="2" t="s">
        <v>91</v>
      </c>
      <c r="G12" s="2" t="s">
        <v>92</v>
      </c>
      <c r="H12" t="s">
        <v>93</v>
      </c>
      <c r="I12" t="s">
        <v>30</v>
      </c>
      <c r="J12" s="5">
        <v>0.76470588235294112</v>
      </c>
      <c r="K12">
        <v>0</v>
      </c>
      <c r="L12">
        <v>0.99999999989999999</v>
      </c>
      <c r="M12">
        <v>0.72480963765983408</v>
      </c>
      <c r="N12">
        <v>0</v>
      </c>
      <c r="O12">
        <v>0.97004105743109115</v>
      </c>
      <c r="P12">
        <v>0</v>
      </c>
      <c r="Q12">
        <v>0</v>
      </c>
      <c r="R12">
        <v>11.943759441375731</v>
      </c>
      <c r="S12">
        <v>5</v>
      </c>
      <c r="T12">
        <v>11.943759441375731</v>
      </c>
    </row>
    <row r="13" spans="1:20" ht="409.5" x14ac:dyDescent="0.25">
      <c r="A13">
        <v>89</v>
      </c>
      <c r="B13" t="s">
        <v>65</v>
      </c>
      <c r="C13" t="s">
        <v>21</v>
      </c>
      <c r="D13" s="2" t="s">
        <v>95</v>
      </c>
      <c r="E13" s="2" t="s">
        <v>96</v>
      </c>
      <c r="F13" s="2" t="s">
        <v>97</v>
      </c>
      <c r="G13" s="2" t="s">
        <v>98</v>
      </c>
      <c r="H13" t="s">
        <v>99</v>
      </c>
      <c r="I13" t="s">
        <v>31</v>
      </c>
      <c r="J13" s="4">
        <v>0</v>
      </c>
      <c r="K13">
        <v>0</v>
      </c>
      <c r="L13">
        <v>0</v>
      </c>
      <c r="M13">
        <v>0.57422403734337246</v>
      </c>
      <c r="N13">
        <v>0</v>
      </c>
      <c r="O13">
        <v>0</v>
      </c>
      <c r="P13">
        <v>0</v>
      </c>
      <c r="Q13">
        <v>0</v>
      </c>
      <c r="R13">
        <v>8.4058101177215576</v>
      </c>
      <c r="S13">
        <v>5</v>
      </c>
      <c r="T13">
        <v>8.4058101177215576</v>
      </c>
    </row>
    <row r="14" spans="1:20" ht="409.5" x14ac:dyDescent="0.25">
      <c r="A14">
        <v>91</v>
      </c>
      <c r="B14" t="s">
        <v>94</v>
      </c>
      <c r="C14" t="s">
        <v>28</v>
      </c>
      <c r="D14" s="2" t="s">
        <v>100</v>
      </c>
      <c r="E14" s="2" t="s">
        <v>101</v>
      </c>
      <c r="F14" s="2" t="s">
        <v>102</v>
      </c>
      <c r="G14" s="2" t="s">
        <v>103</v>
      </c>
      <c r="H14" t="s">
        <v>104</v>
      </c>
      <c r="I14" t="s">
        <v>31</v>
      </c>
      <c r="J14" s="4">
        <v>0.5625</v>
      </c>
      <c r="K14">
        <v>0.4</v>
      </c>
      <c r="L14">
        <v>0.49999999995</v>
      </c>
      <c r="M14">
        <v>0.83352148197934484</v>
      </c>
      <c r="N14">
        <v>0.19047619038548749</v>
      </c>
      <c r="O14">
        <v>0.84329959777248187</v>
      </c>
      <c r="P14">
        <v>0</v>
      </c>
      <c r="Q14">
        <v>0</v>
      </c>
      <c r="R14">
        <v>14.452758550643919</v>
      </c>
      <c r="S14">
        <v>5</v>
      </c>
      <c r="T14">
        <v>14.452758550643919</v>
      </c>
    </row>
    <row r="15" spans="1:20" ht="409.5" x14ac:dyDescent="0.25">
      <c r="A15">
        <v>97</v>
      </c>
      <c r="B15" t="s">
        <v>94</v>
      </c>
      <c r="C15" t="s">
        <v>32</v>
      </c>
      <c r="D15" s="2" t="s">
        <v>105</v>
      </c>
      <c r="E15" s="2" t="s">
        <v>106</v>
      </c>
      <c r="F15" s="2" t="s">
        <v>107</v>
      </c>
      <c r="G15" s="2" t="s">
        <v>108</v>
      </c>
      <c r="H15" t="s">
        <v>109</v>
      </c>
      <c r="I15" t="s">
        <v>31</v>
      </c>
      <c r="J15" s="4">
        <v>0.23076923076923081</v>
      </c>
      <c r="K15">
        <v>0.25</v>
      </c>
      <c r="L15">
        <v>0.6791666666496875</v>
      </c>
      <c r="M15">
        <v>0.83696191881469706</v>
      </c>
      <c r="N15">
        <v>0.16666666638888891</v>
      </c>
      <c r="O15">
        <v>0.83048760313448244</v>
      </c>
      <c r="P15">
        <v>0</v>
      </c>
      <c r="Q15">
        <v>0</v>
      </c>
      <c r="R15">
        <v>15.475528955459589</v>
      </c>
      <c r="S15">
        <v>5</v>
      </c>
      <c r="T15">
        <v>15.475528955459589</v>
      </c>
    </row>
    <row r="16" spans="1:20" ht="409.5" x14ac:dyDescent="0.25">
      <c r="A16">
        <v>110</v>
      </c>
      <c r="B16" t="s">
        <v>94</v>
      </c>
      <c r="C16" t="s">
        <v>32</v>
      </c>
      <c r="D16" s="2" t="s">
        <v>110</v>
      </c>
      <c r="E16" s="2" t="s">
        <v>111</v>
      </c>
      <c r="F16" s="2" t="s">
        <v>112</v>
      </c>
      <c r="G16" s="2" t="s">
        <v>113</v>
      </c>
      <c r="H16" t="s">
        <v>114</v>
      </c>
      <c r="I16" t="s">
        <v>52</v>
      </c>
      <c r="J16" s="4">
        <v>0.2</v>
      </c>
      <c r="K16">
        <v>0</v>
      </c>
      <c r="L16">
        <v>0.49999999995</v>
      </c>
      <c r="M16">
        <v>0.76220810325268817</v>
      </c>
      <c r="N16">
        <v>9.9999999950000001E-2</v>
      </c>
      <c r="O16">
        <v>0.99999999999999967</v>
      </c>
      <c r="P16">
        <v>0</v>
      </c>
      <c r="Q16">
        <v>0</v>
      </c>
      <c r="R16">
        <v>16.019131183624271</v>
      </c>
      <c r="S16">
        <v>5</v>
      </c>
      <c r="T16">
        <v>16.019131183624271</v>
      </c>
    </row>
  </sheetData>
  <autoFilter ref="A1:T16" xr:uid="{00A8BEB6-D338-4C34-9211-9C51E4F06E79}"/>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workbookViewId="0">
      <selection sqref="A1:D1"/>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15" t="s">
        <v>115</v>
      </c>
      <c r="B1" s="16"/>
      <c r="C1" s="16"/>
      <c r="D1" s="16"/>
    </row>
    <row r="3" spans="1:10" ht="15.75" x14ac:dyDescent="0.25">
      <c r="A3" s="6" t="s">
        <v>116</v>
      </c>
    </row>
    <row r="4" spans="1:10" x14ac:dyDescent="0.25">
      <c r="A4" t="s">
        <v>9</v>
      </c>
      <c r="B4" s="5">
        <v>0.64263006338899198</v>
      </c>
    </row>
    <row r="5" spans="1:10" x14ac:dyDescent="0.25">
      <c r="A5" t="s">
        <v>10</v>
      </c>
      <c r="B5" s="5">
        <v>0.68697722567287778</v>
      </c>
    </row>
    <row r="6" spans="1:10" x14ac:dyDescent="0.25">
      <c r="A6" t="s">
        <v>11</v>
      </c>
      <c r="B6" s="5">
        <v>0.71522946857201253</v>
      </c>
    </row>
    <row r="7" spans="1:10" x14ac:dyDescent="0.25">
      <c r="A7" t="s">
        <v>12</v>
      </c>
      <c r="B7" s="5">
        <v>0.76445786427386186</v>
      </c>
    </row>
    <row r="8" spans="1:10" x14ac:dyDescent="0.25">
      <c r="A8" t="s">
        <v>13</v>
      </c>
      <c r="B8" s="4">
        <v>0.112832086749091</v>
      </c>
    </row>
    <row r="9" spans="1:10" x14ac:dyDescent="0.25">
      <c r="A9" t="s">
        <v>14</v>
      </c>
      <c r="B9" s="4">
        <v>0.53499107956067182</v>
      </c>
    </row>
    <row r="10" spans="1:10" x14ac:dyDescent="0.25">
      <c r="A10" t="s">
        <v>117</v>
      </c>
      <c r="B10" s="4">
        <v>0.31057971014492758</v>
      </c>
    </row>
    <row r="11" spans="1:10" x14ac:dyDescent="0.25">
      <c r="A11" t="s">
        <v>118</v>
      </c>
      <c r="B11" s="4">
        <v>0.46086956521739131</v>
      </c>
    </row>
    <row r="12" spans="1:10" x14ac:dyDescent="0.25">
      <c r="A12" t="s">
        <v>17</v>
      </c>
      <c r="B12" s="7">
        <v>11.52793571223383</v>
      </c>
    </row>
    <row r="15" spans="1:10" ht="15.75" x14ac:dyDescent="0.25">
      <c r="A15" s="6" t="s">
        <v>119</v>
      </c>
    </row>
    <row r="16" spans="1:10" x14ac:dyDescent="0.25">
      <c r="A16" s="8" t="s">
        <v>120</v>
      </c>
      <c r="B16" s="8" t="s">
        <v>121</v>
      </c>
      <c r="C16" s="8" t="s">
        <v>122</v>
      </c>
      <c r="D16" s="8" t="s">
        <v>123</v>
      </c>
      <c r="E16" s="8" t="s">
        <v>124</v>
      </c>
      <c r="F16" s="8" t="s">
        <v>125</v>
      </c>
      <c r="G16" s="8" t="s">
        <v>126</v>
      </c>
      <c r="H16" s="8" t="s">
        <v>117</v>
      </c>
      <c r="I16" s="8" t="s">
        <v>118</v>
      </c>
      <c r="J16" s="8" t="s">
        <v>127</v>
      </c>
    </row>
    <row r="17" spans="1:10" x14ac:dyDescent="0.25">
      <c r="A17" t="s">
        <v>20</v>
      </c>
      <c r="B17" s="7">
        <v>0.59093915343915338</v>
      </c>
      <c r="C17" s="7">
        <v>0.56388888888888888</v>
      </c>
      <c r="D17" s="7">
        <v>0.52268518515517559</v>
      </c>
      <c r="E17" s="7">
        <v>0.68328176857947109</v>
      </c>
      <c r="F17" s="7">
        <v>4.9041005229979083E-2</v>
      </c>
      <c r="G17" s="7">
        <v>0.53057324286092822</v>
      </c>
      <c r="H17" s="7">
        <v>0.1041666666666667</v>
      </c>
      <c r="I17" s="7">
        <v>0.16666666666666671</v>
      </c>
      <c r="J17" s="7">
        <v>14.979521771272021</v>
      </c>
    </row>
    <row r="18" spans="1:10" x14ac:dyDescent="0.25">
      <c r="A18" t="s">
        <v>46</v>
      </c>
      <c r="B18" s="7">
        <v>0.64320987654320982</v>
      </c>
      <c r="C18" s="7">
        <v>0.61111111111111116</v>
      </c>
      <c r="D18" s="7">
        <v>0.66712962959821376</v>
      </c>
      <c r="E18" s="7">
        <v>0.81153205396113237</v>
      </c>
      <c r="F18" s="7">
        <v>0.1905643735522263</v>
      </c>
      <c r="G18" s="7">
        <v>0.40356268675483631</v>
      </c>
      <c r="H18" s="7">
        <v>0.61111111111111116</v>
      </c>
      <c r="I18" s="7">
        <v>0.77777777777777779</v>
      </c>
      <c r="J18" s="7">
        <v>10.625456121232769</v>
      </c>
    </row>
    <row r="19" spans="1:10" x14ac:dyDescent="0.25">
      <c r="A19" t="s">
        <v>77</v>
      </c>
      <c r="B19" s="7">
        <v>0.59936507936507932</v>
      </c>
      <c r="C19" s="7">
        <v>0.62952380952380949</v>
      </c>
      <c r="D19" s="7">
        <v>0.68999999997788897</v>
      </c>
      <c r="E19" s="7">
        <v>0.77147495159164226</v>
      </c>
      <c r="F19" s="7">
        <v>0.1252972298789079</v>
      </c>
      <c r="G19" s="7">
        <v>0.42938223995882391</v>
      </c>
      <c r="H19" s="7">
        <v>0.26</v>
      </c>
      <c r="I19" s="7">
        <v>0.53333333333333333</v>
      </c>
      <c r="J19" s="7">
        <v>10.5272546450297</v>
      </c>
    </row>
    <row r="20" spans="1:10" x14ac:dyDescent="0.25">
      <c r="A20" t="s">
        <v>76</v>
      </c>
      <c r="B20" s="7">
        <v>0.9</v>
      </c>
      <c r="C20" s="7">
        <v>0.9</v>
      </c>
      <c r="D20" s="7">
        <v>0.99999999997400002</v>
      </c>
      <c r="E20" s="7">
        <v>0.79588336736326415</v>
      </c>
      <c r="F20" s="7">
        <v>6.9999999917499986E-2</v>
      </c>
      <c r="G20" s="7">
        <v>0.66223837253788176</v>
      </c>
      <c r="H20" s="7">
        <v>0.36666666666666659</v>
      </c>
      <c r="I20" s="7">
        <v>0.8</v>
      </c>
      <c r="J20" s="7">
        <v>13.965163803100589</v>
      </c>
    </row>
    <row r="21" spans="1:10" x14ac:dyDescent="0.25">
      <c r="A21" t="s">
        <v>59</v>
      </c>
      <c r="B21" s="7">
        <v>0.48333333333333328</v>
      </c>
      <c r="C21" s="7">
        <v>0.66666666666666663</v>
      </c>
      <c r="D21" s="7">
        <v>0.99999999994888888</v>
      </c>
      <c r="E21" s="7">
        <v>0.8159067103026908</v>
      </c>
      <c r="F21" s="7">
        <v>0.12169312154278999</v>
      </c>
      <c r="G21" s="7">
        <v>0.55107461282597503</v>
      </c>
      <c r="H21" s="7">
        <v>0</v>
      </c>
      <c r="I21" s="7">
        <v>0</v>
      </c>
      <c r="J21" s="7">
        <v>11.264041344324751</v>
      </c>
    </row>
    <row r="22" spans="1:10" x14ac:dyDescent="0.25">
      <c r="A22" t="s">
        <v>38</v>
      </c>
      <c r="B22" s="7">
        <v>0.7176870748299321</v>
      </c>
      <c r="C22" s="7">
        <v>0.5714285714285714</v>
      </c>
      <c r="D22" s="7">
        <v>0.69047619045690478</v>
      </c>
      <c r="E22" s="7">
        <v>0.69565471284756342</v>
      </c>
      <c r="F22" s="7">
        <v>0.16098901077698649</v>
      </c>
      <c r="G22" s="7">
        <v>0.48276925164897783</v>
      </c>
      <c r="H22" s="7">
        <v>0.35714285714285721</v>
      </c>
      <c r="I22" s="7">
        <v>0.42857142857142849</v>
      </c>
      <c r="J22" s="7">
        <v>8.9927342278616766</v>
      </c>
    </row>
    <row r="23" spans="1:10" x14ac:dyDescent="0.25">
      <c r="A23" t="s">
        <v>94</v>
      </c>
      <c r="B23" s="7">
        <v>0.63860610715449428</v>
      </c>
      <c r="C23" s="7">
        <v>0.65115207373271877</v>
      </c>
      <c r="D23" s="7">
        <v>0.75568996413036482</v>
      </c>
      <c r="E23" s="7">
        <v>0.77977188256323204</v>
      </c>
      <c r="F23" s="7">
        <v>7.0322956484434429E-2</v>
      </c>
      <c r="G23" s="7">
        <v>0.53581011700253334</v>
      </c>
      <c r="H23" s="7">
        <v>0.30107526881720431</v>
      </c>
      <c r="I23" s="7">
        <v>0.41935483870967738</v>
      </c>
      <c r="J23" s="7">
        <v>12.716946225012499</v>
      </c>
    </row>
    <row r="24" spans="1:10" x14ac:dyDescent="0.25">
      <c r="A24" t="s">
        <v>53</v>
      </c>
      <c r="B24" s="7">
        <v>0.72058823529411775</v>
      </c>
      <c r="C24" s="7">
        <v>0.80263157894736847</v>
      </c>
      <c r="D24" s="7">
        <v>0.72178362570531551</v>
      </c>
      <c r="E24" s="7">
        <v>0.77245008731331755</v>
      </c>
      <c r="F24" s="7">
        <v>0.19853479816510411</v>
      </c>
      <c r="G24" s="7">
        <v>0.53290007534133665</v>
      </c>
      <c r="H24" s="7">
        <v>0.3771929824561403</v>
      </c>
      <c r="I24" s="7">
        <v>0.47368421052631582</v>
      </c>
      <c r="J24" s="7">
        <v>9.323980080453973</v>
      </c>
    </row>
    <row r="25" spans="1:10" x14ac:dyDescent="0.25">
      <c r="A25" t="s">
        <v>65</v>
      </c>
      <c r="B25" s="7">
        <v>0.54487179487179493</v>
      </c>
      <c r="C25" s="7">
        <v>0.81122448979591844</v>
      </c>
      <c r="D25" s="7">
        <v>0.68938492060784129</v>
      </c>
      <c r="E25" s="7">
        <v>0.7636543166389328</v>
      </c>
      <c r="F25" s="7">
        <v>7.1320346244488714E-2</v>
      </c>
      <c r="G25" s="7">
        <v>0.71466299526400989</v>
      </c>
      <c r="H25" s="7">
        <v>0.30238095238095242</v>
      </c>
      <c r="I25" s="7">
        <v>0.5</v>
      </c>
      <c r="J25" s="7">
        <v>11.033741695540289</v>
      </c>
    </row>
    <row r="28" spans="1:10" ht="15.75" x14ac:dyDescent="0.25">
      <c r="A28" s="6" t="s">
        <v>128</v>
      </c>
    </row>
    <row r="29" spans="1:10" x14ac:dyDescent="0.25">
      <c r="A29" s="8" t="s">
        <v>129</v>
      </c>
      <c r="B29" s="8" t="s">
        <v>121</v>
      </c>
      <c r="C29" s="8" t="s">
        <v>122</v>
      </c>
      <c r="D29" s="8" t="s">
        <v>123</v>
      </c>
      <c r="E29" s="8" t="s">
        <v>124</v>
      </c>
      <c r="F29" s="8" t="s">
        <v>125</v>
      </c>
      <c r="G29" s="8" t="s">
        <v>126</v>
      </c>
      <c r="H29" s="8" t="s">
        <v>117</v>
      </c>
      <c r="I29" s="8" t="s">
        <v>118</v>
      </c>
      <c r="J29" s="8" t="s">
        <v>127</v>
      </c>
    </row>
    <row r="30" spans="1:10" x14ac:dyDescent="0.25">
      <c r="A30" t="s">
        <v>130</v>
      </c>
      <c r="B30" s="7">
        <v>0.68468013468013467</v>
      </c>
      <c r="C30" s="7">
        <v>0.69444444444444453</v>
      </c>
      <c r="D30" s="7">
        <v>0.7124158248813337</v>
      </c>
      <c r="E30" s="7">
        <v>0.76214763897332782</v>
      </c>
      <c r="F30" s="7">
        <v>0.13838198807263191</v>
      </c>
      <c r="G30" s="7">
        <v>0.62369426178181597</v>
      </c>
      <c r="H30" s="7">
        <v>0.31919191919191919</v>
      </c>
      <c r="I30" s="7">
        <v>0.48484848484848492</v>
      </c>
      <c r="J30" s="7">
        <v>10.4357247208104</v>
      </c>
    </row>
    <row r="31" spans="1:10" x14ac:dyDescent="0.25">
      <c r="A31" t="s">
        <v>131</v>
      </c>
      <c r="B31" s="7">
        <v>0.6246572871572873</v>
      </c>
      <c r="C31" s="7">
        <v>0.6590476190476191</v>
      </c>
      <c r="D31" s="7">
        <v>0.67506944442152139</v>
      </c>
      <c r="E31" s="7">
        <v>0.76146998947149525</v>
      </c>
      <c r="F31" s="7">
        <v>9.0421014074411568E-2</v>
      </c>
      <c r="G31" s="7">
        <v>0.44899743649121843</v>
      </c>
      <c r="H31" s="7">
        <v>0.32194444444444442</v>
      </c>
      <c r="I31" s="7">
        <v>0.46666666666666667</v>
      </c>
      <c r="J31" s="7">
        <v>12.36574467817942</v>
      </c>
    </row>
    <row r="32" spans="1:10" x14ac:dyDescent="0.25">
      <c r="A32" t="s">
        <v>132</v>
      </c>
      <c r="B32" s="7">
        <v>0.62619047619047619</v>
      </c>
      <c r="C32" s="7">
        <v>0.75194805194805203</v>
      </c>
      <c r="D32" s="7">
        <v>0.82897727270027921</v>
      </c>
      <c r="E32" s="7">
        <v>0.77607195168566312</v>
      </c>
      <c r="F32" s="7">
        <v>0.13562834205835991</v>
      </c>
      <c r="G32" s="7">
        <v>0.63646442369110201</v>
      </c>
      <c r="H32" s="7">
        <v>0.26666666666666672</v>
      </c>
      <c r="I32" s="7">
        <v>0.40909090909090912</v>
      </c>
      <c r="J32" s="7">
        <v>10.881318655881021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Ränge</vt:lpstr>
      <vt:lpstr>Korrelationen</vt:lpstr>
      <vt:lpstr>Metriken_qwen</vt:lpstr>
      <vt:lpstr>Metriken_gpt4o-mini</vt:lpstr>
      <vt:lpstr>Metriken gpt-4.1</vt:lpstr>
      <vt:lpstr>Metriken gpt-4.1-mini</vt:lpstr>
      <vt:lpstr>Metriken_gpt5.2</vt:lpstr>
      <vt:lpstr>Human Details</vt:lpstr>
      <vt:lpstr>Human Erläuterungen</vt:lpstr>
      <vt:lpstr>LLM-As-Judge Details</vt:lpstr>
      <vt:lpstr>GPT4o-mini-Details</vt:lpstr>
      <vt:lpstr>gpt-4.1-mini-Details</vt:lpstr>
      <vt:lpstr>gpt-4.1-Details</vt:lpstr>
      <vt:lpstr>gpt-5.2-Details</vt:lpstr>
      <vt:lpstr>LLM-As-Judge 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2026-01-10T11:53:46Z</dcterms:created>
  <dcterms:modified xsi:type="dcterms:W3CDTF">2026-01-15T10:08:27Z</dcterms:modified>
</cp:coreProperties>
</file>