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1500_300_hybrid\run_3\"/>
    </mc:Choice>
  </mc:AlternateContent>
  <xr:revisionPtr revIDLastSave="0" documentId="13_ncr:1_{31A11491-074B-4C5C-BECC-61A97AF4B23B}"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9" i="2" l="1"/>
  <c r="P39" i="2"/>
  <c r="O39" i="2"/>
  <c r="N39" i="2"/>
  <c r="M39" i="2"/>
  <c r="L39" i="2"/>
  <c r="K39" i="2"/>
  <c r="J39" i="2"/>
  <c r="I39" i="2"/>
  <c r="H39" i="2"/>
  <c r="G39" i="2"/>
  <c r="F39" i="2"/>
  <c r="E39" i="2"/>
  <c r="D39" i="2"/>
  <c r="C39" i="2"/>
  <c r="B39" i="2"/>
  <c r="Q38" i="2"/>
  <c r="P38" i="2"/>
  <c r="O38" i="2"/>
  <c r="N38" i="2"/>
  <c r="M38" i="2"/>
  <c r="L38" i="2"/>
  <c r="K38" i="2"/>
  <c r="J38" i="2"/>
  <c r="I38" i="2"/>
  <c r="H38" i="2"/>
  <c r="G38" i="2"/>
  <c r="F38" i="2"/>
  <c r="E38" i="2"/>
  <c r="D38" i="2"/>
  <c r="C38" i="2"/>
  <c r="B38" i="2"/>
  <c r="Q37" i="2"/>
  <c r="P37" i="2"/>
  <c r="O37" i="2"/>
  <c r="N37" i="2"/>
  <c r="M37" i="2"/>
  <c r="L37" i="2"/>
  <c r="K37" i="2"/>
  <c r="J37" i="2"/>
  <c r="I37" i="2"/>
  <c r="H37" i="2"/>
  <c r="G37" i="2"/>
  <c r="F37" i="2"/>
  <c r="E37" i="2"/>
  <c r="D37" i="2"/>
  <c r="C37" i="2"/>
  <c r="B37" i="2"/>
  <c r="C25" i="2"/>
  <c r="D25" i="2"/>
  <c r="E25" i="2"/>
  <c r="F25" i="2"/>
  <c r="G25" i="2"/>
  <c r="H25" i="2"/>
  <c r="I25" i="2"/>
  <c r="J25" i="2"/>
  <c r="K25" i="2"/>
  <c r="L25" i="2"/>
  <c r="M25" i="2"/>
  <c r="N25" i="2"/>
  <c r="O25" i="2"/>
  <c r="P25" i="2"/>
  <c r="Q25" i="2"/>
  <c r="C26" i="2"/>
  <c r="D26" i="2"/>
  <c r="E26" i="2"/>
  <c r="F26" i="2"/>
  <c r="G26" i="2"/>
  <c r="H26" i="2"/>
  <c r="I26" i="2"/>
  <c r="J26" i="2"/>
  <c r="K26" i="2"/>
  <c r="L26" i="2"/>
  <c r="M26" i="2"/>
  <c r="N26" i="2"/>
  <c r="O26" i="2"/>
  <c r="P26" i="2"/>
  <c r="Q26" i="2"/>
  <c r="C27" i="2"/>
  <c r="D27" i="2"/>
  <c r="E27" i="2"/>
  <c r="F27" i="2"/>
  <c r="G27" i="2"/>
  <c r="H27" i="2"/>
  <c r="I27" i="2"/>
  <c r="J27" i="2"/>
  <c r="K27" i="2"/>
  <c r="L27" i="2"/>
  <c r="M27" i="2"/>
  <c r="N27" i="2"/>
  <c r="O27" i="2"/>
  <c r="P27" i="2"/>
  <c r="Q27" i="2"/>
  <c r="C28" i="2"/>
  <c r="D28" i="2"/>
  <c r="E28" i="2"/>
  <c r="F28" i="2"/>
  <c r="G28" i="2"/>
  <c r="H28" i="2"/>
  <c r="I28" i="2"/>
  <c r="J28" i="2"/>
  <c r="K28" i="2"/>
  <c r="L28" i="2"/>
  <c r="M28" i="2"/>
  <c r="N28" i="2"/>
  <c r="O28" i="2"/>
  <c r="P28" i="2"/>
  <c r="Q28" i="2"/>
  <c r="C29" i="2"/>
  <c r="D29" i="2"/>
  <c r="E29" i="2"/>
  <c r="F29" i="2"/>
  <c r="G29" i="2"/>
  <c r="H29" i="2"/>
  <c r="I29" i="2"/>
  <c r="J29" i="2"/>
  <c r="K29" i="2"/>
  <c r="L29" i="2"/>
  <c r="M29" i="2"/>
  <c r="N29" i="2"/>
  <c r="O29" i="2"/>
  <c r="P29" i="2"/>
  <c r="Q29" i="2"/>
  <c r="C30" i="2"/>
  <c r="D30" i="2"/>
  <c r="E30" i="2"/>
  <c r="F30" i="2"/>
  <c r="G30" i="2"/>
  <c r="H30" i="2"/>
  <c r="I30" i="2"/>
  <c r="J30" i="2"/>
  <c r="K30" i="2"/>
  <c r="L30" i="2"/>
  <c r="M30" i="2"/>
  <c r="N30" i="2"/>
  <c r="O30" i="2"/>
  <c r="P30" i="2"/>
  <c r="Q30" i="2"/>
  <c r="C31" i="2"/>
  <c r="D31" i="2"/>
  <c r="E31" i="2"/>
  <c r="F31" i="2"/>
  <c r="G31" i="2"/>
  <c r="H31" i="2"/>
  <c r="I31" i="2"/>
  <c r="J31" i="2"/>
  <c r="K31" i="2"/>
  <c r="L31" i="2"/>
  <c r="M31" i="2"/>
  <c r="N31" i="2"/>
  <c r="O31" i="2"/>
  <c r="P31" i="2"/>
  <c r="Q31" i="2"/>
  <c r="C32" i="2"/>
  <c r="D32" i="2"/>
  <c r="E32" i="2"/>
  <c r="F32" i="2"/>
  <c r="G32" i="2"/>
  <c r="H32" i="2"/>
  <c r="I32" i="2"/>
  <c r="J32" i="2"/>
  <c r="K32" i="2"/>
  <c r="L32" i="2"/>
  <c r="M32" i="2"/>
  <c r="N32" i="2"/>
  <c r="O32" i="2"/>
  <c r="P32" i="2"/>
  <c r="Q32" i="2"/>
  <c r="Q24" i="2"/>
  <c r="P24" i="2"/>
  <c r="O24" i="2"/>
  <c r="N24" i="2"/>
  <c r="M24" i="2"/>
  <c r="L24" i="2"/>
  <c r="K24" i="2"/>
  <c r="J24" i="2"/>
  <c r="I24" i="2"/>
  <c r="H24" i="2"/>
  <c r="G24" i="2"/>
  <c r="F24" i="2"/>
  <c r="E24" i="2"/>
  <c r="D24" i="2"/>
  <c r="C24" i="2"/>
  <c r="B24" i="2"/>
  <c r="B32" i="2"/>
  <c r="B31" i="2"/>
  <c r="B30" i="2"/>
  <c r="B29" i="2"/>
  <c r="B28" i="2"/>
  <c r="B27" i="2"/>
  <c r="B26" i="2"/>
  <c r="B25" i="2"/>
  <c r="B8" i="2"/>
  <c r="B9" i="2"/>
  <c r="B10" i="2"/>
  <c r="B11" i="2"/>
  <c r="B12" i="2"/>
  <c r="B13" i="2"/>
  <c r="B14" i="2"/>
  <c r="B15" i="2"/>
  <c r="B16" i="2"/>
  <c r="B17" i="2"/>
  <c r="B18" i="2"/>
  <c r="B19" i="2"/>
  <c r="B5" i="2"/>
  <c r="B6" i="2"/>
  <c r="B7" i="2"/>
  <c r="B4" i="2"/>
</calcChain>
</file>

<file path=xl/sharedStrings.xml><?xml version="1.0" encoding="utf-8"?>
<sst xmlns="http://schemas.openxmlformats.org/spreadsheetml/2006/main" count="1021" uniqueCount="673">
  <si>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</si>
  <si>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</si>
  <si>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</si>
  <si>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</si>
  <si>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</si>
  <si>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</si>
  <si>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</si>
  <si>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</si>
  <si>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</si>
  <si>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</si>
  <si>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</si>
  <si>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</si>
  <si>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</si>
  <si>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</si>
  <si>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</si>
  <si>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</si>
  <si>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</si>
  <si>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</si>
  <si>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</si>
  <si>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</si>
  <si>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</si>
  <si>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</si>
  <si>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</si>
  <si>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</si>
  <si>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</si>
  <si>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</si>
  <si>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</si>
  <si>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</si>
  <si>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</si>
  <si>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</si>
  <si>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Als Student von einem Studium an der WiSo-Fakultät profitieren Sie in verschiedenen Bereichen:  1.  Multidisziplinäre Ausrichtung: Im Verlauf des Studiums können Sie je nach gewählter Studienrichtung vom Austausch und von der Verknüpfung verschiedener Fachbereiche innerhalb der WiSo-Fakultät profitieren. 2.  Möglichkeit eines Auslandsstudiums: Die WiSo-Fakultät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3.  Gezielte inhaltliche Schwerpunkte: Sie können gezielt inhaltliche Schwerpunkte setzen, was Ihnen ermöglicht, Ihre Interessen und Fähigkeiten zu stärken. 4.  Abschließende Masterarbeit: Für die abschließende Masterarbeit inklusive ihrer Verteidigung sind 30 LP vorgesehen.  Diese Vorteile können dazu beitragen, dass Sie als Student von einem Studium an der WiSo-Fakultät eine umfassende und vielseitige Ausbildung erhalten.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</si>
  <si>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</si>
  <si>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</si>
  <si>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['file://D:/Uni-Köln/Masterarbeit/Software/uzk-masterarbeit/data/pdf_cache/__wiso.uni-koeln.de_sites_fakultaet_dokumente_downloads_Modulhandbuecher_Master_MHB_aktuelles_Studienjahr_m_mhb_po2021_ba_accounting.pdf', 'https://wiso.uni-koeln.de/de/studium/bachelor/bachelor-vwl',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t>
  </si>
  <si>
    <t>['pdf', 'html', 'pdf', 'pdf', 'pdf']</t>
  </si>
  <si>
    <t>easy</t>
  </si>
  <si>
    <t>Welche Kosten fallen für reguläre Studienprogramme der WiSo-Fakultät an?</t>
  </si>
  <si>
    <t>Die Kosten für reguläre Studienprogramme der WiSo-Fakultät an der Universität zu Köln variieren je nach Studiengang und Art des Studiums. Hier sind einige allgemeine Informationen:  * Die Semesterbeiträge für das Wintersemester 2022/23 betragen 302,50 € pro Monat (entspricht 1.151,00 € pro Semester) für Studenten mit deutscher Staatsbürgerschaft. * Für internationale Studierende gelten höhere Beiträge: 322,50 € pro Monat (entspricht 1.291,00 € pro Semester). * Darüber hinaus fallen Gebühren für die Studiengebühr an, die je nach Studiengang zwischen 150,00 € und 300,00 € pro Semester liegen kann. * Es gibt auch weitere Kosten wie z.B. für Bücher, Materialien, Reisen zu Praktika oder Auslandssemester.  Es ist ratsam, sich direkt bei der Universität zu informieren, um die aktuellsten Informationen über die Kosten für das gewünschte Studienprogramm zu erhalten.  Quelle: [Universität zu Köln - Semesterbeiträge](https://www.uni-koeln.de/studium/finanzielles/semesterbeitraege.html)</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</si>
  <si>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</si>
  <si>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</si>
  <si>
    <t>['https://wiso.uni-koeln.de/de/studium/studienorganisation/faq/allgemeine-fragen', 'https://wiso.uni-koeln.de/de/studium/master', 'https://wiso.uni-koeln.de/de/studium/master', 'https://wiso.uni-koeln.de/de/studium/studienorganisation/faq/bachelor/fragen-im-bachelorstudium', 'https://wiso.uni-koeln.de/de/studium/studienorganisation/faq/allgemeine-fragen']</t>
  </si>
  <si>
    <t>['html', 'html', 'html', 'html', 'html']</t>
  </si>
  <si>
    <t>Wie wird die Qualität der WiSo-Absolvent:innen in Rankings und durch Arbeitgebereinschätzungen beschrieben?</t>
  </si>
  <si>
    <t>Die WiSo-Absolvent:innen werden in Rankings und Arbeitgeberbewertungen als hochwertig und qualifiziert beschrieben. Die Universität zu Köln, insbesondere die WiSo-Fakultät, hat sich in verschiedenen Hochschulrankings positioniert und wird von Personalverantwortlichen deutscher Unternehmen als Top-Ausbildungsstätte für BWL, VWL und Wirtschaftsinformatik angesehen.  Die Absolvent:innen der WiSo-Fakultät profitieren vom theorie- und methodenorientierten Ansatz, der sowohl Forschung als auch Lehre mit der Praxis vereint. Die Nähe zur Praxis zeigt sich in der Lehre durch die langjährige Erfahrung in der Zusammenarbeit mit Unternehmen und Lehrbeauftragten aus verschiedenen Berufsfeldern.  Insgesamt wird die WiSo-Fakultät für ihre hohen Qualitätsstandards und die erfolgreiche Vorbereitung ihrer Absolvent:innen auf den Arbeitsmarkt gelobt.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</si>
  <si>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</si>
  <si>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</si>
  <si>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</si>
  <si>
    <t>Wie ist die internationale Ausrichtung der WiSo-Fakultät beschrieben?</t>
  </si>
  <si>
    <t>Die internationale Ausrichtung der WiSo-Fakultät der Universität zu Köln ist stark ausgeprägt. Die Fakultät bietet eine Vielzahl von Möglichkeiten, um internationale Erfahrungen zu sammeln, wie zum Beispiel das Optionale Auslandssemester oder die Teilnahme an Kurzprogrammen wie WiSo@NYC oder einer Summer School im Ausland.  Die Fakultät ist Mitglied in mehreren Netzwerken internationaler Universitäten und bietet Kooperationen mit renommierten Partnerhochschulen weltweit, darunter Erasmus-Abkommen mit europäischen Universitäten. Dies ermöglicht es den Studierenden, ein Semester an einer internationalen Hochschule zu verbringen.  Darüber hinaus bietet die WiSo-Fakultät eine breite BWL-Grundlagenausbildung und gleichzeitig die Möglichkeit einer individuellen Spezialisierung über vielfältige Angebote im Ergänzungs- und Schwerpunktbereich. Die Studierenden können ihre Kenntnisse und Fähigkeiten in anwendungsorientierten Modulen umsetzen, indem sie analytisches Denken und Handeln in die Praxis einbringen.  Die internationale Ausrichtung der WiSo-Fakultät macht sie zu einem erstklassigen Ziel für Studierende, die eine Karriere in internationalen Arbeitsumgebungen anstreben.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</si>
  <si>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</si>
  <si>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</si>
  <si>
    <t>['https://wiso.uni-koeln.de/de/studium/master/master-business-administration/corporate-development', 'https://wiso.uni-koeln.de/de/studium/bachelor/bachelor-wirtschaftsinformatik', 'https://wiso.uni-koeln.de/de/studium/master/master-business-administration/accounting-and-taxation', 'https://wiso.uni-koeln.de/de/studium/bachelor/bachelor-bwl', 'https://wiso.uni-koeln.de/de/studium/master/master-business-administration/supply-chain-management']</t>
  </si>
  <si>
    <t>Welches Ziel verfolgen die Lehrinnovationen an der WiSo-Fakultät?</t>
  </si>
  <si>
    <t>Die Lehrinnovationen an der WiSo-Fakultät verfolgen das Ziel, die Lehre zu verbessern und neue Wege für eine effektive Vermittlung von Wissen zu beschreiben. Dazu gehören:  1.  **Forschungsorientierte Lehre**: Die Lehre soll realen Problemen widerspiegeln und wissenschaftliche Ansätze zur Lösung von Problemen in der Praxis anwenden. 2.  **Verbesserung der Lehrqualität**: Durch innovative Ideen und Lehrkonzepte sollen die Studierenden besser auf die Herausforderungen der Zukunft vorbereitet werden. 3.  **Förderung von Kreativität und Kritikdenken**: Die WiSo-Fakultät möchte, dass die Studierenden kritisch denken und Probleme kreativ lösen können.  Die Lehrinnovationen zielen darauf ab, die Studierenden auf die Herausforderungen der Zukunft vorzubereiten und sie zu eigenständigen und innovativen Denkern auszubilden.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</si>
  <si>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</si>
  <si>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</si>
  <si>
    <t>['https://wiso.uni-koeln.de/de/studium/lehrinnovationen', 'https://wiso.uni-koeln.de/de/fakultaet/fakultaetsstrategie', 'https://wiso.uni-koeln.de/de/fakultaet/fakultaetsstrategie/wiso-strategie-2030', 'https://wiso.uni-koeln.de/de/studium/forschungsorientierte-lehre', 'file://D:/Uni-Köln/Masterarbeit/Software/uzk-masterarbeit/data/pdf_cache/__wiso.uni-koeln.de_sites_fakultaet_dokumente_ethik_WiSo-PRME-SIP-2022-web.pdf']</t>
  </si>
  <si>
    <t>['html', 'html', 'html', 'html', 'pdf']</t>
  </si>
  <si>
    <t>Worum geht es beim Lehrprojekt E-PLUS?</t>
  </si>
  <si>
    <t>Das Lehrprojekt E-PLUS beinhaltet verschiedene Aspekte:  1.  **Individualisierte E-Prüfungen**: Die Studierenden können theoretisch jederzeit eine Klausur ablegen, was zur Entzerrung der Klausurtermine beiträgt. 2.  **Wissenschaftliche Taschenrechner**: Für die Prüfungen an der WiSo-Fakultät sind bestimmte wissenschaftliche Taschenrechner erlaubt, wie z.B. Casio- oder Texas-Instruments-Taschenrechner. 3.  **E-Hausaufgaben mit sofortiger Rückmeldung**: Das Projekt zielt darauf ab, ein neues E-Learning-Tool für regelmäßige, freiwillige Hausaufgaben (e-homework assignments) zu entwickeln.  Das Lehrprojekt E-PLUS soll die Digitalisierung und Wirtschaftsethik in den Unterrichtsbereichen der WiSo-Fakultät stärken.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</si>
  <si>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</si>
  <si>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t>
  </si>
  <si>
    <t>['https://wiso.uni-koeln.de/de/studium/lehrinnovationen', 'https://wiso.uni-koeln.de/en/faculty/managing-board/examination-office/2015-2021-examination-regulations/information-about-examinations/aids/calculators', 'https://wiso.uni-koeln.de/en/studies/teaching-innovations', 'https://wiso.uni-koeln.de/en/faculty/managing-board/central-faculty-administration/examination-office/2015-2021-examination-regulations/information-about-examinations/aids/calculators', 'https://wiso.uni-koeln.de/de/studium/master/master-business-administration/corporate-development']</t>
  </si>
  <si>
    <t>Wie wird E-PLUS organisiert?</t>
  </si>
  <si>
    <t>Entschuldigung, aber ich konnte keine relevanten Informationen zu E-PLUS finden. Wenn du möchtest, kann ich mich bei der Studienberatung erkundigen, um dir eine genaue Antwort geben zu können.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</si>
  <si>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</si>
  <si>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</si>
  <si>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t>
  </si>
  <si>
    <t>['pdf', 'pdf', 'pdf', 'pdf', 'pdf']</t>
  </si>
  <si>
    <t>hard</t>
  </si>
  <si>
    <t>Welchen Vorteil bietet das Projekt E-PLUS?</t>
  </si>
  <si>
    <t>Das Projekt E-PLUS bietet mehrere Vorteile, darunter:  1. **Individualisierte Prüfungen**: Die Möglichkeit für Studierende, theoretisch jederzeit eine Klausur abzulegen, was zu einer Entzerrung der Klausurtermine und einer besseren Klausurvorbereitung führt. 2. **Automatisches Feedback**: Ein neues E-Learning-Tool bietet automatische Bewertungen und Kommentare individueller Lösungswege und Fehler, was die Studierenden bei ihrer Lernprozess unterstützt. 3. **Bonuspunkte**: Ein Bonuspunktensystem kann eingesetzt werden, das eine positive Auswirkung auf die Note für die finale Prüfung hat, wenn die Aufgaben erfolgreich abgeschlossen werden. 4. **Internationale Vernetzung**: Die Möglichkeit, mit Menschen aus verschiedenen Kulturen in Kontakt zu treten und internationale Erfahrungen zu sammeln. 5. **Zertifikat und weitere Vorteile**: Ein Projektzertifikat zur Anerkennung der Auslandserfahrung sowie mögliche Weitere Vorteile wie Global Village, DAAD-Stipendium und Workshops.  Ich hoffe, diese Informationen helfen dir weiter!</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</si>
  <si>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</si>
  <si>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t>
  </si>
  <si>
    <t>['https://wiso.uni-koeln.de/de/studium/lehrinnovationen', 'https://wiso.uni-koeln.de/de/studium/lehrinnovationen', 'https://wiso.uni-koeln.de/en/studies/teaching-innovations', 'https://wiso.uni-koeln.de/de/services/infomails-und-newsletter/bachelor-infomail/infomail-12-november-2025', 'https://wiso.uni-koeln.de/en/studies/teaching-innovations']</t>
  </si>
  <si>
    <t>Modulhandbuch/PO</t>
  </si>
  <si>
    <t>Welche Art von Dokumenten finden Studierende allgemein bezüglich Modulhandbücher und Prüfungsordnungen?</t>
  </si>
  <si>
    <t>Studierende finden allgemein Modulhandbücher und Prüfungsordnungen im Internetportal der Universität zu Köln, unter "Modulhandbuch-Archiv" oder in den jeweiligen Fachbereichen.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</si>
  <si>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</si>
  <si>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</si>
  <si>
    <t>['https://wiso.uni-koeln.de/de/studium/bachelor/bachelor-vwl/studienaufbau', 'https://wiso.uni-koeln.de/de/studium/modulhandbuecher-und-pruefungsordnungen?and=&amp;cHash=0b87324d1375e4f2beb9036c79aa21db', 'file://D:/Uni-Köln/Masterarbeit/Software/uzk-masterarbeit/data/pdf_cache/__wiso.uni-koeln.de_sites_fakultaet_dokumente_downloads_Modulhandbuecher_Bachelor_MHB_aktuelles_Studienjahr_b_module_catalogue_economics_po2021.pdf', 'https://wiso.uni-koeln.de/de/studium/modulhandbuecher-und-pruefungsordnungen?Chain=&amp;cHash=48741bdec96c2f016003263d312f4737', 'file://D:/Uni-Köln/Masterarbeit/Software/uzk-masterarbeit/data/pdf_cache/__wiso.uni-koeln.de_sites_fakultaet_dokumente_downloads_Modulhandbuecher_Master_MHB_aktuelles_Studienjahr_m_mhb_po2021_ba_marketing.pdf']</t>
  </si>
  <si>
    <t>['html', 'html', 'pdf', 'html', 'pdf']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</si>
  <si>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</si>
  <si>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</si>
  <si>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</si>
  <si>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t>
  </si>
  <si>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t>
  </si>
  <si>
    <t>Welche Bachelorstudiengänge der WiSo-Fakultät haben ein eigenes Modulhandbuch unter PO 2021?</t>
  </si>
  <si>
    <t>Basierend auf den Suchergebnissen können wir folgende Bachelorstudiengänge der WiSo-Fakultät identifizieren, die ein eigenes Modulhandbuch unter PO 2021 haben:  * Betriebswirtschaftslehre (BWL) * Sozialwissenschaften  Bitte beachten Sie, dass diese Informationen auf den Suchergebnissen basieren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</si>
  <si>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</si>
  <si>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</si>
  <si>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t>
  </si>
  <si>
    <t>['html', 'html', 'pdf', 'pdf', 'pdf']</t>
  </si>
  <si>
    <t>Wo finden Bachelorstudierende die zugehörigen Prüfungsordnungen der PO 2021?</t>
  </si>
  <si>
    <t>Die Prüfungsordnungen (PO) für den Bachelor-Studiengang PO 2021 können auf der Website der Universität zu Köln unter "Modulhandbücher" &gt; "Bachelor" &gt; "PO 2021" gefunden werden. Dort sind die jeweiligen Modulhandbücher und Prüfungsordnungen für das Studienjahr 2021/22 und später abrufbar.  Alternativ können Sie auch auf der Website der WiSo-Fakultät unter "Studium" &gt; "Modulhandbücher" nachsehen, ob dort die PO 2021 verfügbar sind. Es ist jedoch ratsam, direkt auf der Universitäts-Website zu suchen, da dort die aktuellsten Informationen zur Verfügung stehen.  Wenn Sie Schwierigkeiten haben, die Prüfungsordnungen zu finden oder Fragen dazu haben, können Sie sich gerne an die Studienberatung wenden.</t>
  </si>
  <si>
    <t>Im Download-Bereich des Prüfungsamtes finden Sie die gemeinsame Prüfungsordnung der WiSo-Studiengänge, sowie die zusätzliche Bachelorprüfungsordnung.</t>
  </si>
  <si>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t>
  </si>
  <si>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'https://wiso.uni-koeln.de/de/studium/modulhandbuecher-und-pruefungsordnungen/modulhandbuch-archiv',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t>
  </si>
  <si>
    <t>['pdf', 'pdf', 'html', 'pdf', 'pdf']</t>
  </si>
  <si>
    <t>Für wen gelten die Dokumente zur Master-Prüfungsordnung (PO) 2021?</t>
  </si>
  <si>
    <t>Die Master-Prüfungsordnung PO 2021 gilt für Studierende, die ab dem Wintersemester 2021/22 eingeschrieben sind. Dies bedeutet, dass alle Studierenden, die nach diesem Zeitpunkt ihr Studium aufgenommen haben, an diese Prüfungsordnung gebunden sind.</t>
  </si>
  <si>
    <t>Die Dokumente zur Master PO 2021 gelten für Studierende, die nach der Prüfungsordnung 2021 studieren und sich ab dem Wintersemester 2021/22 eingeschrieben haben.</t>
  </si>
  <si>
    <t>['--- Page 89 --- Gültig für Studierende der PO 2021 (Einschreibung ab WiSe 2021/22) SOCIOLOGY : SOCIAL AND ECONOMIC PSYCHOLOGY – MASTER OF SCIENCE 85 Master of Science Political Science: Ergänzungsbereich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Business Administration - Finance: Basisbereich Finance Master of Science Geogr aphie: Wahlpflichtfach Management &amp; Social Sciences Master of Science International Management: Ergänzungsbereich International Management Master of Science Informatik: Anwendungsfeld Volkswirtschaftslehre Master of Science Economic Research: Ergänz ungsbereich Economic Research Master of Science Sociology: Social Research: Ergänzungsbereich Sociology: Social Research 9 Modulbeauftragte/r Univ. -Prof. Dr. Andreas Schabert 10 Sonstige Informationen --- Page 90 --- Gültig für Studierende der PO 2021 (Einschreibung ab WiSe 2021/22) SOCIOLOGY : SOCIAL AND ECONO',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'127 --- Gültig für Studierende der PO 2021 (Einschreibung ab WiSe 2021/22) INFORMATION SYSTEMS - MASTER OF SCIENCE 123 Master of Science Political Science: Ergänzungsbereic 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 irtschaftslehre: Ergänzungsbereich Volkswirtschaftslehre Master of Science Mathematik: Economics Master of Science Wirtschaftsmathematik: Economics Master of Science Business Administration - Finance: Basisbereich Finance Master of Science Geograph ie: Wahlpflichtfach Management &amp; Social Sciences Master of Science International Management: Ergänzungsbereich International Management Master of Science Informatik: Anwendungsfeld Volkswirtschaftslehre Master of Science Economic Research: Ergänzung sbereich Economic Research Master of Science Sociology: Social Research: Ergänzungsbereich Sociology: Social Research 9 Modulbeauftragte/r Univ. -Prof. Dr. Andreas Schabert 10 Sonstige Informationen --- Page 128 --- Gültig für Studierende der PO 2021 (Einschreibung ab WiSe 2021/22) INFORMATION SYSTEMS - MASTER OF SCIENCE 124 SM Markets', '.................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t>
  </si>
  <si>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'file://D:/Uni-Köln/Masterarbeit/Software/uzk-masterarbeit/data/pdf_cache/__wiso.uni-koeln.de_sites_fakultaet_dokumente_downloads_Modulhandbuecher_Studienjahr_22-23_MHB_PO2021_m_mhb_po2021_sep.pdf', 'file://D:/Uni-Köln/Masterarbeit/Software/uzk-masterarbeit/data/pdf_cache/__wiso.uni-koeln.de_sites_wiso_career_pdf_Allgemeines_UEbergreifendes_Bewerbungshilfen_Praktikumsleitfaden_Sozialwissenschaften.pdf']</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</si>
  <si>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</si>
  <si>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"Bachelor PO 2021" und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</si>
  <si>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</si>
  <si>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</si>
  <si>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'file://D:/Uni-Köln/Masterarbeit/Software/uzk-masterarbeit/data/pdf_cache/__wiso.uni-koeln.de_sites_fakultaet_dokumente_downloads_master_Zulassungsordnungen_ZO_Gesundheitsoekonomie.pdf', 'https://wiso.uni-koeln.de/de/studium/modulhandbuecher-und-pruefungsordnungen', 'file://D:/Uni-Köln/Masterarbeit/Software/uzk-masterarbeit/data/pdf_cache/__wiso.uni-koeln.de_sites_fakultaet_dokumente_downloads_master_Zulassungsordnungen_ZO_WiSoMaster_202223.pdf', 'https://wiso.uni-koeln.de/de/studium/modulhandbuecher-und-pruefungsordnungen?and=&amp;cHash=0b87324d1375e4f2beb9036c79aa21db']</t>
  </si>
  <si>
    <t>['html', 'pdf', 'html', 'pdf', 'html']</t>
  </si>
  <si>
    <t>Wo finden Masterstudierende die Masterprüfungsordnung für die WiSo-Studiengänge?</t>
  </si>
  <si>
    <t>Die Masterprüfungsordnung für die WiSo-Studiengänge ist in dem Modulhandbuch enthalten. Dieses können Sie auf der Website der Universität zu Köln unter "Studium" &gt; "Modulhandbücher" finden.  Alternativ können Sie sich auch direkt an den Studenten Service Point der WiSo-Fakultät wenden, um weitere Informationen und Unterstützung zu erhalten.</t>
  </si>
  <si>
    <t>Die Prüfungsordnungen zur Master PO 2021 findest du im Download-Bereich des Prüfungsamts. Dort sind sowohl die gemeinsame Prüfungsordnung der WiSo-Studiengänge als auch die zusätzliche Masterprüfungsordnung hinterlegt.</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</si>
  <si>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</si>
  <si>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'file://D:/Uni-Köln/Masterarbeit/Software/uzk-masterarbeit/data/pdf_cache/__wiso.uni-koeln.de_sites_fakultaet_dokumente_downloads_master_Masterbewerbung_Hinweise_zur_Einordnung_der_Kurse_D.pdf', 'https://wiso.uni-koeln.de/de/studium/studienorganisation/faq/allgemeine-fragen', 'https://wiso.uni-koeln.de/de/studium/studienorganisation/faq/allgemeine-fragen', 'https://wiso.uni-koeln.de/de/studium/master']</t>
  </si>
  <si>
    <t>['html', 'pdf', 'html', 'html', 'html']</t>
  </si>
  <si>
    <t>Bachelor-Studium</t>
  </si>
  <si>
    <t>Welche Möglichkeiten schafft mir ein Bachelorabschlusses an der WiSo-Fakultät?</t>
  </si>
  <si>
    <t>Ein Bachelorabschluss an der WiSo-Fakultät bietet Ihnen viele Möglichkeiten:  1.  Sie können einen Master absolvieren, um Ihre Karriere weiter zu entwickeln. 2.  Sie können in verschiedenen Berufen wie IT-Manager, Unternehmensberater, Business-Analytiker oder Data Scientist tätig sein. 3.  Sie können ein Auslandssemester an einer der über 140 Partnerhochschulen im Ausland absolvieren und globales Netzwerken teilnehmen. 4.  Sie können den Master-Studiengang "Corporate Development" absolvieren, der sich auf die Entwicklung von Unternehmen konzentriert. 5.  Sie können am Double-Master-Programm in Business Administration teilnehmen, das es Ihnen ermöglicht, an einer Partnerhochschule ein Jahr zu verbringen und zwei Masterabschlüsse zu erhalten.  Diese Möglichkeiten zeigen, dass ein Bachelorabschluss an der WiSo-Fakultät eine gute Grundlage für Ihre weitere Karriere ist.</t>
  </si>
  <si>
    <t>Ein Bachelorabschluss an der WiSo-Fakultät schafft eine exzellente Grundlage für den individuellen Karriereweg – unabhängig davon, ob man direkt in den Beruf einsteigt, ein Trainee-Programm wählt oder einen weiterführenden Master anschließt.</t>
  </si>
  <si>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'bereich (24 LP) kann aus einer Vielzahl von Möglichkeiten aus den Bereichen BWL, VWL und Sozialwissenschaften gewählt werden. Die Masterthesis bildet den letzten Bereich und umfasst 30 LP. --- Page 8 --- Gültig für Studierende der PO 2015 (Einschreibung erfolgte letztmalig zum WiSe 2020/21) BUSINESS ADMINISTRATION: Corporate Development - MASTER OF SCIENCE 4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</si>
  <si>
    <t>['https://wiso.uni-koeln.de/de/studium/bachelor/bachelor-sozialwissenschaften', 'https://wiso.uni-koeln.de/de/studium/bachelor/bachelor-wirtschaftsinformatik', 'https://wiso.uni-koeln.de/de/studium/bachelor/bachelor-bwl',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'file://D:/Uni-Köln/Masterarbeit/Software/uzk-masterarbeit/data/pdf_cache/__wiso.uni-koeln.de_sites_fakultaet_dokumente_downloads_Modulhandbuecher_Studienjahr_22-23_MHB_PO2021_m_mhb_po2021_ba_cd.pdf']</t>
  </si>
  <si>
    <t>['html', 'html', 'html', 'pdf', 'pdf']</t>
  </si>
  <si>
    <t>Welche Bachelorstudiengänge bietet WiSo-Fakultät allgemein an?</t>
  </si>
  <si>
    <t>Die WiSo-Fakultät der Universität zu Köln bietet folgende Bachelorstudiengänge an:  * Wirtschaftswissenschaften * Volkswirtschaftslehre * Mathematik und Wirtschaftsmathematik (mit Nebenfächern in Wirtschaftswissenschaften und Volkswirtschaftslehre)  Es ist auch möglich, einen Bachelor-Studiengang zu wählen, der sich auf eine bestimmte Disziplin innerhalb der WiSo-Fakultät konzentriert. Es lohnt sich, die offizielle Website der Universität zu Köln oder das Studienberatungszentrum zu kontaktieren, um weitere Informationen und Unterstützung bei der Auswahl des richtigen Studiengangs zu erhalten.</t>
  </si>
  <si>
    <t>Die WiSo-Fakultät bietet folgende Bachelorprogramme an: Betriebswirtschaftslehre, Volkswirtschaftslehre, Sozialwissenschaften, Management, Economics &amp; Social Sciences, Wirtschaftsinformatik, Gesundheitsökonomie sowie der Lehramts-Bachelor.</t>
  </si>
  <si>
    <t>['---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</si>
  <si>
    <t>['file://D:/Uni-Köln/Masterarbeit/Software/uzk-masterarbeit/data/pdf_cache/__wiso.uni-koeln.de_sites_fakultaet_dokumente_downloads_master_UEbersicht_MA_WiMathe_po2015.pdf', 'https://wiso.uni-koeln.de/de/studium/bachelor', 'file://D:/Uni-Köln/Masterarbeit/Software/uzk-masterarbeit/data/pdf_cache/__wiso.uni-koeln.de_sites_fakultaet_dokumente_downloads_bachelor_Bachelor_Begruessung_Praesentationen_Meet_your_AD_BWL.pdf', 'https://wiso.uni-koeln.de/de/studium/studienorganisation/faq/bachelor', 'file://D:/Uni-Köln/Masterarbeit/Software/uzk-masterarbeit/data/pdf_cache/__wiso.uni-koeln.de_sites_fakultaet_dokumente_downloads_bachelor_Bachelor_Begruessung_Praesentationen_Meet_your_AD_Winfo.pdf']</t>
  </si>
  <si>
    <t>['pdf', 'html', 'pdf', 'html', 'pdf']</t>
  </si>
  <si>
    <t>Was macht den Standort Köln attraktiv?</t>
  </si>
  <si>
    <t>Der Standort Köln ist attraktiv für Studierende aufgrund seiner Lage in einem Ballungsgebiet mit etwa 13 Millionen Menschen, einer ausgeprägten ökonomischen Infrastruktur, die es ermöglicht, mit großen Unternehmen zusammenzuarbeiten. Die Universität zu Köln bietet ein pulsierendes Studierendenleben und ist Teil eines großen Netzwerks aktueller und ehemaliger Studierender, der Alumni. Dieser Zugang zur Praxis und Geschäftswelt während und nach dem Studium ist ein wichtiger Vorteil des Standortes Köln.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</si>
  <si>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</si>
  <si>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</si>
  <si>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 'https://wiso.uni-koeln.de/de/studium']</t>
  </si>
  <si>
    <t>['pdf', 'pdf', 'html', 'pdf', 'html']</t>
  </si>
  <si>
    <t>Services/Info</t>
  </si>
  <si>
    <t>Was ist „Chat with Paco“?</t>
  </si>
  <si>
    <t>"Chat with Paco" ist ein Tool der Wirtschafts- und Sozialwissenschaftlichen Fakultät (WiSo) der Universität zu Köln. Es ermöglicht es Studieninteressierten, schnell und zuverlässig Fakten über Studiengänge und die Universität zu erhalten. "Chat with a Student" bietet hingegen authentische Einblicke in das Studium durch echte WiSo-Studierende.</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</si>
  <si>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</si>
  <si>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</si>
  <si>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'https://wiso.uni-koeln.de/en/services/service-and-advice-wiso-faculty/prospective-students', 'https://wiso.uni-koeln.de/de/services/wiso-student-service-point/studieninteressierte', 'https://wiso.uni-koeln.de/en/services/wiso-student-service-point/prospective-students']</t>
  </si>
  <si>
    <t>Welche Bachelor-Verbundstudiengänge mit WiSo-Beteiligung werden angeboten?</t>
  </si>
  <si>
    <t>Es tut mir leid, aber ich konnte keine relevanten Informationen zu den Bachelor-Verbundstudiengängen mit WiSo-Beteiligung finden. Es ist jedoch möglich, dass diese Informationen auf der Website der Universität zu Köln oder in anderen Quellen verfügbar sind.  Ich empfehle Ihnen, sich direkt an die Studienberatung der Universität zu wenden, um weitere Informationen zu erhalten. Sie können auch die Website der WiSo-Fakultät besuchen, um mehr über die angebotenen Studiengänge und Verbundstudiengänge zu erfahren.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</si>
  <si>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</si>
  <si>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</si>
  <si>
    <t>['https://wiso.uni-koeln.de/de/studium/bachelor', 'https://wiso.uni-koeln.de/de/studium/master', 'https://wiso.uni-koeln.de/de/studium/master', 'https://wiso.uni-koeln.de/de/studium/studienorganisation/faq/allgemeine-fragen', 'https://wiso.uni-koeln.de/de/studium/bachelor']</t>
  </si>
  <si>
    <t>Welche Nebenfächer im Rahmen des Bachelorstudiums Geographie werden von der WiSo-Fakultät angeboten?</t>
  </si>
  <si>
    <t>Basierend auf den Suchergebnissen kann ich sagen, dass die Nebenfächer im Rahmen des Bachelorstudiums Geographie von der WiSo-Fakultät nicht direkt angeboten werden. Die Mathematisch-Naturwissenschaftliche Fakultät bietet das Studium Geographie an und bietet auch Nebenfachangebote, aber diese sind nicht Teil der WiSo-Fakultät.  Die WiSo-Fakultät bietet jedoch Nebenfachangebote für den Bachelorstudiengang Geographie an, wenn dieser in Kombination mit einem anderen Unterrichtsfach absolviert wird, das an der WiSo-Fakultät angesiedelt ist. Dazu gehören:  * Betriebswirtschaftslehre * Volkswirtschaftslehre  Es ist jedoch wichtig zu beachten, dass diese Informationen auf den Suchergebnissen basieren und möglicherweise nicht die aktuellsten oder genauen Informationen sind. Ich empfehle es Ihnen, sich direkt an das WiSo-Prüfungsamt oder die Studienberatung der Universität zu wenden, um die genauesten Informationen über die Nebenfachangebote für den Bachelorstudiengang Geographie zu erhalten.</t>
  </si>
  <si>
    <t>Im Bachelorstudiengang Geographie bietet die WiSo-Fakultät in folgenden Bereichen Angebote für die Nebenfächer an: Betriebswirtschaftslehre, Volkswirtschaftslehre und Sozialwissenschaften</t>
  </si>
  <si>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</si>
  <si>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'https://wiso.uni-koeln.de/de/studium/master', 'https://wiso.uni-koeln.de/de/studium/bachelor', 'https://wiso.uni-koeln.de/de/studium/master', 'https://wiso.uni-koeln.de/de/studium/studienorganisation/faq/allgemeine-fragen']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</si>
  <si>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</si>
  <si>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jeweils zum 15. Juli bzw. 15. Januar für das Sommer- bzw. Wintersemester. Die Bachelorstudiengänge Betriebs- und Volkswirtschaftslehre werden zusätzlich auch im Sommersemester angeboten.  Es gibt keine Informationen darüber, welche Bachelorstudiengänge der WiSo-Fakultät im Sommersemester starten.</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</si>
  <si>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</si>
  <si>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</si>
  <si>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'file://D:/Uni-Köln/Masterarbeit/Software/uzk-masterarbeit/data/pdf_cache/__wiso.uni-koeln.de_sites_fakultaet_dokumente_downloads_master_Zulassungsordnungen_ZO_WiSoMaster_202223.pdf', 'https://wiso.uni-koeln.de/de/fakultaet/dekanat/zentrale-fakultaetsverwaltung/pruefungsamt/po-2015-po-2021/bescheinigungen/ortswechsel-quereinstieg-sowie-fachsemestereinstufung/fachsemestereinstufung']</t>
  </si>
  <si>
    <t>['html', 'html', 'html', 'pdf', 'html']</t>
  </si>
  <si>
    <t>Für welche Bachelorstudiengänge der WiSo-Fakultät ist ein Studienstart auch im Sommersemester möglich?</t>
  </si>
  <si>
    <t>Basierend auf den Suchergebnissen kann ich folgern:  **Es ist möglich, in den Bachelorstudiengängen Betriebs- und Volkswirtschaftslehre der WiSo-Fakultät auch im Sommersemester zu starten.**  Die Bewerbungsfrist für diese Studiengänge ist der 15. Juli für das Sommersemester.  Wenn Sie weitere Fragen haben oder spezifische Informationen benötigen, stehe ich Ihnen gerne zur Verfügung!</t>
  </si>
  <si>
    <t>Ein Studienstart im Sommersemester ist nur in den Bachelorstudiengängen Betriebswirtschaftslehre und Volkswirtschaftslehre möglich.</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</si>
  <si>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</si>
  <si>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['https://wiso.uni-koeln.de/de/studium/bewerbung/bachelor', 'https://wiso.uni-koeln.de/de/studium/studienorganisation/faq/allgemeine-fragen', 'https://wiso.uni-koeln.de/de/studium/studienorganisation/faq/allgemeine-fragen', 'https://wiso.uni-koeln.de/de/studium/bachelor', 'https://wiso.uni-koeln.de/de/studium/studienorganisation/faq/bachelor']</t>
  </si>
  <si>
    <t>Master-Studium</t>
  </si>
  <si>
    <t>Wann beginnen die angebotenen Masterprogramme?</t>
  </si>
  <si>
    <t>Die Masterprogramme an der Universität zu Köln beginnen im Wintersemester. Die genauen Termine können je nach Studiengang variieren, aber grundsätzlich starten die Masterprogramme am 1. Oktober eines jeden Jahres.  Es ist ratsam, sich direkt bei der Universität oder der jeweiligen Fakultät über die genauen Termine und Anmeldeverfahren zu informieren.</t>
  </si>
  <si>
    <t>Die angebotenen Masterprogramme starten zum Wintersemester. Die Bewerbung erfolgt bis Mitte des Jahres.</t>
  </si>
  <si>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t>
  </si>
  <si>
    <t>['file://D:/Uni-Köln/Masterarbeit/Software/uzk-masterarbeit/data/pdf_cache/__wiso.uni-koeln.de_sites_fakultaet_dokumente_PA_po_po_m_economics.pdf', 'https://wiso.uni-koeln.de/de/studium/master', 'file://D:/Uni-Köln/Masterarbeit/Software/uzk-masterarbeit/data/pdf_cache/__wiso.uni-koeln.de_sites_fakultaet_dokumente_downloads_master_Zulassungsordnungen_ZO_Gesundheitsoekonomie.pdf', 'https://wiso.uni-koeln.de/de/fakultaet/dekanat/zentrale-fakultaetsverwaltung/pruefungsamt/po-2007-2008/studium-integrale', 'https://wiso.uni-koeln.de/en/fakultaet/dekanat/zentrale-fakultaetsverwaltung/pruefungsamt/po-2007-2008/studium-integrale']</t>
  </si>
  <si>
    <t>['pdf', 'html', 'pdf', 'html', 'html']</t>
  </si>
  <si>
    <t>Was ist für eine Bewerbung in ein höheres Fachsemester eines Bachelorstudiengangs an der WiSo-Fakultät erforderlich?</t>
  </si>
  <si>
    <t>Um als Quereinsteiger/in in ein höheres Fachsemester an der WiSo-Fakultät zu gelangen, müssen Sie sich zunächst bei dem Studierendensekretariat/International Office mit einer Bewerbung auf ein höheres Fachsemester innerhalb der vom Studierendensekretariat/International Office festgesetzten Fristen einreichen. Nach erfolgter Immatrikulation müssen Sie im Prüfungsamt außerdem einen abschließenden Antrag auf Anerkennung einreichen.  Wenn Sie Ihren Studiengang innerhalb der WiSo-Fakultät wechseln möchten, beachten Sie bitte die hier hinterlegten Informationen.  Es ist auch wichtig zu beachten, dass für Masterstudiengänge der WiSo-Fakultät nur zum Wintersemester Bewerbungen möglich sind. Für Bachelorstudiengänge können Bewerbungen sowohl im Sommer- als auch im Wintersemester erfolgen.  Wenn Sie bereits einen Studiengang an einer Universität innerhalb Deutschlands absolviert haben, gelten Sie bei der Bewerbung zum höheren Fachsemester als Ortswechsler:in. In diesem Fall müssen Sie sich zunächst mit einem ausgefülltem Formular und einer aktuellen Studienbescheinigung per Mail an den WiSo Student Service Point wenden. Wenn Ihnen der Ortswechsel-Status vom WiSo-Prüfungsamt bescheinigt wird, können Sie sich mit der Bescheinigung auf das höhere Fachsemester beim Studierendensekretariat bewerben.  Ich hoffe, diese Informationen helfen Ihnen bei Ihrer Bewerbung!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</si>
  <si>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</si>
  <si>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</si>
  <si>
    <t>['https://wiso.uni-koeln.de/de/fakultaet/dekanat/zentrale-fakultaetsverwaltung/pruefungsamt/po-2015-po-2021/bescheinigungen/ortswechsel-quereinstieg-sowie-fachsemestereinstufung/fachsemestereinstufung',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 'https://wiso.uni-koeln.de/de/studium/bewerbung/master/hoeheres-fachsemester', 'https://wiso.uni-koeln.de/de/studium/studienorganisation/faq/bachelor/studienwahl-und-bewerbung']</t>
  </si>
  <si>
    <t>Unter welchen Voraussetzungen ist ein Studium an der WiSo-Fakultät auch ohne Abitur möglich?</t>
  </si>
  <si>
    <t>Es tut mir leid, aber ich konnte keine Informationen finden, die besagen, dass ein Studium an der WiSo-Fakultät ohne Abitur möglich ist. Die Universität zu Köln erfordert in der Regel ein Abitur für das Studium.  Wenn Sie jedoch nach Möglichkeiten suchen, ein Studium ohne Abitur zu beginnen, gibt es einige Wege:  1.  **Zweiter Bildungsweg**: Einige Hochschulen und Fachhochschulen bieten den zweiten Bildungsweg an, der es ermöglicht, ein Studium ohne Abitur zu beginnen. 2.  **Berufliche Qualifikationen**: Wenn Sie bereits beruflich qualifiziert sind, können Sie in manchen Fällen ein Studium aufnehmen, ohne dass ein Abitur erforderlich ist.  Ich empfehle Ihnen, sich an die Studienberatung der Universität zu Köln oder an eine andere Hochschule zu wenden, um mehr über diese Möglichkeiten zu erfahren.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</si>
  <si>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</si>
  <si>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</si>
  <si>
    <t>['https://wiso.uni-koeln.de/de/studium/bachelor/bachelor-wirtschaftsinformatik', 'https://wiso.uni-koeln.de/de/studium/master', 'https://wiso.uni-koeln.de/de/studium/studienorganisation/erstsemester', 'https://wiso.uni-koeln.de/de/studium/studienorganisation/faq/allgemeine-fragen', 'https://wiso.uni-koeln.de/de/studium']</t>
  </si>
  <si>
    <t>An wen können sich Studieninteressierte wenden, wenn sie noch Fragen zu WiSo-Bachelorstudiengängen und Bewerbungsverfahren haben?</t>
  </si>
  <si>
    <t>Wenn Sie noch Fragen zu WiSo-Bachelorstudiengängen und Bewerbungsverfahren haben, können Sie sich an das Studierendensekretariat der Universität zu Köln wenden. Dort erhalten Sie Informationen über die Bewerbungsfristen und -verfahren sowie allgemeine Fragen zum Studium.  Alternativ können Sie auch den WiSo Student Service Point besuchen oder ein Anfragenformular ausfüllen, um persönlich oder per Telefonat Ihre Fragen zu klären.  Es ist auch ratsam, sich auf der Homepage des WiSo-Prüfungsamtes über die Prüfungsordnungen und Modulhandbücher zu informieren.</t>
  </si>
  <si>
    <t>Bei offenen Fragen zu den Studiengängen und zum Bewerbungsverfahren können sich Studieninteressierte an den WiSo Student Service Point wenden – entweder in einem persönlichen Gespräch, telefonisch oder über ein Anfragenformular.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</si>
  <si>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t>
  </si>
  <si>
    <t>['https://wiso.uni-koeln.de/de/studium/studienorganisation/faq/allgemeine-fragen', 'https://wiso.uni-koeln.de/de/studium/bewerbung/bachelor', 'https://wiso.uni-koeln.de/de/studium/bewerbung/bachelor', 'https://wiso.uni-koeln.de/de/studium/studienorganisation/faq/bachelor/studienwahl-und-bewerbung', 'file://D:/Uni-Köln/Masterarbeit/Software/uzk-masterarbeit/data/pdf_cache/__wiso.uni-koeln.de_sites_fakultaet_dokumente_downloads_Modulhandbuecher_Studienjahr_22-23_MHB_PO2021_b_mhb_po2021_sowi.pdf']</t>
  </si>
  <si>
    <t>Wie ist das Bewerbungs- und Zulassungsverfahren für Masterstudiengänge an der WiSo-Fakultät grundsätzlich geregelt?</t>
  </si>
  <si>
    <t>Das Bewerbungs- und Zulassungsverfahren für Masterstudiengänge an der WiSo-Fakultät ist wie folgt geregelt:  * Die Bewerbung findet jährlich zum Wintersemester statt. * Die Bewerbungsfrist ist Mitte des Jahres (genaue Frist: 15. Juni). * Zulassungen für das erste Fachsemester erfolgen jeweils zum Wintersemester. * Die Zulassungsanträge für das erste Fachsemester müssen bis zum 15. Juni eines Jahres eingereicht werden (Ausschlussfristen). * Zulassungsanträge für ein höheres Fachsemester müssen bei einer Bewerbung für das Sommersemester bis zum 15. März eingereicht werden.  Es ist wichtig, dass Sie sich auf den Seiten der WiSo-Fakultät über die studiengangspezifischen Informationen zu Ihrem Wunschstudiengang informieren und die allgemeinen Informationen zum Bewerbungs- und Zulassungsprozess sorgfältig durchlesen. Wenn Sie Fragen haben, können Sie sich gerne an das WiSo-Studienberatungsze...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</si>
  <si>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</si>
  <si>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</si>
  <si>
    <t>['https://wiso.uni-koeln.de/de/studium/studienorganisation/faq/master', 'https://wiso.uni-koeln.de/de/studium/bewerbung/master', 'https://wiso.uni-koeln.de/de/studium/bachelor/bachelor-lehramt/studienaufbau', 'file://D:/Uni-Köln/Masterarbeit/Software/uzk-masterarbeit/data/pdf_cache/__wiso.uni-koeln.de_sites_fakultaet_dokumente_downloads_master_Zulassungsordnungen_ZO_WiSoMaster_202223.pdf', 'https://wiso.uni-koeln.de/de/studium/bewerbung/studium-an-der-wiso-fakultaet']</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</si>
  <si>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</si>
  <si>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</si>
  <si>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</si>
  <si>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</si>
  <si>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</si>
  <si>
    <t>Wo finden internationale Studieninteressierte Informationen zum Bewerbungsverfahren für einen WiSo-Bachelor?</t>
  </si>
  <si>
    <t>Internationale Studieninteressierte finden Informationen zum Bewerbungsverfahren für einen WiSo-Bachelor auf der Universität zu Köln-Website unter [www.wiso.uni-koeln.de](http://www.wiso.uni-koeln.de). Dort können sie sich über die Fristen und das Bewerbungsverfahren informieren. Es ist ratsam, sich auch beim International Office der Universität zu Köln zu erkundigen, da es spezielle Informationen für internationale Studieninteressierte bereitstellt.</t>
  </si>
  <si>
    <t>Internationale Studieninteressierte sollen sich vor der Bewerbung beim International Office der Universität zu Köln über das Bewerbungsverfahren informieren. Der Link zum International Office ist auf der WiSo-Bachelor-Bewerbungsseite hinterlegt.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</si>
  <si>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t>
  </si>
  <si>
    <t>['https://wiso.uni-koeln.de/de/studium/studienorganisation/faq/allgemeine-fragen', 'https://wiso.uni-koeln.de/de/studium/bachelor/bachelor-wirtschaftsinformatik', 'https://wiso.uni-koeln.de/de/studium/bewerbung/bachelor', 'https://wiso.uni-koeln.de/de/studium/bachelor/bachelor-sozialwissenschaften', 'https://wiso.uni-koeln.de/de/studium/studienorganisation/faq/bachelor/fragen-im-bachelorstudium']</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</si>
  <si>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</si>
  <si>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</si>
  <si>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 Credits: 120 ECTS-Credits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</si>
  <si>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</si>
  <si>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['agement Master of Science Business Administration - Accounting and Taxation: Supplementary Section Accounting and Taxation Master of Science Business Administration - Marketing: Supplementary Section Marketing Master of Science Information Systems: Supplementary Section Information Sys tems Master of Science Business Administration - Corporate Development: Supplementary Section Corporate Development Master of Science Business Administration - Finance: Specialisation Section Finance Master of Science International Management: Supple 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Finance 10 Miscellaneous --- Page 129 --- valid for students of the ER 2021 (enrolment fr om winter semester 2021/22 ) BUSINESS ADMINISTRATION : SUPPLY CHAIN MANAGEMENT - MASTER OF SCIENCE 125 CM Information Systems I Module Code 1277MBISY1 Workload 180h ECTS Credits 6 Module Language English Module Availability every 2nd term - winter term Duration 1 Term 1 Courses Information Systems and Environmental Sustainability Contact Hours 60h Self- Studies 120h Course Language English 2 Module Content • Forms and types of sustainability • Key sustainability indicators • Green IT • Green IS • Transformation potential of information systems',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</si>
  <si>
    <t>['file://D:/Uni-Köln/Masterarbeit/Software/uzk-masterarbeit/data/pdf_cache/__wiso.uni-koeln.de_sites_fakultaet_dokumente_downloads_master_Studienjahr_24-25_m_mhb_po2021_e_ba_scm.pdf',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'file://D:/Uni-Köln/Masterarbeit/Software/uzk-masterarbeit/data/pdf_cache/__wiso.uni-koeln.de_sites_fakultaet_dokumente_downloads_Modulhandbuecher_Master_MHB_aktuelles_Studienjahr_m_mhb_po2021_is.pdf']</t>
  </si>
  <si>
    <t>Worum geht es inhaltlich im Studiengang Master Information Systems?</t>
  </si>
  <si>
    <t>Basierend auf den Suchergebnissen kann ich sagen, dass der Master-Studiengang "Information Systems" an der Universität zu Köln eine doppelte Qualifikation in Wirtschaftswissenschaften und Informatik bietet. Der Studiengang umfasst verschiedene Module, darunter:  * Seminar Information Systems I * Advanced Seminar Collaborative Innovation Networks * Advanced Seminar Information Systems for Sustainable Society * Advanced Seminar Information Systems and Digital Technology * Advanced Seminar Integrated Information Systems  Der Master-Studiengang kann in verschiedenen Profilen absolviert werden, wie zum Beispiel Business Analytics und Data Science, Digital Innovation und Entrepreneurship oder Digital Sustainable Society.  Die Prüfungen bestehen aus einer Modulabschlussprüfung, bei der ein Kurs besucht werden muss und die schriftliche Prüfung auf den Inhalt des Kurses bezieht sich. Der Master-Studiengang endet mit einem Master-Thesis, bei dem 30 Leistungspunkte erworben werden können.  Ich hoffe, diese Informationen helfen dir weiter! Wenn du weitere Fragen hast, stehe ich gerne zur Verfügung.</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</si>
  <si>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</si>
  <si>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t>
  </si>
  <si>
    <t>['https://wiso.uni-koeln.de/en/studies/application/master/master-information-systems',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</si>
  <si>
    <t>['html', 'pdf', 'pdf', 'pdf', 'pdf']</t>
  </si>
  <si>
    <t>Welche Bewerbungsfrist gilt für den Master Studiengang Information Systems?</t>
  </si>
  <si>
    <t>Die Bewerbungsfrist für den Master Studiengang Information Systems ist ab Mitte April bis zum 15. Juni. Sie können sich ausschließlich online über das Campusmanagement System bewerben.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</si>
  <si>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</si>
  <si>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t>
  </si>
  <si>
    <t>['https://wiso.uni-koeln.de/de/studium/bewerbung/master/master-information-systems', 'https://wiso.uni-koeln.de/de/studium/master/master-information-systems', 'https://wiso.uni-koeln.de/de/studium/bewerbung/master/master-business-administration', 'https://wiso.uni-koeln.de/de/studium/bewerbung/master/master-international-management-cems-mim', 'https://wiso.uni-koeln.de/de/studium/bewerbung/master/master-politikwissenschaft']</t>
  </si>
  <si>
    <t>Welche zentralen Kompetenzen und Themen werden für den Master Information Systems an der WiSo-Köln hervorgehoben?</t>
  </si>
  <si>
    <t>Basierend auf den Suchergebnissen kann ich sagen, dass die zentralen Kompetenzen und Themen für den Master Information Systems an der WiSo-Köln nicht explizit in den Suchergebnissen genannt werden. Es wird jedoch erwähnt, dass das WiSo Student Service Point (WissPo) eine erste Anlaufstelle für Fragen und Probleme rund um das Studium ist.  Es ist möglich, dass die zentralen Kompetenzen und Themen im Rahmen des Master Information Systems in den Modulhandbüchern oder der Prüfungsordnung genauer beschrieben sind. Ich empfehle, sich direkt an die Studienberatung zu wenden, um genauere Informationen zu erhalten.  Wenn Sie weitere Fragen haben, stehe ich Ihnen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</si>
  <si>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</si>
  <si>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Beratungsan- geboten bezüglich Auslandssemestern, Well -Being, Berufso rientierung und vielem weiteren mehr. Der WissPo ist telefonisch, persönlich und per E -Mail erreichbar; bitte beachten Sie die jeweiligen Öffnungszeiten. Das CEMS Office Cologne hilft bei allen Themen rund um das CEMS MIM Studium weiter und berät ebenfalls zu Studienverlaufsplanung, Anrechnung von CEMS -Anforderungen und allen weiteren Fragen, die das CEMS -Programm betreffen. 2.2 Veranstaltungsbelegung in KLIPS 2.0 KLIPS 2.0 ist das zentrale Campus Management System der Universität zu Köln. An der WiSo -Fakultät dient KLIPS 2.0 als studentisches Organisationstool. Die Studierenden sollen es als Online -Vorlesungsverzeich 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via das Anfrageformular kontaktie- ren. Für Accountfragen wenden Sie sich an den zentralen KLIPS -Support . 2.3 Prüfungsanmeldun',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Kontakt.\n\nHI\n\nzum Seitenanfang',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Kontakt.\n\nHI\n\nTo top of page', "cellent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t>
  </si>
  <si>
    <t>['file://D:/Uni-Köln/Masterarbeit/Software/uzk-masterarbeit/data/pdf_cache/__wiso.uni-koeln.de_sites_fakultaet_dokumente_downloads_master_Aktuelle_MHB_s_m_mhb_po2021_intmanagement_2425.pdf', 'https://wiso.uni-koeln.de/de/services/it', 'https://wiso.uni-koeln.de/en/services/it', 'https://wiso.uni-koeln.de/en/studies/master/master-political-science', 'https://wiso.uni-koeln.de/de/services/wiso-student-service-point/weitere-beratungsangebote-der-uzk']</t>
  </si>
  <si>
    <t>['pdf', 'html', 'html', 'html', 'html']</t>
  </si>
  <si>
    <t>Für wen eignet sich der Studiengang Master Information Systems?</t>
  </si>
  <si>
    <t>Der Master-Studiengang Information Systems ist für Personen geeignet, die sich in der IT-Branche oder im Bereich des Informationsmanagements interessieren. Insbesondere sind folgende Zielgruppen von Interesse:  * Absolventen eines Bachelor-Studiums in Informatik, Wirtschaftsinformatik oder einem verwandten Fach * Berufstätige mit Erfahrung in der IT-Branche, die ihre Kenntnisse und Fähigkeiten erweitern möchten * Personen, die sich für die Gestaltung und Implementierung von Informationssystemen interessieren  Der Master-Studiengang Information Systems bietet eine umfassende Ausbildung in den Bereichen Informationsmanagement, Datenbanken, Software-Entwicklung und IT-Sicherheit. Die Absolventen des Studiengangs verfügen über die notwendigen Kenntnisse und Fähigkeiten, um komplexe Informationssysteme zu konzipieren, zu entwickeln und zu implementieren.  Es ist jedoch ratsam, sich vor der Bewerbung für den Master-Studiengang Information Systems über die Zulassungsvoraussetzungen und die Inhalte des Studiengangs zu informieren.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</si>
  <si>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</si>
  <si>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['INFORMATION SYSTEMS - MASTER OF SCIENCE 162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167 --- Gültig für Studierende der PO 2015 (Einschreibung erfolgte letztmalig zum WiSe 2020/21) MODULHANDBUCH – INFORMATION SYSTEMS - MASTER OF SCIENCE 163 SM Empirical Methods and Data Analysis IV Kennnummer 1314MSEMD4 Workload 180h LP 6 M',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</si>
  <si>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'file://D:/Uni-Köln/Masterarbeit/Software/uzk-masterarbeit/data/pdf_cache/__wiso.uni-koeln.de_sites_fakultaet_dokumente_forschung_Forschungsbericht_forschungsbericht98_wiso.pdf',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'file://D:/Uni-Köln/Masterarbeit/Software/uzk-masterarbeit/data/pdf_cache/__wiso.uni-koeln.de_sites_fakultaet_dokumente_downloads_Modulhandbuecher_Studienjahr_22-23_MHB_PO2021_m_mhb_po2021_is.pdf', 'file://D:/Uni-Köln/Masterarbeit/Software/uzk-masterarbeit/data/pdf_cache/__wiso.uni-koeln.de_sites_wiso_career_pdf_Allgemeines_UEbergreifendes_Bewerbungshilfen_Praktikumsleitfaden_Sozialwissenschaften.pdf']</t>
  </si>
  <si>
    <t>Von welchem Institut wird der Master Information Systems an der WiSo-Köln getragen und welche wissenschaftlichen Auszeichnungen werden dort hervorgehoben?</t>
  </si>
  <si>
    <t>Basierend auf den Suchergebnissen kann ich folgern:  * Der Master Information Systems an der WiSo-Köln wird vom Institut für Wirtschaftsinformatik (IWi) getragen. * Die wissenschaftlichen Auszeichnungen, die am IWi hervorgehoben werden, sind unter anderem:  + Internationale Spitzenposition in der Forschung  + Interdisziplinärer Ansatz mit drei Schwerpunkten: Business Analytics and Data Science, Digital Innovation and Entrepreneurship und Digital Sustainable Society  + Einzigartige Mischung aus traditioneller Analytik und modernen analytischen Methoden (z.B. maschinelles Lernen, KI einschließlich Generative Modelle)  + Forschungsaufgaben im Bereich Social Media Network Analysis oder Nachhaltigkeit  Ich hoffe, diese Informationen helfen dir weiter! Wenn du weitere Fragen hast, stehe ich gerne zur Verfügung.</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</si>
  <si>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</si>
  <si>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'erantwortungsvolle Tätigkeit in spannenden Bereichen vorbereitet.\n\nNoch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Programmübersicht\n\nWir bereiten Sie auf zukünftige Herausforderungen vor!\n\nDer Kölner Master in Soziologie – Empirische Sozialforschung kombiniert fortgeschrittene Ausbildung in Soziologie und Sozialforschung mit der Möglichkeit, Kurse im Bereich Betriebswirtschaft, Datenanalytik, Wirtschaftswissenschaften und weiteren Sozialwissenschaften zu belegen. Wenn Sie diesen Studiengang wählen, profitieren Sie von der interdisziplinären Stärke der Wirtschafts- und Sozialwissenschaftlichen Fakultät.\n\nDas Studium fokussiert sich sowohl auf wissenschaftliche Forschung als auch praktischen Bezug. Wir bauen auf eine starke Forschungsreputation, veröffentlichen regelmäßig in international führenden Fachzeitschriften und präsentieren unsere Arbeit auf Konferenzen auf der ganzen Welt. Da wir überwiegend empirisch forschen, arbeiten wir mit verschiedenen Organisationen und Instituten zusammen - das gibt Ihnen viele Möglichkeiten, praktische Erfahrungen in privaten und öffentlichen Forschungseinrichtungen zu sammeln. Starke Verbindungen bestehen unter anderem zum GESIS - Leibniz-Institut für Sozialwissenschaften, dem Max-Planck-Institut für Ges']</t>
  </si>
  <si>
    <t>['https://wiso.uni-koeln.de/de/aktuelles-und-neuigkeiten/news-einzelansicht/erneute-bestplatzierung-fuer-koelner-institut-fuer-wirtschaftsinformatik', 'https://wiso.uni-koeln.de/de/aktuelles-und-neuigkeiten/news-einzelansicht/wiso-erneut-fuehrend-im-ranking-der-wirtschaftsinformatik', 'https://wiso.uni-koeln.de/de/aktuelles-und-neuigkeiten/news-einzelansicht/bestplatzierung-fuer-koelner-institut-fuer-wirtschaftsinformatik', 'https://wiso.uni-koeln.de/de/fakultaet/departments/information-systems/lehre', 'https://wiso.uni-koeln.de/de/studium/master/master-sociology/master-social-research']</t>
  </si>
  <si>
    <t>Wie beschreibt die WiSo-Fakultät den Praxisbezug im Masterstudiengang Information Systems?</t>
  </si>
  <si>
    <t>Der Praxisbezug im Masterstudiengang Information Systems an der WiSo-Fakultät wird durch die Zusammenarbeit mit Lehrbeauftragten aus verschiedenen Berufsfeldern und der Einbindung von Fach- und Führungskräften in die Lehre gewährleistet. Dies führt zu branchenspezifischen und aktuellsten Lehrinhalten, die den Studierenden praxisnah vermittelt werden.  Der Masterstudiengang bietet drei Schwerpunkte: Business Analytics and Data Science, Digital Innovation and Entrepreneurship und Digital Sustainable Society. Diese interdisziplinäre Ausrichtung ermöglicht es den Studierenden, nicht nur ein Verständnis für diese Themen zu gewinnen, sondern auch die Fähigkeiten zu entwickeln, um Business-Lösungen zu konzipieren und zu gestalten.  Die WiSo-Fakultät setzt sich durch enge Beziehungen zur Wirtschaft ein. Die Fakultät hält engen Kontakt mit Unternehmen und Gastdozentierenden aus verschiedenen Berufsfeldern, was zu spezifischen, aktuellen Programminhalten führt, die Praxis und Theorie verbinden.  Insgesamt bietet der Masterstudiengang Information Systems an der WiSo-Fakultät einen starken Praxisbezug, der den Studierenden hilft, ihre Fähigkeiten in den Bereichen Business Analytics, Digital Innovation und Digital Sustainable Society zu entwickeln.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</si>
  <si>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</si>
  <si>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</si>
  <si>
    <t>['https://wiso.uni-koeln.de/de/praxis/praxisbezug-in-den-studiengaengen', 'https://wiso.uni-koeln.de/de/aktuelles-und-neuigkeiten/news-einzelansicht/bestplatzierung-fuer-koelner-institut-fuer-wirtschaftsinformatik', 'https://wiso.uni-koeln.de/de/studium/master/master-information-systems', 'https://wiso.uni-koeln.de/de/praxis', 'file://D:/Uni-Köln/Masterarbeit/Software/uzk-masterarbeit/data/pdf_cache/__wiso.uni-koeln.de_sites_fakultaet_dokumente_downloads_master_Studienjahr_24-25_m_mhb_po2021_e_is.pdf']</t>
  </si>
  <si>
    <t>Welche Beratungsangebote für Studieninteressierte werden im Zusammenhang mit dem Master Information Systems angeboten und wer koordiniert sie?</t>
  </si>
  <si>
    <t>Basierend auf den Suchergebnissen kann ich sagen, dass es keine spezifischen Beratungsangebote für Studieninteressierte im Zusammenhang mit dem Master Information Systems gibt. Die Universitäts-Wissensdatenbank enthält jedoch Informationen zu verschiedenen Ergänzungsbereichen und Wahlpflichtfächern, die möglicherweise relevant sein könnten.  Ich empfehle Ihnen, sich direkt an die Studienberatung der WiSo-Fakultät zu wenden, um spezifische Beratungsangebote für den Master Information Systems zu erhalten. Die Studienberatung kann Ihnen weitere Informationen und Unterstützung bieten, um Ihre Fragen zu beantworten.  Wenn Sie möchten, kann ich Ihnen auch die Kontaktdaten der Studienberatung der WiSo-Fakultät mitteilen, damit Sie sich direkt an sie wenden können.</t>
  </si>
  <si>
    <t>Studieninteressierte werden auf Orientierungs- und Beratungsangebote hingewiesen, die vom WiSo Student Service Point koordiniert werden und eine individuelle, auf die Bedürfnisse der Interessierten zugeschnittene Beratung bieten.</t>
  </si>
  <si>
    <t>['and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Informatik: Anwendungsfeld Master of Science Geographie: Wahlpflichtfach Management &amp; Social Sciences Master of Science Economics: Ergä nzungsbereich Management &amp; Social Sciences Master of Science Mathematik: --- Page 54 --- Gültig für Studierende der PO 2021 (Einschreibung ab WiSe 2021/22) INFORMATION SYSTEMS - MASTER OF SCIENCE 50 Wirtschaftswissenschaften Master of Science Wirtschaftsmathematik: Wirtschaftswissenschaften Master of Science International Management: Ergänzungsbereich International Manageme nt Master of Education Wirtschaftspädagogik/Lehramt an Berufskollegs: Ergänzungbereich Wirtschaftspädagogik Master of Arts Regionalstudien China - Betriebswirtschaftslehre: Ergänzungsbereich Business Administration Master of Science Business Administr ation - Accounting and Taxation: Schwerpunktbereich Accounting and Taxation 9 Modulbeauftragte/r Univ. -Prof. Dr. Michael Overesch 10 Sonstige Informationen --- Page 55 --- Gültig für Studierende der PO 2021 (Einschreibung ab WiSe 2021/22) INFORMATION SYSTEMS - MASTER OF SCIENCE 51 SM Advanced Accounting Kennnummer 1016MSAAC1 Workload 180h LP 6 Modulsprache Englisch Modulbeginn jedes']</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</si>
  <si>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</si>
  <si>
    <t>Wie unterstützt der WiSo-Career-Service Studierende?</t>
  </si>
  <si>
    <t>Der WiSo Career Service unterstützt Studierende bei der Planung ihrer beruflichen Laufbahn. Er bietet Beratung und Unterstützung bei der Suche nach einem passenden Praktikum, der Berufswahl und hilft bei der Karriereplanung und dem Bewerbungsprozess. Der WiSo Career Service organisiert auch Seminare, Vorträge und zielgerichtete Angebote in Kooperation mit Arbeitgebern, externen und internen Experten. Er bietet gemeinsam mit den fakultäts- und universitätsinternen Partnern bei der Berufsfindungsphase Unterstützung an.</t>
  </si>
  <si>
    <t>Der WiSo-Career-Service berät Studierende bei der Suche nach passenden Praktika, bei der Berufswahl und unterstützt sie in Karriereplanung und Bewerbungsprozess.</t>
  </si>
  <si>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</si>
  <si>
    <t>['https://wiso.uni-koeln.de/de/praxis/wiso-career-service', 'file://D:/Uni-Köln/Masterarbeit/Software/uzk-masterarbeit/data/pdf_cache/__wiso.uni-koeln.de_sites_fakultaet_dokumente_downloads_Modulhandbuecher_Studienjahr_24-25_PO_2015_MHB_Bachelor_Gesoek_po2015_final.pdf', 'https://wiso.uni-koeln.de/de/praxis/wiso-career-service/',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'file://D:/Uni-Köln/Masterarbeit/Software/uzk-masterarbeit/data/pdf_cache/__wiso.uni-koeln.de_sites_fakultaet_dokumente_downloads_Modulhandbuecher_Studienjahr_22-23_MHB_PO2015_m_mhb_po2015_ba_finance.pdf']</t>
  </si>
  <si>
    <t>['html', 'pdf', 'html', 'pdf', 'pdf']</t>
  </si>
  <si>
    <t>Welche Unterlagen muss ich meiner Verifikationsagentur geben, damit sie meinen Abschluss prüfen lassen kann?</t>
  </si>
  <si>
    <t>Es tut mir leid, aber ich konnte keine relevanten Informationen finden, um deine Frage zu beantworten. Es scheint jedoch, dass du nach Unterlagen suchst, die für die Verifikationsagentur benötigt werden, damit sie deinen Abschluss prüfen lassen kann.  Ich empfehle dir, direkt mit der Universität zu Köln in Kontakt zu treten und nachzuschauen, welche Unterlagen genau benötigt werden. Sie können auch die folgende Vorlage nutzen: Vorlage Einwilligungserklärung zur Verifikation von Abschlüssen (pdf).  Wenn du weitere Fragen hast oder Hilfe benötigst,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</si>
  <si>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</si>
  <si>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</si>
  <si>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'https://wiso.uni-koeln.de/de/studium/bewerbung/master/master-politikwissenschaft']</t>
  </si>
  <si>
    <t>['html', 'html', 'pdf', 'html', 'html']</t>
  </si>
  <si>
    <t>In welchem Dateiformat müssen die Unterlagen für eine Verifikationsanfrage eingereicht werden? Reicht ein Foto als JPG oder PNG?</t>
  </si>
  <si>
    <t>Es tut mir leid, aber die Suchergebnisse haben keine klare Antwort auf deine Frage.  Die Universitäts-Wissensdatenbank enthält Informationen über das Verifikationsantragsverfahren und die erforderlichen Unterlagen. Es wird empfohlen, die Unterlagen in einem geeigneten Format zu übermitteln, aber es ist nicht explizit angegeben, dass ein Foto als JPG oder PNG akzeptiert werden kann.  Um eine genaue Antwort zu erhalten, würde ich vorschlagen, direkt mit der Universität zu Kontakt aufzunehmen oder die offizielle Website zu besuchen, um nach Informationen über das Verifikationsantragsverfahren und die erforderlichen Unterlagen zu suchen.</t>
  </si>
  <si>
    <t>Ausschließlich Anlagen im PDF-Format können geöffnet und bearbeitet werden können. Bitte reichen Sie dementsprechend Ihre Unterlagen als PDF ein. Reine JPG- oder PNG-Dateien entsprechen nicht den Vorgaben aund sollten vorher in ein PDF umgewandelt werden</t>
  </si>
  <si>
    <t>['Abschlussnote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</si>
  <si>
    <t>['https://wiso.uni-koeln.de/de/studium/bewerbung/master/faqs-zulassungsordnungen',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'https://wiso.uni-koeln.de/de/studium/bewerbung/master/master-business-analytics-and-econometrics']</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</si>
  <si>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</si>
  <si>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 von Verifikationsanfragen zur Verifikation von Abschlüssen an der WiSo-Fakultät kann mehrere Wochen in Anspruch nehmen. Es ist daher ratsam, von Nachfragen innerhalb der ersten drei Wochen nach Versand der Unterlagen abzusehen.  Wenn du weitere Fragen hast oder Hilfe benötigst, stehe ich gerne zur Verfügung!</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</si>
  <si>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</si>
  <si>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t>
  </si>
  <si>
    <t>['https://wiso.uni-koeln.de/de/services/verifikation-von-abschluessen', 'https://wiso.uni-koeln.de/de/services/verifikation-von-abschluessen', 'https://wiso.uni-koeln.de/de/studium/studienorganisation/faq/bachelor', 'https://wiso.uni-koeln.de/en/studies/organising-your-studies/faq/bachelor', 'https://wiso.uni-koeln.de/en/fakultaet/dekanat/zentrale-fakultaetsverwaltung/pruefungsamt/po-2007-2008/abschlussarbeiten']</t>
  </si>
  <si>
    <t>Was ist mit einer Verifikationsanfrage gemeint?</t>
  </si>
  <si>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</si>
  <si>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</si>
  <si>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</si>
  <si>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</si>
  <si>
    <t>An welche Stellen kann ich mich wenden, wenn ich Probleme oder Beschwerden zu meinem Studium habe?</t>
  </si>
  <si>
    <t>Wenn Sie Probleme oder Beschwerden zu Ihrem Studium haben, können Sie sich an folgende Stellen wenden:  1. **WiSo-Fakultät**: Die Wiso-Fakultät hat ein organisiertes System für die Entgegennahme von Beschwerden und Problemen von Studierenden. Sie können sich direkt an das WiSSPo (Student Service Point) wenden, um Ihre Anliegen zu besprechen. 2. **Studienberatung**: Die Studienberatung ist eine weitere Stelle, die Ihnen bei Fragen und Problemen mit Ihrem Studium helfen kann. Sie finden Informationen zur Studienberatung auf der Website der Universität zu Köln. 3. **Beschwerdemanagement**: Die Universität zu Köln hat ein Beschwerdemanagement-System, das es ermöglicht, Beschwerden und Anliegen von Studierenden zu bearbeiten. Sie können sich an die zuständige Stelle wenden, um Ihre Beschwerde einzubringen. 4. **Studierendensekretariat**: Das Studierendensekretariat ist eine weitere Stelle, die Ihnen bei Fragen und Problemen mit Ihrem Studium helfen kann.  Es ist wichtig zu beachten, dass es verschiedene Wege gibt, um sich an diese Stellen zu wenden. Sie können sich direkt an das WiSSPo wenden, per Telefon oder persönlich in der Sprechstunde. Alternativ können Sie auch eine E-Mail schreiben oder sich an die zuständige Stelle wenden.  Ich hoffe, diese Informationen helfen Ihnen weiter! Wenn Sie weitere Fragen haben, stehe ich Ihnen gerne zur Verfügung.</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</si>
  <si>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</si>
  <si>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</si>
  <si>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</si>
  <si>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Was passiert, nachdem ich ein Problem beim WiSSPo gemeldet habe?</t>
  </si>
  <si>
    <t>Nachdem Sie ein Problem beim WiSSPo gemeldet haben, wird es wie folgt bearbeitet:  - Wenn Sie eine nicht bestandene Modulprüfung haben, können Sie diese einmal mit neuem Thema wiederholen. Die Meldung zum zweiten Versuch muss innerhalb von sechs Monaten nach Bekanntgabe des Ergebnisses des ersten Versuchs erfolgen. - Wenn Sie dreimal in Folge eine Modulprüfung nicht bestanden haben, erhalten Sie eine schriftliche Mitteilung über die zur Verfügung stehenden Optionen. Wir empfehlen Ihnen, vor der Inanspruchnahme des zusätzlichen Versuchs eine Studienberatung beim WiSo-Student Service Point in Anspruch zu nehmen. - Die Wiederholung bestandener Modulprüfungen ist nicht möglich.  Es ist wichtig, dass Sie sich an die genannten Fristen und Bedingungen halten, um Ihre Möglichkeiten zur Verbesserung Ihrer Studienleistung nutzen zu können. Wir empfehlen Ihnen, sich bei der WiSSPo oder beim WiSo-Student Service Point für weitere Informationen und Unterstützung zu melden.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</si>
  <si>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</si>
  <si>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Hochschullehrerinnen und Hochschullehrern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neuem Thema wiederholt werden. Die Meldung zum zweiten Versuch muss innerhalb von sechs Monaten nach Bekanntgabe des Ergebnisses des ersten Versuchs erfolgen. 2.3 Fach - und Prüfungsberatung Für die allgemeine Studienberatung, insbeson dere Studienmöglichkeiten und Studienanfor- derungen, steht für sämtliche Studiengänge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 ntaktdaten auf der Homepage . Die Studienfachberatung wird von den Hochschullehrenden und den akademischen Mitar- beiter/innen , die an der Ausbildung des jeweiligen Studiengangs beteiligt sind, während der Sprechzeiten durchgeführt. Die Sprechzeiten werden du rch Aushang in den Instituten und im Internet auf den Homepages der jeweiligen Lehrstühle bekannt gegeben. Rechtsverbindliche Auskünfte zu Prüfungsleistu']</t>
  </si>
  <si>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'file://D:/Uni-Köln/Masterarbeit/Software/uzk-masterarbeit/data/pdf_cache/__wiso.uni-koeln.de_sites_fakultaet_dokumente_downloads_Modulhandbuecher_Studienjahr_22-23_MHB_PO2015_m_mhb_po2015_ba_marketing.pdf']</t>
  </si>
  <si>
    <t>Wie sieht der Prozess des Beschwerdemanagements an der WiSo-Fakultät aus?</t>
  </si>
  <si>
    <t>Der Prozess des Beschwerdemanagements an der WiSo-Fakultät ist wie folgt aufgebaut:  1.  Die Studierenden können ihre Probleme und Beschwerden direkt beim WiSSPo (WiSo Student Service Point) melden, das sich in der persönlichen Sprechstunde oder per Telefon oder Mail erreichen lässt. 2.  Wenn das Problem nicht sofort gelöst werden kann, wird es an eine geeignetere Stelle weitergeleitet, z.B. an das Prüfungsamt, Studierendensekretariat usw. 3.  Es gibt alternative Optionen der Studienplanung, die aufgezeigt werden können oder unmittelbar mit einer verantwortlichen Stelle Rücksprache gehalten wird, um eine sofortige Klärung zu ermöglichen.  Die WiSo-Fakultät hat ein organisiertes System für die Entgegennahme von Beschwerden und Problemen von Studierenden.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</si>
  <si>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</si>
  <si>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'hn-Haltestelle "Universität" aus erreichbar.)\n\n## Ansprechpartner Website\n\nBezüglich der Website können Sie sich mit Fragen oder zur Meldung möglicher Fehldarstellungen an die Online-Redaktion oder bei technischen Problemen gerne an die WiSo-It wenden:\n\nOnline-Redaktion WiSo-Fakultät\n\nWiSo IT-Services Webmaster\n\n#\n\n## WiSo-Fakultät im UzK-Lageplan\n\nHI\n\nzum Seitenanfang']</t>
  </si>
  <si>
    <t>['https://wiso.uni-koeln.de/de/services/wiso-student-service-point/beschwerdemanagement', 'file://D:/Uni-Köln/Masterarbeit/Software/uzk-masterarbeit/data/pdf_cache/__wiso.uni-koeln.de_sites_fakultaet_bilder_studium_Service_und_Beratung_Beschwerdemanagement_WiSo.pdf', 'https://wiso.uni-koeln.de/de/services', 'https://wiso.uni-koeln.de/de/services/wiso-student-service-point/beschwerdemanagement', 'https://wiso.uni-koeln.de/de/services/kontakt']</t>
  </si>
  <si>
    <t>International</t>
  </si>
  <si>
    <t>Welche Möglichkeiten habe ich als WiSo-Student:in grundsätzlich, um ins Ausland zu gehen?</t>
  </si>
  <si>
    <t>Als WiSo-Student:in hast du verschiedene Möglichkeiten, ins Ausland zu gehen:  1. **Study Abroad Programme (STAP)**: Ein etabliertes Programm für einen einsemestrigen Austausch an einer renommierten Partnerhochschule. Im Rahmen von STAP ist eine ERASMUS-Förderung möglich, die finanzielle Unterstützung während des Auslandssemesters bietet. 2. **Akademische Kurzprogramme im Ausland**: Jährlich gibt es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mit dem D9 in Kontakt zu treten, um über mögliche Möglichkeiten und Unterstützung zu sprechen.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</si>
  <si>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</si>
  <si>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</si>
  <si>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</si>
  <si>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</si>
  <si>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Study Abroad Programme (STAP): Ein etabliertes Programm, das einen einsemestrigen Austausch an einer der renommierten Partnerhochschulen ermöglicht. * Finanzielle Unterstützung durch die WiSo-Fakultät * Befreiung von Studiengebühren bei einem Auslandssemester  Es ist auch möglich, dass es weitere Finanzierungsmöglichkeiten gibt, die nicht in der Universitäts-Wissensdatenbank aufgeführt sind. Es lohnt sich, sich an die Studienberatung oder andere zuständige Stellen zu wenden, um mehr über mögliche Finanzierungsmöglichkeiten zu erfahren.  Es ist auch wichtig zu beachten, dass einige dieser Finanzierungsmöglichkeiten nur für bestimmte Studiengänge oder Auslandssemester gültig sind. Es lohnt sich, die spezifischen Bedingungen und Anforderungen für das eigene Studium zu überprüfen.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</si>
  <si>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</si>
  <si>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</si>
  <si>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'file://D:/Uni-Köln/Masterarbeit/Software/uzk-masterarbeit/data/pdf_cache/__wiso.uni-koeln.de_sites_fakultaet_dokumente_downloads_Modulhandbuecher_Master_MHB_aktuelles_Studienjahr_m_mhb_po2021_economics.pdf', 'file://D:/Uni-Köln/Masterarbeit/Software/uzk-masterarbeit/data/pdf_cache/__wiso.uni-koeln.de_sites_wiso_career_pdf_Allgemeines_UEbergreifendes_Bewerbungshilfen_Kurzinfo_Auslandspraktikum__1_.pdf']</t>
  </si>
  <si>
    <t>Was ist das „STAP Master Term Abroad“ und welche Vorteile habe ich dadurch?</t>
  </si>
  <si>
    <t>Das "STAP Master Term Abroad" ist ein Austauschprogramm der WiSo-Fakultät, das es Studierenden ermöglicht, einen Teil ihres Masterstudiums an einer internationalen Partneruniversität zu absolvieren. Durch dieses Programm können Sie verschiedene Vorteile nutzen:  * Direkter Kontakt und organisatorische Unterstützung bei der Planung und Durchführung Ihres Auslandsaufenthalts * Exemption von Studiengebühren an der Partneruniversität * Zugang zu einer Vielzahl internationaler Universitäten, die je nach Master-Studiengang verfügbar sind  Es ist jedoch wichtig zu beachten, dass Sie sich frühzeitig für das Programm anmelden sollten und dass bestimmte Bedingungen und Anforderungen erfüllt werden müssen. Es lohnt sich, sich an der International Relations Center (ZIB WiSo) zu informieren und um Rat zu fragen, um alle Möglichkeiten und Vorteile des STAP Master Term Abroad nutzen zu können.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</si>
  <si>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</si>
  <si>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</si>
  <si>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t>
  </si>
  <si>
    <t>Nach welchen Kriterien wird im STAP Master Term Abroad entschieden, wer einen Platz erhält?</t>
  </si>
  <si>
    <t>Basierend auf den Suchergebnissen kann ich folgern, dass die Auswahlkriterien für den STAP Master Term Abroad nicht explizit in den Suchergebnissen genannt werden. Es wird jedoch erwähnt, dass die Auswahl von Studenten für einen Platz im STAP Programm an verschiedenen Faktoren wie der Verfügbarkeit von Plätzen bei den Partneruniversitäten und der Reihenfolge der Bewerbung abhängt.  Es ist auch zu beachten, dass die Suchergebnisse aus dem Jahr 2025 stammen und möglicherweise nicht mehr aktuell sind. Ich empfehle daher, sich direkt an die Studienberatung oder das zuständige Fachamt der Universität zu wenden, um die aktuellen Auswahlkriterien für den STAP Master Term Abroad zu erfahren.  Wenn du weitere Fragen hast, stehe ich gerne zur Verfügung!</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</si>
  <si>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</si>
  <si>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</si>
  <si>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</si>
  <si>
    <t>['pdf', 'pdf', 'pdf', 'html', 'html']</t>
  </si>
  <si>
    <t>Ich habe eine allgemeine Frage zu einem Auslandsaufenthalt und weiß nicht genau, an wen ich mich wenden soll. Wie nehme ich am besten Kontakt auf?</t>
  </si>
  <si>
    <t>Wenn Sie sich für einen Auslandsaufenthalt interessieren, können Sie sich an das Zentrum für internationale Beziehungen (ZIB-WiSo) der Universität zu Köln wenden. Dort finden Sie weitere Informationen und Unterstützung bei der Planung Ihres Auslandssemesters oder -praktikums.  Sie können auch die folgenden Kontaktdaten verwenden:  * Zentrum für internationale Beziehungen (ZIB-WiSo) * Universität zu Köln * [Kontaktinformationen finden Sie auf den Seiten des ZIB-WiSo](https://international.wiso.uni-koeln.de/en/)  Ich hoffe, diese Informationen helfen Ihnen weiter! Wenn Sie weitere Fragen haben,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</si>
  <si>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</si>
  <si>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Auslandsaufenthalt\n\nSie möchten gerne ein Auslandssemester absolvieren oder ein Praktikum im Ausland machen?\n\nWeiterführende Informationen zu einem Auslandsaufenthalt Sie auf den Seiten des Zentrum für internationale Beziehungen (ZIB-WiSo)\n\nHI\n\nzum Seitenanfang',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
  </si>
  <si>
    <t>['https://wiso.uni-koeln.de/de/studium/studienorganisation/auslandsaufenthalt',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'file://D:/Uni-Köln/Masterarbeit/Software/uzk-masterarbeit/data/pdf_cache/__wiso.uni-koeln.de_sites_fakultaet_dokumente_international_Outgoing_Erasmus_Guide_for_ERASMUS_internship_funding.pdf']</t>
  </si>
  <si>
    <t>Wie lautet die Besuchsadresse des International Relations Center (ZIB WiSo)?</t>
  </si>
  <si>
    <t>Die Besuchsadresse des International Relations Center (ZIB WiSo) ist: Aachener Str. 209, 5. und 6. Stock (Eingang: Richard-Strauss-Str. 1) 50931 Köln</t>
  </si>
  <si>
    <t>Die Besuchsadresse des International Relations Center (ZIB WiSo) ist: Aachener Str. 209, 5. und 6. Etage, Eingang über die Richard-Strauss-Str. 1, 50931 Köln.</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</si>
  <si>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</si>
  <si>
    <t>['https://wiso.uni-koeln.de/en/faculty/managing-board/central-faculty-administration', 'https://wiso.uni-koeln.de/de/fakultaet/dekanat/zentrale-fakultaetsverwaltung', 'https://wiso.uni-koeln.de/de/fakultaet/dekanat/zentrale-fakultaetsverwaltung', 'https://wiso.uni-koeln.de/en/studium/international/international-relations-center-contact', 'https://wiso.uni-koeln.de/de/studium/international/international-relations-center-contact']</t>
  </si>
  <si>
    <t>An wen kann ich mich wenden, wenn ich mich als WiSo-Studierende:r für ein Auslandssemester interessiere – im Bachelor oder im Master?</t>
  </si>
  <si>
    <t>Wenn Sie sich als WiSo-Studierende:r für ein Auslandssemester interessieren, können Sie sich an folgende Stellen wenden:  * Die WiSo-Studienberaterinnen im WiSo Student Service Point * Das International Office der Universität zu Köln  Sie können auch die Informationen auf der Homepage der Universität zu Köln und der WiSo-Fakultät durchsuchen, um weitere Möglichkeiten und Anleitungen für Ihr Auslandssemester zu finden.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</si>
  <si>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</si>
  <si>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</si>
  <si>
    <t>['https://wiso.uni-koeln.de/de/studium/master/master-business-administration/finance', 'https://wiso.uni-koeln.de/de/studium/studienorganisation/faq/master/fragen-im-masterstudium', 'https://wiso.uni-koeln.de/de/studium/master/master-business-administration/accounting-and-taxation', 'https://wiso.uni-koeln.de/de/studium/master/master-business-administration/marketing', 'file://D:/Uni-Köln/Masterarbeit/Software/uzk-masterarbeit/data/pdf_cache/__wiso.uni-koeln.de_sites_fakultaet_dokumente_downloads_bachelor_b_mhb_po15_vwl.pdf']</t>
  </si>
  <si>
    <t>Welche Aufgaben hat das International Relations Center (ZIB WiSo) an der WiSo-Fakultät?</t>
  </si>
  <si>
    <t>Das International Relations Center (ZIB WiSo) an der WiSo-Fakultät hat folgende Aufgaben:  - Koordination von Studentenaustauschprogrammen - Entwicklung und Umsetzung neuer internationalisierungsstrategischer Maßnahmen auf behalf des Fachbereichs - Förderung und Unterstützung von Zusammenarbeit in den Bereichen:   - Studentenaustausch, Kurzprogramme und internationale Studiengänge   - Kurse und Lehrveranstaltungen mit internationalen Partnern   - Forschungsprojekte und Kooperationen mit internationalen Institutionen  Das ZIB WiSo unterstützt auch die Entwicklung von Sprach- und Kulturkompetenz bei den Studierenden.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</si>
  <si>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</si>
  <si>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</si>
  <si>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'file://D:/Uni-Köln/Masterarbeit/Software/uzk-masterarbeit/data/pdf_cache/__wiso.uni-koeln.de_sites_fakultaet_dokumente_international_Outgoing_STAP_Flyer_International_Options_for_Economic_Research.pdf', 'https://wiso.uni-koeln.de/de/studium/international']</t>
  </si>
  <si>
    <t>FAQ</t>
  </si>
  <si>
    <t>Ich würde gerne an der WiSo-Fakultät studieren. Welche Fristen habe ich zu beachten und wie funktioniert das Bewerbungsverfahren?</t>
  </si>
  <si>
    <t>Die Bewerbungsfristen für die WiSo-Fakultät sind wie folgt:  * Für das 1. Fachsemester: 15. Juli (Wintersemester) * Die Bewerbung findet online über das Studierendensekretariat der Universität zu Köln statt. * Nicht EU-/EWR-Bürger:innen bewerben sich über Uni-Assist.  Es ist wichtig, dass Sie die Fristen beachten und sich rechtzeitig um die Bewerbung kümmern. Wenn Sie weitere Fragen haben oder Hilfe benötigen, können Sie sich an das Studierendensekretariat wenden.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</si>
  <si>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</si>
  <si>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t>
  </si>
  <si>
    <t>['https://wiso.uni-koeln.de/de/studium/studienorganisation/faq/allgemeine-fragen', 'https://wiso.uni-koeln.de/de/studium/bachelor/bachelor-bwl',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'file://D:/Uni-Köln/Masterarbeit/Software/uzk-masterarbeit/data/pdf_cache/__wiso.uni-koeln.de_sites_fakultaet_dokumente_studium_bachelor_Broschuere-Bachelor_WInfo-WiSo_Fakultaet-Uni_Koeln_01.pdf']</t>
  </si>
  <si>
    <t>Welche Bachelorstudiengänge kann ich an der WiSo-Fakultät studieren?</t>
  </si>
  <si>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Zulassungsvoraussetzungen je nach Semester variieren können. Ich empfehle dir, direkt bei der Studienberatung oder auf der Website der Universität zu Köln nachzufragen, um die aktuellsten Informationen zu erhalten.  Wenn du weitere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</si>
  <si>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</si>
  <si>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['WiSo-Fakultät\n- Master Information Systems der WiSo-Fakultät\n- Master Business Analytics &amp; Econometrics der WiSo-Fakultät\n\nZurück\n\n#### Social-Media-Kanäle der WiSo-Fakultät\n\n[ follow us! ]\n\nHI\n\nzum Seitenanfang', 'en.\n\nzum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</si>
  <si>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['https://wiso.uni-koeln.de/de/aktuelles-und-neuigkeiten/news-einzelansicht/wiso-erneut-fuehrend-im-ranking-der-wirtschaftsinformatik', 'https://wiso.uni-koeln.de/de/studium/master/master-business-administration/marketing', 'https://wiso.uni-koeln.de/de/studium/studienorganisation/faq/bachelor', 'file://D:/Uni-Köln/Masterarbeit/Software/uzk-masterarbeit/data/pdf_cache/__wiso.uni-koeln.de_sites_fakultaet_dokumente_downloads_bachelor_Bachelor_Begruessung_Praesentationen_Meet_your_AD_BWL.pdf', 'https://wiso.uni-koeln.de/en/studies/organising-your-studies/faq/bachelor']</t>
  </si>
  <si>
    <t>Welche Masterstudiengänge können an der WiSo-Fakultät studiert werden?</t>
  </si>
  <si>
    <t>Die WiSo-Fakultät der Universität zu Köln bietet folgende Masterstudiengänge an: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Diese Liste ist nicht erschöpfend, da es weitere Masterstudiengänge gibt, die an der WiSo-Fakultät angeboten werden. Es lohnt sich, auf der Universitäts-Website nachzulesen, um alle verfügbaren Optionen zu erhalten.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</si>
  <si>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</si>
  <si>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</si>
  <si>
    <t>['https://wiso.uni-koeln.de/de/studium/master', 'https://wiso.uni-koeln.de/de/studium/studienorganisation/faq/allgemeine-fragen', 'https://wiso.uni-koeln.de/de/studium/master', 'https://wiso.uni-koeln.de/de/studium/studienorganisation/faq/master', 'https://wiso.uni-koeln.de/de/studium/studienorganisation/faq/allgemeine-fragen']</t>
  </si>
  <si>
    <t>Wieviel kostet ein Studium an der Universität zu Köln?</t>
  </si>
  <si>
    <t>Die Antwort auf deine Frage lautet: Es fallen keine Studiengebühren an, da die Universität zu Köln staatlich finanziert ist. Lediglich ein halbjährlicher "Semesterbeitrag" wird erhoben.  Wenn du also an der Universität zu Köln studieren möchtest, musst du dich nicht um hohe Studiengebühren sorgen.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</si>
  <si>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</si>
  <si>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t>
  </si>
  <si>
    <t>['https://wiso.uni-koeln.de/de/studium/master/master-economic-research', 'file://D:/Uni-Köln/Masterarbeit/Software/uzk-masterarbeit/data/pdf_cache/__wiso.uni-koeln.de_sites_fakultaet_dokumente_PA_po_po_m_economics.pdf', 'file://D:/Uni-Köln/Masterarbeit/Software/uzk-masterarbeit/data/pdf_cache/__wiso.uni-koeln.de_sites_fakultaet_dokumente_PA_po_po_ba_winfo.pdf', 'https://wiso.uni-koeln.de/de/studium/studienorganisation/faq/allgemeine-fragen', 'file://D:/Uni-Köln/Masterarbeit/Software/uzk-masterarbeit/data/pdf_cache/__wiso.uni-koeln.de_sites_fakultaet_dokumente_PA_po_po_ba_gesoek.pdf']</t>
  </si>
  <si>
    <t>['html', 'pdf', 'pdf', 'html', 'pdf']</t>
  </si>
  <si>
    <t>Was zeichnet das Studium an der Wiso Fakultät aus?</t>
  </si>
  <si>
    <t>Das Studium an der Wiso Fakultät zeichnet sich durch eine multidisziplinäre Ausrichtung aus, bei der verschiedene Fachbereiche innerhalb der WiSo-Fakultät kombiniert werden können. Dies bietet den Studierenden die Möglichkeit, ein breites Spektrum an Fächern zu studieren und somit ihre Kenntnisse und Fähigkeiten zu erweitern.  Darüber hinaus bietet die WiSo Fakultät eine Vielzahl von Studiengängen an, darunter Bachelor- und Masterstudiengänge in den Bereichen Volkswirtschaftslehre (VWL), Betriebswirtschaftslehre (BWL) und Sozialwissenschaften. Die Studierenden können auch ein Auslandssemester absolvieren, um ihre Erfahrungen und Kenntnisse international zu erweitern.  Die WiSo Fakultät ist bekannt für ihre exzellente Forschung und Lehre, was sich in der hohen Qualität ihrer Dozenten und der modernen Infrastruktur widerspiegelt. Die Fakultät bietet auch eine Vielzahl von Beratungsangeboten an, um den Studierenden bei ihren Fragen und Problemen zu helfen.  Insgesamt bietet das Studium an der Wiso Fakultät eine vielseitige und anspruchsvolle Ausbildung, die den Studierenden hilft, ihre Fähigkeiten und Kenntnisse in den Bereichen Volkswirtschaftslehre, Betriebswirtschaftslehre und Sozialwissenschaften zu erweitern.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</si>
  <si>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</si>
  <si>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t>
  </si>
  <si>
    <t>['https://wiso.uni-koeln.de/de/studium/bachelor/bachelor-vwl',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'https://wiso.uni-koeln.de/de/studium/studienorganisation/erstsemester', 'file://D:/Uni-Köln/Masterarbeit/Software/uzk-masterarbeit/data/pdf_cache/__wiso.uni-koeln.de_sites_fakultaet_dokumente_downloads_Modulhandbuecher_Studienjahr_22-23_MHB_PO2021_m_mhb_po2021_powi.pdf']</t>
  </si>
  <si>
    <t>Kann ich an der WiSo-Fakultät ein Studium aufnehmen, wenn ich einen gleichwertigen Studiengang oder eine dort verortete Prüfung endgültig nicht bestanden habe?</t>
  </si>
  <si>
    <t>Es tut mir leid, aber ich konnte keine klare Antwort finden. Die Universitäts-Wissensdatenbank enthält keine Informationen darüber, ob ein Studium an der WiSo-Fakultät aufgenommen werden kann, wenn man einen gleichwertigen Studiengang oder eine dort verortete Prüfung endgültig nicht bestanden hat.  Ich empfehle Ihnen, sich direkt an die Studienberatung der Universität zu wenden. Sie können auch versuchen, weitere Informationen auf den Webseiten der WiSo-Fakultät zu finden.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</si>
  <si>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</si>
  <si>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'ntzerrungster- mine“ handeln, d.h. es wird die Gelegenheit gegeben die Prüfungen zeitlich um einige Wochen auseinander ziehen zu können. In einigen Fällen kann es sich lehrstuhlabhängig um einen „echten“ Wiederholungstermin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</si>
  <si>
    <t>['https://wiso.uni-koeln.de/de/studium/master', 'https://wiso.uni-koeln.de/de/studium/bachelor', 'file://D:/Uni-Köln/Masterarbeit/Software/uzk-masterarbeit/data/pdf_cache/__wiso.uni-koeln.de_sites_fakultaet_dokumente_downloads_Modulhandbuecher_Studienjahr_23-24_b_mhb_po2021_bwl.pdf', 'https://wiso.uni-koeln.de/de/studium/studienorganisation/faq/allgemeine-fragen', 'file://D:/Uni-Köln/Masterarbeit/Software/uzk-masterarbeit/data/pdf_cache/__wiso.uni-koeln.de_sites_fakultaet_dokumente_PA_po_po_m_gesundheitsoekonomie.pdf']</t>
  </si>
  <si>
    <t>Sind Pflichtpraktika an der Wiso-Fakultät vorgesehen?</t>
  </si>
  <si>
    <t>Es gibt keine explizite Information in den Suchergebnissen, dass Pflichtpraktika an der WiSo-Fakultät vorgesehen sind. Es wird jedoch erwähnt, dass die Fakultät für die Anrechnung externer Leistungen zuständig ist und auch Praxissemester beantragt werden können. Daher kann man schlussfolgern, dass es wahrscheinlich keine Pflichtpraktika gibt, aber es besteht die Möglichkeit, externe Leistungen anzurechnen oder ein Praxissemester zu beantragen.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</si>
  <si>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</si>
  <si>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 'ger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t>
  </si>
  <si>
    <t>['https://wiso.uni-koeln.de/de/studium/studienorganisation/faq/allgemeine-fragen', 'https://wiso.uni-koeln.de/de/studium/studienorganisation/bescheinigungen',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t>
  </si>
  <si>
    <t>Wann erhalte ich mein Zeugnis?</t>
  </si>
  <si>
    <t>Entschuldigung, aber ich konnte keine relevanten Informationen über die Abgabe von Zeugnissen an der Universität zu Köln finden. Es ist jedoch möglich, dass das Zeugnis nach dem Abschluss des Studiums abgegeben wird. Ich empfehle, sich direkt an die Universität zu wenden oder die Studienberatung zu kontaktieren, um genaue Informationen über den Prozess der Zeugnisabgabe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</si>
  <si>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</si>
  <si>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</si>
  <si>
    <t>['file://D:/Uni-Köln/Masterarbeit/Software/uzk-masterarbeit/data/pdf_cache/__wiso.uni-koeln.de_sites_fakultaet_dokumente_PA_po_po_ba_winfo.pdf',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'file://D:/Uni-Köln/Masterarbeit/Software/uzk-masterarbeit/data/pdf_cache/__wiso.uni-koeln.de_sites_fakultaet_dokumente_downloads_master_Zulassungsordnungen_ZO_EcoRes_MIM.pdf', 'file://D:/Uni-Köln/Masterarbeit/Software/uzk-masterarbeit/data/pdf_cache/__wiso.uni-koeln.de_sites_fakultaet_dokumente_PA_po_po_m_economics.pdf']</t>
  </si>
  <si>
    <t>Welche Gründe kann es für eine Exmatrikulation geben?</t>
  </si>
  <si>
    <t>Es gibt verschiedene Gründe für eine Exmatrikulation, wie z.B.:  * Wenn man sich entscheidet, sein Studium zu unterbrechen oder abzubrechen * Wenn man aus wichtigem Grund sein Studium unterbrechen will oder muss (z.B. aufgrund von Krankheit, Urlaub oder anderen persönlichen Gründen) * Wenn man die Zulassung zum Studium zu Unrecht erhalten hat * Wenn man bereits eingeschrieben ist und sich entscheidet, das Studium abzubrechen  Es ist wichtig zu beachten, dass eine Exmatrikulation nur auf Antrag erfolgen kann und dass bestimmte Voraussetzungen erfüllt sein müssen. Es lohnt sich, sich an das Studierendensekretariat oder die zuständige Fakultät zu wenden, um weitere Informationen zu erhalten.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</si>
  <si>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</si>
  <si>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t>
  </si>
  <si>
    <t>['https://wiso.uni-koeln.de/de/studium/studienorganisation/faq/allgemeine-fragen', 'file://D:/Uni-Köln/Masterarbeit/Software/uzk-masterarbeit/data/pdf_cache/__wiso.uni-koeln.de_sites_fakultaet_dokumente_downloads_master_Zulassungsordnungen_ZO_Gesundheitsoekonomie.pdf', 'https://wiso.uni-koeln.de/en/fakultaet/dekanat/zentrale-fakultaetsverwaltung/pruefungsamt/po-2007-2008/abschlussarbeiten', 'https://wiso.uni-koeln.de/de/fakultaet/dekanat/zentrale-fakultaetsverwaltung/pruefungsamt/po-2007-2008/abschlussarbeiten', 'https://wiso.uni-koeln.de/de/studium/studienorganisation/faq/allgemeine-fragen']</t>
  </si>
  <si>
    <t>Mein Abiturschnitt erfüllt nicht den NC vom letzten Bewerbungsverfahren für einen WiSo-Bachelorstudiengang. Macht eine Bewerbung trotzdem Sinn?</t>
  </si>
  <si>
    <t>Es tut mir leid, aber ich kann keine Antwort finden, die direkt auf deine Frage antwortet.  **Empfehlung**: Bitte wende dich an die Studienberatung der WiSo-Fakultät oder den Masterzulassungsausschuss. Sie können dir helfen, deine Chancen zu bewerten und eine fundierte Entscheidung über eine Bewerbung treffen.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</si>
  <si>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</si>
  <si>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</si>
  <si>
    <t>['https://wiso.uni-koeln.de/de/studium/bewerbung/master/faqs-zulassungsordnungen', 'https://wiso.uni-koeln.de/de/studium/studienorganisation/faq/bachelor/studienwahl-und-bewerbung',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</si>
  <si>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</si>
  <si>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von deinem aktuellen Bachelor-Studiengang an die WiSo-Fakultät der Universität zu Köln zu wechseln, musst du folgende Schritte unternehmen:  1. **Überprüfe deine Zulassungsvoraussetzungen**: Informiere dich über die Anforderungen für den Wechsel von einem Bachelor-Studiengang an eine andere Hochschule und insbesondere an die WiSo-Fakultät der Universität zu Köln. 2. **Wähle deinen neuen Studiengang**: Entscheide dich für einen Studiengang, der an der WiSo-Fakultät angeboten wird und den du interessierst. 3. **Bewirb dich um die Zulassung**: Fülle das Bewerbungsformular aus und überreiche es zusammen mit den erforderlichen Unterlagen (z.B. Zeugnisse, Transkripte) an die Universität zu Köln. 4. **Kontaktiere die Studienberatung**: Informiere dich bei der WiSo-Studienberatung über den Wechselprozess und stelle sicher, dass du alle notwendigen Schritte unternehmen musst.  Es ist wichtig, dass du dich frühzeitig informierst und die erforderlichen Unterlagen bereitstellst, um einen reibungslosen Wechsel zu ermöglichen.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</si>
  <si>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</si>
  <si>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Bachelor-Infomail\n\nMit unserer WiSo-Studierenden-Infomail für Bachelor-Studierende erhalten Sie jede Woche wichtige Informationen rund um Ihr Studium an der WiSo-Fakultät der Universität zu Köln!.\n\n## Kontakt\n\nMöchten Sie einen Beitrag versenden? Habt Ihr Fragen oder Anregungen, zur Infomail oder den Newslettern?\nUnser Redaktionsteam freut sich stets über Ihre\xa0Anregungen.\n\nHI\n\nzum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t>
  </si>
  <si>
    <t>['https://wiso.uni-koeln.de/de/studium/bachelor', 'file://D:/Uni-Köln/Masterarbeit/Software/uzk-masterarbeit/data/pdf_cache/__wiso.uni-koeln.de_sites_fakultaet_dokumente_downloads_master_Master_Welcome_Corporate_Development.pdf', 'https://wiso.uni-koeln.de/de/services/infomails-und-newsletter', 'https://wiso.uni-koeln.de/de/services/wiso-student-service-point/studieninteressierte/chat-with-a-student', 'file://D:/Uni-Köln/Masterarbeit/Software/uzk-masterarbeit/data/pdf_cache/__wiso.uni-koeln.de_sites_fakultaet_dokumente_PA_po_BPO_Gesoek_2021_2025.pdf']</t>
  </si>
  <si>
    <t>['html', 'pdf', 'html', 'html', 'pdf']</t>
  </si>
  <si>
    <t>Sind die Online-Selfassessments verpflichtend?</t>
  </si>
  <si>
    <t>Die Online-Selfassessments sind nicht verpflichtend. Die Universitäts-Wissensdatenbank enthält keine Informationen, die darauf hindeuten, dass die Teilnahme an Online-Selfassessments für den Studiengang oder die Fakultät verpflichtend ist.  Wenn du weitere Fragen hast, stehe ich gerne zur Verfügung!</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</si>
  <si>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</si>
  <si>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t>
  </si>
  <si>
    <t>['file://D:/Uni-Köln/Masterarbeit/Software/uzk-masterarbeit/data/pdf_cache/__wiso.uni-koeln.de_sites_fakultaet_dokumente_downloads_Modulhandbuecher_Studienjahr_22-23_MHB_PO2015_m_mhb_po2015_ba_scm.pdf', 'https://wiso.uni-koeln.de/de/studium/studienorganisation/faq/bachelor/studienwahl-und-bewerbung', 'file://D:/Uni-Köln/Masterarbeit/Software/uzk-masterarbeit/data/pdf_cache/__wiso.uni-koeln.de_sites_fakultaet_dokumente_downloads_master_Aktuelle_MHB_s_m_mhb_po2021_gesoek_2425.pdf', 'file://D:/Uni-Köln/Masterarbeit/Software/uzk-masterarbeit/data/pdf_cache/__wiso.uni-koeln.de_sites_fakultaet_dokumente_PA_po_GPO_2025.pdf', 'file://D:/Uni-Köln/Masterarbeit/Software/uzk-masterarbeit/data/pdf_cache/__wiso.uni-koeln.de_sites_fakultaet_dokumente_downloads_master_Studienjahr_24-25_m_mhb_po2021_wipaed.pdf']</t>
  </si>
  <si>
    <t>Kann ich ein Modul im Masterstudium mehrfach absolvieren?</t>
  </si>
  <si>
    <t>Entschuldigung, aber ich konnte keine Informationen finden, ob ein Modul im Masterstudium mehrfach absolviert werden kann. Es ist jedoch möglich, dass Sie ein Extracurriculares Angebot nutzen können, um weitere Kurse zu belegen, auch aus anderen Fachbereichen.  Ich empfehle Ihnen, sich direkt an die Studienberatung der Universität zu wenden, um eine genaue und aktuelle Antwort auf Ihre Frage zu erhalten.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</si>
  <si>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</si>
  <si>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t>
  </si>
  <si>
    <t>['https://wiso.uni-koeln.de/de/studium/studienorganisation/faq/master/fragen-im-masterstudium', 'file://D:/Uni-Köln/Masterarbeit/Software/uzk-masterarbeit/data/pdf_cache/__wiso.uni-koeln.de_sites_fakultaet_dokumente_downloads_Modulhandbuecher_Master_MHB_aktuelles_Studienjahr_m_mhb_po2021_is.pdf', 'https://wiso.uni-koeln.de/de/studium/master/master-sociology/master-social-and-economic-psychology', 'file://D:/Uni-Köln/Masterarbeit/Software/uzk-masterarbeit/data/pdf_cache/__wiso.uni-koeln.de_sites_fakultaet_dokumente_downloads_Modulhandbuecher_Studienjahr_22-23_MHB_PO2021_b_mhb_po2021_gesoek.pdf', 'https://wiso.uni-koeln.de/de/studium/master/master-sociology/master-social-and-economic-psychology']</t>
  </si>
  <si>
    <t>Kann ich während meines Masters Sprachkurse an der Universität zu Köln absolvieren?</t>
  </si>
  <si>
    <t>Ja, es ist möglich, während des Masterstudiums Sprachkurse an der Universität zu Köln zu absolvieren. Die Universität bietet ein breites Angebot an Sprachkursen für internationale Studierende an, darunter auch Deutschkurse.  Die WiSo-Studienberaterinnen im WiSo Student Service Point können Ihnen gerne weiterhelfen und Informationen über das Extracurriculare Angebot der Universität zu Köln geben. Dieses Angebot umfasst auch Sprachkurse, die von den Fakultäten sowie dem Professional Center gemeinsam angeboten werden.  Darüber hinaus bietet die Universität zu Köln ein Studium Integrale an, das Kompetenzen fördern soll, die über das eigentliche fachliche Studium hinausgehen. Hierzu gehören auch Sprachkurse und Ringvorlesungen zu aktuellen Themen.  Es lohnt sich also, beim Extracurricularen Angebot in KLIPS nachzuschauen oder sich bei den WiSo-Studienberaterinnen zu informieren, um die Möglichkeiten für Sprachkurse während des Masterstudiums an der Universität zu Köln zu erkunden.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</si>
  <si>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</si>
  <si>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t>
  </si>
  <si>
    <t>['https://wiso.uni-koeln.de/de/studium/studienorganisation/faq/master/fragen-im-masterstudium', 'https://wiso.uni-koeln.de/de/studium/master/master-political-science', 'file://D:/Uni-Köln/Masterarbeit/Software/uzk-masterarbeit/data/pdf_cache/__wiso.uni-koeln.de_sites_fakultaet_dokumente_downloads_Modulhandbuecher_Master_MHB_aktuelles_Studienjahr_m_mhb_po2021_powi.pdf', 'https://wiso.uni-koeln.de/de/studium/studieren-nach-pruefungsordnung-2007-2008/bachelor-po-2007/studium-integrale-po-2007', 'https://wiso.uni-koeln.de/en/studium/studieren-nach-pruefungsordnung-2007-2008/bachelor-po-2007/studium-integrale-po-2007']</t>
  </si>
  <si>
    <t>Wann und wie kann ich ein Auslandssemester in meinem Master absolvieren?</t>
  </si>
  <si>
    <t>Es tut mir leid, aber ich konnte keine relevanten Informationen finden, um deine Frage zu beantworten. Wenn du möchtest, kann ich mich mit den Studienberatern im WiSo Student Service Point in Verbindung setzen, um dir weitere Informationen zu geben.  Wenn du möchtest, kannst du auch direkt Kontakt aufnehmen:  *   [WiSo-Studienberatung](mailto:wiso-studienberatung@uni-koeln.de) *   [WiSo Student Service Point](https://www.wiso.uni-koeln.de/studiengaenge/service/)  Ich hoffe, das hilft!</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</si>
  <si>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</si>
  <si>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</si>
  <si>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'https://wiso.uni-koeln.de/de/studium/master/master-gesundheitsoekonomie']</t>
  </si>
  <si>
    <t>Wie funktioniert das Studienabschlussdarlehen der Studierendenwerke (DAKA) genau?</t>
  </si>
  <si>
    <t>Basierend auf den Suchergebnissen kann ich dir folgende Informationen zum Studienabschlussdarlehen der Studierendenwerke (DAKA) geben:  Das DAKA ist ein Darlehen, das von den Studierendenwerken vergeben wird, um Studierenden bei der Finanzierung ihres Studiums zu helfen. Um ein DAKA zu erhalten, muss man sich bewerben und bestimmte Voraussetzungen erfüllen.  Die wichtigsten Informationen zum DAKA sind:  *   Das DAKA ist ein Darlehen, das nicht zurückgezahlt werden muss. *   Die Bewerbungsvoraussetzungen und Bedingungen für den Erhalt des DAKA sind je nach Studierendenwerk unterschiedlich. *   Um ein DAKA zu erhalten, muss man sich bewerben und bestimmte Voraussetzungen erfüllen.  Ich empfehle dir, dich direkt an die Studierendenwerke zu wenden, um weitere Informationen über das DAKA und die Bewerbungsverfahren zu erhalten.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</si>
  <si>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</si>
  <si>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
  </si>
  <si>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'file://D:/Uni-Köln/Masterarbeit/Software/uzk-masterarbeit/data/pdf_cache/__wiso.uni-koeln.de_sites_fakultaet_dokumente_downloads_master_Studienjahr_24-25_m_mhb_po2021_e_economics.pdf', 'https://wiso.uni-koeln.de/de/studium/studienorganisation/finanzierung']</t>
  </si>
  <si>
    <t>Welche Unterstützung gibt es in einer akuten finanziellen Notlage?</t>
  </si>
  <si>
    <t>Es tut mir leid, aber ich konnte keine spezifischen Informationen zu Unterstützungsmöglichkeiten in akuter finanzieller Notlage für Studierende der WiSo-Fakultät finden. Es ist jedoch ratsam, sich direkt an die zuständigen Stellen oder Organisationen zu wenden.  Für weitere Fragen oder Anliegen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</si>
  <si>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</si>
  <si>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'AG Wirtschaftsprüfungsgesellschaft ist Gründungsmitglied des internationalen BDO Netzwerks (1963), das mit mehr als 64.000 Mitarbeitern in 154 Ländern vertreten ist . Weitere Informationen zu Einstiegsmöglichkeiten finden Sie hier. BDO ist Kooperationspartner des Seminars für ABWL und Gesundheitswesen der Universität zu Köln.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</si>
  <si>
    <t>['https://wiso.uni-koeln.de/de/studium/studienorganisation/finanzierung', 'https://wiso.uni-koeln.de/de/studium/studienorganisation/finanzierung', 'file://D:/Uni-Köln/Masterarbeit/Software/uzk-masterarbeit/data/pdf_cache/__wiso.uni-koeln.de_sites_wiso_career_user_upload_Kurzinfo_Auslandspraktikum.pdf', 'https://wiso.uni-koeln.de/de/studium/studienorganisation/finanzierung', 'https://wiso.uni-koeln.de/en/studies/organising-your-studies/financing']</t>
  </si>
  <si>
    <t>Ich bewerbe mich für ein Praktikum und die Firma möchte eine Praktikumsförderlichkeitsbescheinigung. Bekomme ich so etwas von der WiSo-Fakultät – und wie?</t>
  </si>
  <si>
    <t>Du kannst eine Praktikumsförderlichkeitsbescheinigung von der WiSo-Fakultät erhalten. Dazu musst du dich direkt online über das Kontaktformular des WiSSPos anfragen oder persönlich im WiSSPo vorbeikommen und einen Lichtbildausweis mitbringen.  Die Bescheinigung wird dir dann ausgestellt, wenn die WiSo-Fakultät das Praktikum befürwortet. Wenn du also ein Praktikum bewerben möchtest und eine solche Bescheinigung benötigst, kannst du dich an den WiSSPos wenden.  Es ist auch möglich, dass du persönlich im WiSSPo vorbeikommst und die Bescheinigung dort abholen kannst. Wenn du sie digital benötigst, kann sie dir auch per E-Mail zugesendet werden.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</si>
  <si>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</si>
  <si>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</si>
  <si>
    <t>['https://wiso.uni-koeln.de/de/praxis/wiso-career-service/praktika-praxiserfahrung/bescheinigung-zur-foerderlichkeit-von-praktika', 'https://wiso.uni-koeln.de/de/services/wiso-student-service-point/quickservices-und-kurzauskunft', 'https://wiso.uni-koeln.de/de/studium/studienorganisation/bescheinigungen', 'https://wiso.uni-koeln.de/de/services/wiso-student-service-point/quickservices-und-kurzauskunft', 'https://wiso.uni-koeln.de/de/studium/studienorganisation/faq/allgemeine-fragen']</t>
  </si>
  <si>
    <t>Ich würde gern ein Urlaubssemester für ein Praktikum nehmen. Welche Voraussetzungen muss ich dafür erfüllen?</t>
  </si>
  <si>
    <t>Es tut mir leid, aber ich konnte keine relevanten Informationen finden, um deine Frage zu beantworten.  Wenn du möchtest, kann ich versuchen, dir bei deiner Suche zu helfen oder dich an die richtige Stelle weiterleiten.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</si>
  <si>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</si>
  <si>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t>
  </si>
  <si>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'file://D:/Uni-Köln/Masterarbeit/Software/uzk-masterarbeit/data/pdf_cache/__wiso.uni-koeln.de_sites_fakultaet_dokumente_downloads_Modulhandbuecher_Master_MHB_aktuelles_Studienjahr_m_mhb_po2021_powi.pdf']</t>
  </si>
  <si>
    <t>Wie läuft der Antrag auf ein Urlaubssemester wegen Praktikum genau ab und bis wann muss ich die Unterlagen einreichen?</t>
  </si>
  <si>
    <t>Die Bewerbungsfrist für ein Urlaubssemester wegen eines Praktikums ist nicht explizit angegeben, aber es wird empfohlen, den Antrag spätestens acht Wochen vor Ablauf der Bewerbungsfrist zum höheren Fachsemester des Studierendensekretariates/International Office vollständig einzureichen. Es ist auch ratsam, die Unterlagen frühzeitig zu überprüfen und sicherzustellen, dass sie vollständig sind.  Die genauen Fristen können je nach Semester variieren, daher empfehle ich Ihnen, sich direkt an das Studierendensekretariat oder das Prüfungsamt der WiSo-Fakultät zu wenden, um die aktuelle Bewerbungsfrist und alle erforderlichen Unterlagen zu erhalten.  Ich hoffe, diese Informationen helfen Ihnen weiter! Wenn Sie weitere Fragen haben, stehe ich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</si>
  <si>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</si>
  <si>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t>
  </si>
  <si>
    <t>['https://wiso.uni-koeln.de/de/studium/studienorganisation/faq/allgemeine-fragen',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'https://wiso.uni-koeln.de/de/services/wiso-student-service-point/quickservices-und-kurzauskunft']</t>
  </si>
  <si>
    <t>Ich brauche für eine Bewerbung ein Professorengutachten bzw. einen Letter of Evaluation. Was muss ich dafür konkret tun und wie lange dauert das?</t>
  </si>
  <si>
    <t>Um ein Professorengutachten bzw. einen Letter of Evaluation zu erhalten, müssen Sie das folgende Verfahren durchlaufen:  1. Füllen Sie das Gutachtenformular aus und ergänzen Sie Ihre persönlichen Angaben (Part I). Bitte sorgen Sie für die Vollständigkeit Ihrer Angaben. 2. Laden Sie sich ein Transcript of Records herunter oder fordern Sie eine Rankingbescheinigung beim WiSSPo an. 3. Füllen Sie das Formular mit den erforderlichen Informationen aus und laden Sie es hoch, zusammen mit Ihren anderen Bewerbungsunterlagen.  Bitte beachten Sie, dass die Ausstellung des Letters of Evaluation mindestens zwei bis drei Wochen dauert. Es ist auch wichtig zu beachten, dass Sie nur zwei PDF-Dateien hochladen können, die jeweils nicht größer als 1 MB sein sollten. Unvollständige oder späte Bewerbungen werden nicht akzeptiert.  Ich hoffe, diese Informationen helfen Ihnen weiter! Wenn Sie weitere Fragen haben,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</si>
  <si>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</si>
  <si>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Page 7 --- STAP Bachelor Application Manual (As of October 2025) 5 International Relations Center Cologne WiSo Faculty CV in English Your CV should list the essential information in tabular form. Please put special emphasis on your main study focus, internships and extracurricular activities. Proof of English language skills See: 3.3.1 English language requirements If required: proof of further language skills For university courses in languages other than English (see WEX database, Language Requirements ) please include a self -evaluation form. Click here Study detai', 'in "subject-related requirements"\nmandatory Enter the courses you have successfully completed so far during your bachelor\'s degree programme in the PDF document. List only courses that you have completed at the time of application.\n\nSchool leaving certificate mandatory\xa0\nA-levels, High school diploma etc.\n\n(please submit all pages of the school leaving certificate)\n\nCourse catalogue mandatory 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t>
  </si>
  <si>
    <t>['https://wiso.uni-koeln.de/en/studies/organising-your-studies/certificates', 'file://D:/Uni-Köln/Masterarbeit/Software/uzk-masterarbeit/data/pdf_cache/__wiso.uni-koeln.de_sites_fakultaet_dokumente_studieren_Letter_of_Evaluation.pdf', 'https://wiso.uni-koeln.de/de/studium/studienorganisation/bescheinigungen', 'file://D:/Uni-Köln/Masterarbeit/Software/uzk-masterarbeit/data/pdf_cache/__wiso.uni-koeln.de_sites_fakultaet_dokumente_international_Outgoing_STAP_STAP_Bachelor_Application_Manual.pdf', 'https://wiso.uni-koeln.de/en/studies/application/master/master-economic-research']</t>
  </si>
  <si>
    <t>Ich habe gehört, es gibt ein BWL-Forschungsranking der WirtschaftsWoche. Was wird da genau gemessen?</t>
  </si>
  <si>
    <t>Das BWL-Forschungsranking der WirtschaftsWoche misst die Forschungskapazität und -leistung von Universitäten im Bereich Betriebswirtschaftslehre (BWL). Die Rangliste basiert auf verschiedenen Kriterien, wie z.B.:  * Anzahl der veröffentlichten Artikel in renommierten wissenschaftlichen Zeitschriften * Qualität der veröffentlichten Forschungsergebnisse * Anzahl der von der Universität geförderten Forschungsprojekte * Auszeichnungen und Preise für herausragende Forschung  Die WirtschaftsWoche verwendet ein komplexes Bewertungssystem, um die Universitäten zu bewerten. Die Rangliste wird jährlich aktualisiert und gibt einen Überblick über die Forschungskapazität der verschiedenen Universitäten im Bereich BWL.  Es ist jedoch wichtig zu beachten, dass das Ranking nicht nur auf die Qualität der Forschung abzielt, sondern auch auf andere Faktoren wie die Anzahl der veröffentlichten Artikel und die Auszeichnungen. Es gibt daher auch Kritik an dem Ranking, da es möglicherweise nicht genau die Forschungsleistung einer Universität widerspiegelt.  In diesem Fall ist die WiSo-Fakultät der Universität zu Köln hervorragend platziert im BWL-Forschungsranking der WirtschaftsWoche.</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</si>
  <si>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</si>
  <si>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</si>
  <si>
    <t>['https://wiso.uni-koeln.de/de/studium/studieren-nach-pruefungsordnung-2007-2008/bachelor-po-2007/studienaufbau-vwl-bachelor-po-2007/nebenfach-bwl-sowi',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t>
  </si>
  <si>
    <t>['html', 'pdf', 'pdf', 'pdf', 'html']</t>
  </si>
  <si>
    <t>Wie ist das BWL-Forschungsranking Ranking aufgebaut? Welche Kategorien gibt es und welcher Zeitraum wird betrachtet?</t>
  </si>
  <si>
    <t>Das BWL-Forschungsranking der Wirtschaftswoche ist aufgebaut in folgenden Kategorien:  1.  **Jungstars der BWL**: Hier werden junge Forscher:innen (unter 40 Jahre) bewertet, die sich durch innovative Forschungen auszeichnen. 2.  **Top-Universitäten BWL**: Hier wird die Forschungsstärke von Universitäten in verschiedenen Kategorien wie "Forschung", "Praxisorientierung" und "Internationalität" bewertet.  Der Zeitraum, der betrachtet wird, ist der Zeitraum von 2018 bis 2022.</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</si>
  <si>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</si>
  <si>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t>
  </si>
  <si>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 'file://D:/Uni-Köln/Masterarbeit/Software/uzk-masterarbeit/data/pdf_cache/__wiso.uni-koeln.de_sites_fakultaet_dokumente_downloads_Modulhandbuecher_Studienjahr_23-24_b_mhb_po2021_e_Management_Economics_Social_Sciences.pdf', 'https://wiso.uni-koeln.de/de/aktuelles-und-neuigkeiten/news-einzelansicht/wiso-wissenschaftlerinnen-glaenzen-im-bwl-forschungsranking']</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</si>
  <si>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</si>
  <si>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Dr. Anna Burmeister erreicht Platz 69 unter den "Jungstars der BWL" * Prof. Dirk Sliwka erreicht Platz 73 * Prof. Ulrich Thonemann erreicht Platz 81 * Prof. Werner Reinartz erreicht Platz 61 * Prof. Wolfgang Ketter erreicht Platz 13 * Prof. Christoph Rosenkranz erreicht Platz 84  Die Universität zu Köln belegt den vierten Platz in der DACH-Region und den zweiten Platz in Deutschland im Ranking der besten BWL-Fakultäten 2024 der Wirtschaftswoche.</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</si>
  <si>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</si>
  <si>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t>
  </si>
  <si>
    <t>['https://wiso.uni-koeln.de/de/aktuelles-und-neuigkeiten/news-einzelansicht/wiso-wissenschaftlerinnen-glaenzen-im-bwl-forschungsranking', 'https://wiso.uni-koeln.de/de/services/rankings/ergebnisse-in-tabellarischer-uebersicht', 'https://wiso.uni-koeln.de/de/services/rankings/bwl-forschungsranking', 'https://wiso.uni-koeln.de/de/services/rankings/bwl-forschungsranking', 'https://wiso.uni-koeln.de/de/services/rankings/wirtschaftswoche-hochschulranking']</t>
  </si>
  <si>
    <t>Wie lange dauert der Master Corporate Development, wie viele Credits hat er und in welcher Sprache wird unterrichtet?</t>
  </si>
  <si>
    <t>Der Master Corporate Development an der Universität zu Köln hat eine Dauer von zwei Jahren. Er umfasst 120 Credits und wird in deutscher Sprache unterrichtet.  Die Informationen stammen aus der Universitäts-Wissensdatenbank, insbesondere aus den Seiten zur WiSo-Fakultät und dem Master Corporate Development.</t>
  </si>
  <si>
    <t>Der Master Business Administration – Corporate Development dauert vier Semester und umfasst insgesamt 120 ECTS-Credits. Die Unterrichtssprache ist Englisch.</t>
  </si>
  <si>
    <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t>
  </si>
  <si>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t>
  </si>
  <si>
    <t>Für wen ist der Master Corporate Development gedacht – was sollte ich mitbringen?</t>
  </si>
  <si>
    <t>Der Master Corporate Development ist für Personen gedacht, die sich auf die Entwicklung von Unternehmen spezialisieren möchten. Insbesondere sind folgende Zielgruppen angesprochen:  * Absolventen mit einem Bachelorabschluss in Wirtschaftswissenschaften oder einer verwandten Disziplin * Berufstätige mit Erfahrung in der Unternehmensentwicklung, Strategieentwicklung oder ähnlichen Bereichen  Die Studierenden sollten folgende Fähigkeiten und Kenntnisse mitbringen:  * Eine fundierte Ausbildung in Wirtschaftswissenschaften oder einer verwandten Disziplin * Erfahrung in der Unternehmensentwicklung, Strategieentwicklung oder ähnlichen Bereichen (wünschenswert) * Eine starke analytische und kritisches Denkfähigkeit * Fähigkeit zur Kommunikation von komplexen Informationen an verschiedene Zielgruppen * Kenntnisse über Methoden und Instrumente der Unternehmensentwicklung, Strategieentwicklung und ähnliche Bereiche  Die Studierenden sollten auch bereit sein, sich intensiv mit den Themen zu beschäftigen und ihre Fähigkeiten und Kenntnisse weiterzuentwickeln.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</si>
  <si>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</si>
  <si>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['l Management Master of Science Mathematik: Wirtschaftswissenschaften --- Page 42 --- Gültig für Studierende der PO 2021 (Einschreibung ab WiSe 2021/22) BUSINESS ADMINISTRATION : CORPORATE DEVELOPMENT - MASTER OF SCIENCE 38 Master of Science Wirtschaftsmathematik: Wirtschaftswissenschaften Master of Science Informatik: Anwendungsfeld Wirtschaftswissenschaften Master of Science Business Administration - Corporate Development: Schwerpunktbereich Corporate Development Master of Education W irtschaftspädagogik/Lehramt an Berufskollegs: Ergänzungbereich Wirtschaftspädagogik 9 Modulbeauftragte/r Area Corporate Development 10 Sonstige Informationen --- Page 43 --- Gültig für Studierende der PO 2021 (Einschreibung ab WiSe 2021/22) BUSINESS ADMINISTRATION : CORPORATE DEVELOPMENT - MASTER OF SCIENCE 39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'nt: Supplementary Section Supply Chain Management Master of Education Wirtschaftspädagogik/Lehramt an Berufskollegs: Ergänzungbereich Wirtschaftspädagogik Master of Science Mathematik: Economics Sciences Master o f Science Wirtschaftsmathematik: Economics Sciences Master of Science Informatik: --- Page 52 --- valid for students of the ER 2021 (enrolment fr om winter semester 2021/22 ) BUSINESS ADMINISTRATION : CORPORATE DEVELOPMENT - MASTER OF SCIENCE 48 Anwendungsfeld Master of Science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</si>
  <si>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'file://D:/Uni-Köln/Masterarbeit/Software/uzk-masterarbeit/data/pdf_cache/__wiso.uni-koeln.de_sites_fakultaet_dokumente_downloads_Modulhandbuecher_Studienjahr_22-23_MHB_PO2015_m_mhb_po2015_ba_cd.pdf']</t>
  </si>
  <si>
    <t>Was ist das Besondere am Master Information Systems und welche Vorteile habe ich dadurch?</t>
  </si>
  <si>
    <t>Das Master-Programm "Information Systems" bietet eine Doppelqualifikation in Betriebswirtschaftslehre und Informatik. Dies bedeutet, dass du nach dem Abschluss des Programms sowohl ein Diplom in Betriebswirtschaftslehre als auch ein Diplom in Informatik erworben hast.  Die Vorteile dieses Programms sind:  * Du kannst dich auf zwei verschiedene Bereiche spezialisieren und somit eine breite Palette an Karrieremöglichkeiten haben. * Das Programm bietet eine akademische Exzellenz mit einem internationalen Angebot, was bedeutet, dass du Zugang zu einer globalen Community von Wissenschaftlern und Praktikern hast. * Du wirst in der Lage sein, komplexe Probleme im Bereich der Informationssysteme zu lösen und selbstständig Entscheidungen zu treffen.  Das Programm ist für dich geeignet, wenn du:  * Interesse an beiden Bereichen Betriebswirtschaftslehre und Informatik hast. * Eine Karriere in einem Bereich wie IT-Projektmanagement, Datenanalyse oder Business-Intelligence anstrebst. * Dich für eine akademische Exzellenz mit internationalen Möglichkeiten interessierst.  Ich hoffe, diese Informationen helfen dir bei deiner Entscheidung! Wenn du weitere Fragen hast, stehe ich gerne zur Verfügung.</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</si>
  <si>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</si>
  <si>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</si>
  <si>
    <t>['https://wiso.uni-koeln.de/de/studium/master/master-information-systems', 'https://wiso.uni-koeln.de/en/studies/master/master-information-systems/programme-structure', 'https://wiso.uni-koeln.de/en/studies/master/master-information-systems', 'https://wiso.uni-koeln.de/de/studium/master/master-sociology/master-social-and-economic-psychology', 'file://D:/Uni-Köln/Masterarbeit/Software/uzk-masterarbeit/data/pdf_cache/__wiso.uni-koeln.de_sites_fakultaet_dokumente_downloads_master_Studienjahr_24-25_m_mhb_po2021_e_is.pdf']</t>
  </si>
  <si>
    <t>Wie international ist der Studiengang Master Information Systems und welche Auslandsoptionen habe ich?</t>
  </si>
  <si>
    <t>Der Studiengang Master Information Systems an der Universität zu Köln ist international ausgerichtet und bietet verschiedene Auslandsoptionen. Hier sind einige Möglichkeiten:  1. **Studies Abroad Modules**: Der Master-Studiengang bietet die Möglichkeit, Module im Ausland zu studieren. Die Credits können dann leicht in das Studienprogramm integriert werden. 2. **Credit Transfer**: Wenn die Anforderungen erfüllt sind, kann ein Kurs-zu-Kurs-Credit-Transfer in Betracht gezogen werden. Darüber hinaus haben Studenten die Möglichkeit, Kurse aus ihren Auslandsstudien als Teil des Studiums Integrale zu kreditten. 3. **Studium Integrale**: Studenten können Kurse aus ihren Auslandsstudien als Teil des Studiums Integrale kreditten.  Es ist ratsam, sich an das Zentrum für Internationale Beziehungen (ZIB) oder den WiSo Credit Transfer Center zu wenden, um Fragen zur Kreditübertragung zu klären.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</si>
  <si>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</si>
  <si>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['des Semesters angebo- ten. --- Page 39 --- Gültig für Studierende der PO 2015 (Einschreibung erfolgte letztmalig zum WiSe 2020/21) MODULHANDBUCH – INFORMATION SYSTEMS - MASTER OF SCIENCE 35 Studies Abroad in Information Systems (Master) Kennnummer 1014SASc01 Workload 180h LP 6 Modulspra- che Modulbe- ginn jedes Se- mester Moduldauer 1 Semester 1 Lehrveranstaltungen Kontaktzeit Selbststu- dium LV-Sprache 2 Inhalte des Moduls je nach Kurswahl 3 Lernziele des Moduls Die Studierenden... ... beschreiben Ansätze der Wirtschaftsinformatik aus einer internationalen Perspektive. ... erklären internationale Fragen der Wirtschaftsinformatik. ... diskutieren und vergleichen verschiedene Theorien und Ansätze der Wirtschaftsinformatik ... entwickeln neue intellektuelle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</si>
  <si>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'https://wiso.uni-koeln.de/de/studium/studienorganisation/erstsemester/begruessungsveranstaltungen-master',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t>
  </si>
  <si>
    <t>Welche Karrierechancen habe ich mit dem Master Information Systems – in welche Jobs kann ich später gehen?</t>
  </si>
  <si>
    <t>Mit dem Master Information Systems hast du eine Vielzahl von Karrierechancen. Hier sind einige Beispiele:  * IT-Projektmanager: Du kannst in Unternehmen als Projektmanager tätig sein und die Implementierung von IT-Systemen überwachen. * IT-Architekt: Als IT-Architekt entwickelst du Konzepte für die Gestaltung von IT-Landschaften und sicherstellst, dass sie den Anforderungen der Organisation entsprechen. * Datenbankadministrator: Du kannst als Datenbankadministrator tätig sein und sicherstellen, dass die Datenbanken effizient und sicher funktionieren. * Cybersecurity-Spezialist: Mit deinen Kenntnissen in Information Systems kannst du auch in der Cybersecurity arbeiten und Unternehmen vor cybernetischen Bedrohungen schützen.  Es ist wichtig zu beachten, dass diese Beispiele nur einige mögliche Karrierechancen sind. Der Master Information Systems bietet eine breite Palette an Möglichkeiten für deine berufliche Zukunft.</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</si>
  <si>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</si>
  <si>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65 --- Gültig für Studierende der PO 2021 (Einschreibung ab WiSe 2021/22) INFORMATION SYSTEMS - MASTER OF SCIENCE 61 Master of Education Wirtschaftspädagogik/Lehramt an Berufskollegs: Ergänzungbereich Wirtschaftspädagogik Master of Science Sociology: Social and Economic Psychology: Ergänzungsbereich Sociology : Social and Economic Psychology Master of Science Economics: Ergänzungsbereich Management &amp; Social Sciences Master of Science Gesundheitsökonomie: Ergänzungsbereich Gesundheitsökonomie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 tion Master of Science Geographie: Wahlpflichtfach Management &amp; Social Sciences Master of Science International Management: Ergänzungsbereich International Management Master of Science Informatik: Anwendungsfeld Wirtschaftswissenschaften Master of S cience Business Administration - Corporate Develo']</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</si>
  <si>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</si>
  <si>
    <t>Welche Vorteile habe ich durch den Master Business Administration Corporate Development an der WiSo-Fakultät ?</t>
  </si>
  <si>
    <t>Basierend auf den Suchergebnissen kann ich dir sagen, dass der Master Business Administration - Corporate Development an der WiSo-Fakultät der Universität zu Köln verschiedene Vorteile bietet:  1. **Evidenzbasierte Management-Entscheidungen**: Der Masterstudiengang vermittelt Ihnen die Fähigkeit, evidenzbasierte Managemententscheidungen zu treffen. 2. **Anwendung von Methoden und Techniken**: Sie lernen Methoden und Techniken moderner Datenanalyse, künstlicher Intelligenz und maschinellem Lernen anwenden, um Probleme der Betriebs- und Wirtschaftswissenschaften lösen zu können. 3. **Praxisorientierung**: Der Studiengang bietet eine hohe Praxisorientierung durch die Zusammenarbeit mit Unternehmen und die Durchführung eines Business-Projekts. 4. **Persönliche Entwicklung**: Sie haben die Möglichkeit, Ihre Fähigkeiten und Kenntnisse zu erweitern und sich auf Ihre spätere Karriere in der Unternehmensentwicklung vorzubereiten.  Ich hoffe, diese Informationen helfen dir bei deiner Entscheidung! Wenn du weitere Fragen hast,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</si>
  <si>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</si>
  <si>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'ement Master of Science Business Administration - Accounting and Taxation: Ergänzungsbereich Accounting and Taxation Master of Science Business Administration - Finance: Ergänzungsbereich Finance Master of Science Business Administration - Marketing: Ergänz 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 ch im Rahmen eines von der WiSo -Fakultät organisierten --- Page 173 --- Gültig für Studierende der PO 2021 (Einschreibung ab WiSe 2021/22) BUSINESS ADMINISTRATION : CORPORATE DEVELOPMENT - MASTER OF SCIENCE 169 Academic Short Programmes besucht werden. In diesem Fall muss die vorherige Prüfungsanmeldung entsprechend den Bestimmungen der WiSo -Fakultät durchgeführt werden. --- Page 174 --- Gültig für Studierende der PO 2021 (Einschreibung ab WiSe 2021/22) BUSINESS ADMINISTRATION : CORPORATE DEVELOPMENT - MASTER OF SCIENCE 170 Studies Abroad II (Business Administration) Kennnummer 1014MStAb2 Workload 180h LP 6 Modulsprache gewählte Sprache Modulbeginn jedes Semester Moduldauer 1 Semester 1 Lehrveranstaltungen Kontaktzeit Sel',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t>
  </si>
  <si>
    <t>['https://wiso.uni-koeln.de/de/studium/master/master-business-administration/corporate-development', 'https://wiso.uni-koeln.de/de/studium/master/master-business-administration', 'file://D:/Uni-Köln/Masterarbeit/Software/uzk-masterarbeit/data/pdf_cache/__wiso.uni-koeln.de_sites_fakultaet_dokumente_downloads_master_Aktuelle_MHB_s_m_mhb_po2021_ba_cd_2425.pdf', 'https://wiso.uni-koeln.de/en/studies/master/master-business-administration/corporate-development', 'https://wiso.uni-koeln.de/en/studies/master/master-business-administration/corporate-development/programme-structure-corporate-development']</t>
  </si>
  <si>
    <t>PDF-Spezifisch</t>
  </si>
  <si>
    <t>Welche Angaben muss ich im Bewerbungsformular für die Masterarbeit im Finance Area zu meinen präferierten Themenbereichen machen?</t>
  </si>
  <si>
    <t>Um die präferierten Themenbereiche im Bewerbungsformular für die Masterarbeit im Finance Area anzugeben, sollten Sie sich anhand der Informationen aus der Universitäts-Wissensdatenbank folgende Schritte befolgen:  1.  Wählen Sie das Thema "Themenbereiche" in der Liste. 2.  Lesen Sie den Abschnitt "Themenbereiche" im Dokument.  Die präferierten Themenbereiche können aus dem Bereich Finance gewählt werden, wie z.B. Bankbetriebslehre, Finanzierungslehre, Unternehmensfinanzen und Versicherungslehre.</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</si>
  <si>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</si>
  <si>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t>
  </si>
  <si>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'file://D:/Uni-Köln/Masterarbeit/Software/uzk-masterarbeit/data/pdf_cache/__wiso.uni-koeln.de_sites_fakultaet_dokumente_downloads_Modulhandbuecher_Studienjahr_22-23_MHB_PO2021_m_mhb_po2021_ba_finance.pdf', 'https://wiso.uni-koeln.de/en/faculty/departments/finance/central-allocation-of-master-theses']</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</si>
  <si>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</si>
  <si>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1. **Antrag auf Zuteilung einer Masterarbeit**: Dieser Antrag sollte in deutscher oder englischer Sprache verfasst werden und alle erforderlichen Informationen enthalten, wie z.B. den Namen des Interessenten, die Kontaktinformationen und das gewünschte Thema der Masterarbeit. 2. **Motivationsschreiben**: Ein kurzes Schreiben, in dem der Interessent seine Motivation für die Wahl des Themas und seiner Teilnahme an der Masterarbeit darlegt. 3. **Lebenslauf**: Ein aktuelles Lebenslauf des Interessenten, das alle relevanten Informationen über seine Ausbildung, Berufserfahrung und Qualifikationen enthält. 4. **Zusätzliche Unterlagen**: Je nachdem, welches Thema gewählt wurde, können weitere Unterlagen erforderlich sein, wie z.B. Zeugnisse, Diplome oder Referenzen.  Die Dateinamen sollten klar und prägnant sein und die Bezeichnung des Interessenten sowie das Thema der Masterarbeit enthalten. Zum Beispiel:  * "Antrag auf Zuteilung einer Masterarbeit - [Name des Interessenten].pdf" * "Motivationsschreiben - [Name des Interessenten].docx" * "Lebenslauf - [Name des Interessenten].pdf"  Es ist wichtig, dass alle Unterlagen sorgfältig und korrekt ausgefüllt werden und die erforderlichen Informationen enthalten. Wenn Sie weitere Fragen haben oder unsicher sind, ob alle erforderlichen Unterlagen vorliegen, empfehlen wir Ihnen, sich an die Studienberatung zu wenden.</t>
  </si>
  <si>
    <t>Du musst zusätzlich zum Bewerbungsformular ein aktuelles Transcript of Records einreichen. Beide Dateien, das Transcript und der Fragebogen, müssen im Dateinamen deine Matrikelnummer als Suffix enthalten.</t>
  </si>
  <si>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t>
  </si>
  <si>
    <t>['file://D:/Uni-Köln/Masterarbeit/Software/uzk-masterarbeit/data/pdf_cache/__wiso.uni-koeln.de_sites_fakultaet_dokumente_downloads_Modulhandbuecher_Master_MHB_aktuelles_Studienjahr_m_mhb_po2021_ba_finance.pdf', 'https://wiso.uni-koeln.de/de/fakultaet/departments/finance/zentrale-masterarbeitenvergabe',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'file://D:/Uni-Köln/Masterarbeit/Software/uzk-masterarbeit/data/pdf_cache/__wiso.uni-koeln.de_sites_fakultaet_dokumente_downloads_Modulhandbuecher_Studienjahr_22-23_MHB_PO2021_m_mhb_po2021_ba_accounting.pdf']</t>
  </si>
  <si>
    <t>Wie wird die Gesamtnote im Bachelor Volkswirtschaftslehre berechnet?</t>
  </si>
  <si>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In der PO 2021 (Einschreibung ab WiSe 2021/22) wird die Berechnung wie folgt beschrieben: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Es ist wichtig zu beachten, dass die genauen Details zur Berechnung der Gesamtnote je nach Studienplan (PO) variieren können. Es empfiehlt sich daher, sich an der Universität oder bei der Studienberatung über die spezifischen Regelungen für den eigenen Studienplan zu informieren.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</si>
  <si>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</si>
  <si>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</si>
  <si>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</si>
  <si>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</si>
  <si>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Zusätzliche Versuche sind möglich, wenn die Ergebnisse der Prüfungen des 1. Termins vor der Anmeldefrist des 2. Termins vorliegen. Darüber hinaus haben Studierende das Recht auf Einsicht in absolvierte Prüfungen.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</si>
  <si>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</si>
  <si>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</si>
  <si>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</si>
  <si>
    <t>Wie viele Studenten starten jährlich im Bachelor Studiengang Wirtschaftsinformatik und seit wann gibt es ihn?</t>
  </si>
  <si>
    <t>Ich entschuldige mich, aber die Suchergebnisse scheinen nicht relevant zu sein. Ich werde versuchen, eine alternative Antwort zu finden.  Basierend auf den verfügbaren Informationen ist der Bachelor-Studiengang Wirtschaftsinformatik an der Universität zu Köln seit dem Wintersemester 2024/25 (WS24/25) verfügbar. Die genauen Zahlen zur Studentenzahl sind jedoch nicht in den Suchergebnissen enthalten.  Wenn Sie weitere Informationen benötigen, empfehle ich Ihnen, sich direkt an die Studienberatung der Universität zu wenden oder auf der Website der Fakultät nachzuschauen.</t>
  </si>
  <si>
    <t>Im Bachelor Wirtschaftsinformatik starten jährlich rund 100 Studierende. Der Studiengang besteht bereits seit 2008 und ist sehr erfolgreich, mit mehr als 1.100 Bewerbungen pro Jahr.</t>
  </si>
  <si>
    <t>['Bachelor of Science Betriebswirtschaftslehre: Ergänzungsbereich Betriebswirtschaftslehre Master of Science Gesundheits ökonomie: Schwerpunktbereich Gesundheits ökonomie Bachelor of Science Wirtschaftsinformatik: Basis - und Aufbaubereich Wirtschaftsinformatik Bachelor of Arts Medienwissenschaft: Media and Technology Management Bachelor of Science Wirtschaftsinformatik (ab WS24/25): Basis - und Aufbaubereich Wirtschaftsinformatik --- Page 34 --- Gültig für Studierende der PO 2021 (Einschreibung ab WiSe 2021/22) MODULHANDBUCH - WIRTSCHAFTSINFORMATIK - BACHELOR OF SCIENCE 34 Bachelor of Science Informatik: Aufbaubereich WiSo Anteil 9 Modulbeauftragte/r Univ. -Prof. Dr. Christoph Rosenkranz 10 Sonstige Informationen Pflichtlekt üre wird in jedem Semester bekannt gegeben. Die Klausur findet ggf. als E -Prüfung statt. Es werden Tutorien anstelle von Übungen angeboten. Die Vorlesung wird nach dem Konzept des "Flipped Classrooms" durchgef ührt (Videos und Unterlagen zum Selbststudium; Wiederholung, Diskussion und Vertiefung im Pr äsenz). --- Page 35 --- Gültig für Studierende der PO 2021 (Einschreibung ab WiSe 2021/22) MODULHANDBUCH - WIRTSCHAFTSINFORMATIK - BACHELOR OF SCIENCE 35 AM Wirtschaftsinformatik Kennnummer 1277BAWIF1 Workload 270h LP 9 Modulsprache Deutsch Modulbeginn jedes 2. Semester - Sommersemester Moduldauer 1 Semester 1 Lehrveranstaltungen Integrated Information Systems Kontaktzeit 90h Selbststudium 90h LV-Sprache Deutsch 2 Inhalte des Moduls • Integrierte Information',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Wirtschaftsinformatik Bachelor of Science Volkswirtschaftslehre: Schwerpunkt Studienrichtung BWL Bachelor o f Science Sozialwissenschaften: Ergänzungsbereich Sozialwissenschaften --- Page 127 --- Gültig für Studierende der PO 2021 (Einschreibung ab WiSe 2021/22) MODULHANDBUCH - WIRTSCHAFTSINFORMATIK - BACHELOR OF SCIENCE 127 9 Modulbeauftragte/r Univ. -Prof. Dr.‘ Claudia Loebbecke, M.B.A. 10 Sonstige Informationen --- Page 128 --- Gültig für Studierende der PO 2021 (Einschreibung ab WiSe 2021/22) MODULHANDBUCH - WIRTSCHAFTSINFORMATIK - BACHELOR OF SCIENCE 128 EM Entrepreneurship Kennnummer 1253BEEnt1 Workload 180h LP 6 Modulsprache Deutsch und Englisch Modulbeginn jedes 2. Semester - Wintersemester Moduldauer 1 Semester 1 Lehrveranstaltungen Entrepreneurship Kontaktzeit 60h Selbststudium 120h LV-Sprache Englisch 2 Inhalte des Moduls • Markteintritts ‐, Produkt ‐, Markt‐ und Wertsch öpfungsstrategien • Unternehmerisches Verhalten 3 Lernziele des Moduls Die Studierenden... ... kennen und verstehen grundlegende Theorien. ... setzen Theorien in vorstrukturierten Kontexten (z.B. Fallstudien) l ösun',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'of Science Betriebswirtschaftslehre: Studium Integrale Bachelor of Science Wirtschaftsinformatik: Studium Integrale Bachelor of Science Sozialwissenschaften: Studium Integrale Bachelor of Science Volkswirtschaftslehre: Studium Integrale Bachelor of Science Gesundheits ökonomie: Studium Integrale Bachelor of Science Wirtschaftsinformatik (ab WS24/25): Studium Integrale 9 Module Manager 10 Miscellaneous']</t>
  </si>
  <si>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'file://D:/Uni-Köln/Masterarbeit/Software/uzk-masterarbeit/data/pdf_cache/__wiso.uni-koeln.de_sites_fakultaet_dokumente_downloads_bachelor_b_mhb_po2021_e_SocialScience.pdf']</t>
  </si>
  <si>
    <t>Was sind die besonderen Merkmale der Wirtschaftsinformatik an der Universität zu Köln in Bezug auf Forschung, Lehre und Praxisbezug?</t>
  </si>
  <si>
    <t>Basierend auf den Suchergebnissen aus der Universitäts-Wissensdatenbank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Universität bietet eine intensive Betreuung in Kleingruppen an, was zu einem persönlichen Kontakt zwischen Dozenten und Studierenden führt. 3.  **Forschung und Lehre**: Das Institut ist Mitglied der Wirtschafts- und Sozialwissenschaftlichen Fakultät der Universität zu Köln und bietet umfassende Lehrveranstaltungen an, die sich auf Forschung und Lehre konzentrieren. 4.  **Praxisbezug**: Die Wirtschaftsinformatik an der Universität zu Köln bietet eine einzigartige Kombination aus Theorie und Praxis, was zu hervorragenden Berufsperspektiven führt.  Ich hoffe, diese Informationen helfen dir bei deiner Entscheidung! Wenn du weitere Fragen hast, stehe ich gerne zur Verfügung.</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</si>
  <si>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</si>
  <si>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'ngsordnung aus der Universität zu Köln Schwerpunktbereich II 6 WP Curriculare Ergänzung aus vorheriger Prüfungsordnung aus der Universität zu Köln Schwerpunktbereich III 6 WP Curriculare Ergänzung aus vorheriger Prüfungsordnung aus der Universität zu Köln Schwerpunktbereich IV 6 WP Wahlbereich BM Einführung in die Betriebswirtschaftslehre 6 WP 12 BM Accounting I 6 WP EM Recht für Volkswirte 6 WP BM Grundlagen der Wirtschaftsinformatik 6 WP BM Einführung in die Psychologie 6 WP --- Page 40 --- SM Wirtschaftsgeographie I 6 WP SM Wirtschaftsgeographie II 6 WP EM Kooperatives Wirtschaften 6 WP EM Solidarisches Wirtschaften 6 WP SM Vertiefung Politikwissenschaft 6 WP EM Entrepreneurship 6 WP Studies Abroad I (VWL Sozialwissenschaften) 6 WP Studies Abroad II (VWL Sozialwissenschaften) 6 WP Studies Abroad III (VWL Sozialwissenschaften) 12 WP Curriculare Ergänzung aus vorheriger Prüfungsordnung aus der Universität zu Köln Schwerpunktbereich V 6 WP Curriculare Ergänzung aus vorheriger Prüfungsordnung aus der Universität zu Köln Schwerpunktbereich VI 6 WP --- Page 41 --- Anhang 3.5: Bachelorarbeit im Studiengang Volkswirtschaftslehre Modul LP P/WP Soll LP Bachelorarbeit Volkswirtschaftslehre 12 P 12 12 --- Page 42 --- Anhang 3.6: Studium Integrale Modul LP P/WP Soll LP Studium Integrale 12 P 12 --- Page 43 --- Studiengang: Bachelor of Science Wirtschaftsinformatik Anhang 4.1: Basis - und Aufbaubereich Wirtschaftsinformatik Im Basisbereich gemäß § 28 Absatz 12 Nr. 1 müssen die zu Prüfen',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</si>
  <si>
    <t>['https://wiso.uni-koeln.de/de/studium/bachelor/bachelor-wirtschaftsinformatik',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'file://D:/Uni-Köln/Masterarbeit/Software/uzk-masterarbeit/data/pdf_cache/__wiso.uni-koeln.de_sites_fakultaet_dokumente_studium_bachelor_Broschuere-Bachelor_WInfo-WiSo_Fakultaet-Uni_Koeln_01.pdf', 'https://wiso.uni-koeln.de/de/fakultaet/departments/information-systems/lehre']</t>
  </si>
  <si>
    <t>Ich plane den M.Sc. International Management (CEMS) in Köln zu studieren. Wie unterscheiden sich das reguläre MIM-Programm und das CEMS-Curriculum konkret im Aufbau und bei den Anforderungen?</t>
  </si>
  <si>
    <t>Ich entschuldige mich für die vorherige Antwort. Hier ist eine präzisere Antwort auf deine Frage:  Der Master in International Management (MIM) an der Universität zu Köln und das CEMS-Curriculum haben einige Unterschiede im Aufbau und bei den Anforderungen.  **CEMS-Curriculum:**  * Ein internationales Praktikum * Ein Auslandssemester an einer der CEMS-Partnerhochschulen * Eine exzellente Vielfalt an Wahlmodulen aus verschiedenen Fachbereichen * Die Möglichkeit, Kompetenzen in einer dritten Sprache nachzuweisen  **Reguläres MIM-Programm:**  * Kein internationales Praktikum oder Auslandssemester * Ein breiteres Angebot an Wahlmodulen, aber ohne den Fokus auf internationale Mobilität  **Anforderungen:**  * Für das CEMS-Curriculum müssen Sie in Englisch das Sprachniveau C1 und das Niveau B1 in einer zweiten CEMS-Sprache nachweisen * Für das reguläre MIM-Programm gelten andere Anforderungen, die je nach Fachbereich variieren können  Ich hoffe, diese Informationen helfen dir bei deiner Entscheidung. Wenn du weitere Fragen hast, stehe ich gerne zur Verfügung.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</si>
  <si>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</si>
  <si>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</si>
  <si>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'https://wiso.uni-koeln.de/de/studium/master/master-international-management-cems-mim', 'https://wiso.uni-koeln.de/de/aktuelles-und-neuigkeiten/news-einzelansicht/wiso-glaenzt-erneut-im-financial-times-masters-in-management-ranking',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</si>
  <si>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</si>
  <si>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Um den Nachweis für Language 3 im CEMS-Programm zu erbringen, hast du folgende Optionen:  1.  **Abroad-Thesis/Internship-Thesis**: Du kannst eine Abroad-Thesis oder Internship-Thesis absolvieren, die in deiner dritten Sprache abgefasst ist. 2.  **Commercial test, B 1-level**: Du kannst einen kommerziellen Sprachtest wie z.B. TOEFL iBT Test oder IELTS Online Test mit einem Mindestpunktscore von 100 (TOEFL) bzw. 7,0 (IELTS) ablegen. 3.  **Bachelor-Degree in der Landessprache**: Wenn dein Bachelor-Studium in deiner zweiten Sprache abgefasst ist, kannst du den Nachweis für Language 3 erbringen.  Beim Wahl eines kommerziellen Sprachkurses solltest du folgende Punkte beachten:  *   Die Akkreditierung des Kurses durch die Universität oder eine anerkannte Institution. *   Die Mindestanforderungen an den Testergebnis (z.B. TOEFL iBT Test mit einem Mindestpunktscore von 100). *   Die Gültigkeitsdauer des Testergebnisses.  Es ist wichtig, dass du dich vorher über die Anforderungen und die Akkreditierung informierst, um sicherzustellen, dass dein Sprachnachweis anerkannt wird.</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</si>
  <si>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</si>
  <si>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</si>
  <si>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</si>
  <si>
    <t>Welche fachlichen ECTS-Voraussetzungen muss ich für eine Bewerbung im Master Economics erfüllen?</t>
  </si>
  <si>
    <t>Basierend auf den Suchergebnissen erfülle folgende Voraussetzungen für eine Bewerbung im Master Economics:   * Mindestens 30 ECTS in der Fachrichtung Volkswirtschaftslehre * Mindestens 15 ECTS in Statistik/Mathematik (reine Anwendungskompetenzen werden nicht akzeptiert) * Bachelor-Abschluss in einer relevanten Fachrichtung  Bitte beachte, dass diese Informationen auf den Suchergebnissen basieren und möglicherweise nicht die aktuellsten oder genauen Informationen sind. Es ist immer ratsam, direkt mit der Universität zu Kontakt aufzunehmen, um sicherzustellen, dass du alle erforderlichen Informationen hast.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</si>
  <si>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</si>
  <si>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98 --- valid for students of the ER 2015 (enrolment for winter semester 2020/21 at the latest) MODULE CATALOGUE - ECONOMICS - MASTER OF SCIENCE 94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99 --- valid for students of the ER 2015 (enrolment for winter semester 2020/21 at the latest) MODULE CATALOGUE - ECONOMICS - MASTER OF SCIENCE 95 SpM Markets and Economic Policy V Module Code 1302MSMEP5 Workload 180h ECTS Credits 6 Module Language English Module Availability every 2nd term - su',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</si>
  <si>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</si>
  <si>
    <t>Werden reine Software-Anwendungskurse (z. B. R, SPSS oder Python ohne mathematischen Inhalt) für die Statistik-/Mathematik-ECTS anerkannt?</t>
  </si>
  <si>
    <t>Es tut mir leid, aber die Universitäts-Wissensdatenbank enthält keine Informationen darüber, ob reine Software-Anwendungskurse (z. B. R, SPSS oder Python ohne mathematischen Inhalt) für die Statistik-/Mathematik-ECTS anerkannt werden.  Ich empfehle Ihnen, sich direkt an die Studienberatung der Universität zu wenden, um eine genaue und aktuelle Antwort auf Ihre Frage zu erhalten. Sie können auch die offizielle Website der Universität besuchen, um nach Informationen über die Anerkennung von Kursen für die Statistik-/Mathematik-ECTS zu suchen.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</si>
  <si>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</si>
  <si>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</si>
  <si>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['file://D:/Uni-Köln/Masterarbeit/Software/uzk-masterarbeit/data/pdf_cache/__wiso.uni-koeln.de_sites_fakultaet_dokumente_downloads_Modulhandbuecher_Studienjahr_22-23_MHB_PO2015_m_mhb_po2015_e_is.pdf', 'https://wiso.uni-koeln.de/de/studium/bewerbung/master/master-economics',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'file://D:/Uni-Köln/Masterarbeit/Software/uzk-masterarbeit/data/pdf_cache/__wiso.uni-koeln.de_sites_fakultaet_dokumente_downloads_Modulhandbuecher_Studienjahr_22-23_MHB_PO2015_m_mhb_po2015_e_ba_accounting.pdf']</t>
  </si>
  <si>
    <t>Welche sprachlichen und fachlichen Voraussetzungen brauche ich für eine Bewerbung im Bachelorstudiengang Gesundheitsökonomie – Management, Ökonomie &amp; Medizin an der WiSo-Fakultät?</t>
  </si>
  <si>
    <t>Basierend auf den Suchergebnissen können wir folgende Voraussetzungen für die Bewerbung im Bachelorstudiengang Gesundheitsökonomie – Management, Ökonomie &amp; Medizin an der WiSo-Fakultät nennen:  1.  Gutes mathematisches Verständnis sowie analytisches Denken. 2.  Gute sprachliche Ausdrucksfähigkeit in Deutsch und Englisch. 3.  Eigenständiges, ziel- und ergebnisorientiertes Lernen.  Es ist auch empfehlenswert, dass du teamfähig bist, da die Arbeit in Gruppen häufig geübt wird und eine wichtige Fähigkeit für die Verbindung von Perspektiven des Gesundheitswesens ist.</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</si>
  <si>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</si>
  <si>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 Alle Module in diesem Bereich sind verpflichtend. Im Schwerpunktbereich (30 LP) sind zusätzliche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</si>
  <si>
    <t>['https://wiso.uni-koeln.de/de/studium/bachelor/bachelor-gesundheitsoekonomie',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</si>
  <si>
    <t>Wie ist der Bachelorstudiengang Gesundheitsökonomie – Management, Ökonomie &amp; Medizin inhaltlich aufgebaut?</t>
  </si>
  <si>
    <t>Der Bachelorstudiengang Gesundheitsökonomie – Management, Ökonomie &amp; Medizin ist aufgebaut aus verschiedenen Modulen. Dazu gehören:  * Schwerpunktbereich: Ein modulbasierter Studienaufbau mit einem Schwerpunkt auf Gesundheitsökonomie. * Studium Integrale: Ein integriertes Studium, das die verschiedenen Perspektiven im Gesundheitswesen verbindet. * Bachelorarbeit: Eine abschließende Arbeit, die die Fähigkeit zum selbstständigen Lernen und zur Lösung von Problemen unter Beweis stellt.  Die Modulbeschreibungen sind in der Universitäts-Wissensdatenbank zu finden. Dazu gehören Module wie:  * Gesundheitsökonomische Evaluation * Anthropologische Fundierung der Sozialpolitik * Altern und Sozialraum im Welfaremix * Struktur des Gesundheitswesens * Evidenz-basierte Medizin I und II * Relevante Krankheitsbilder und Kasuistik I, II und III  Es ist ratsam, sich auf der Seite "Studienaufbau" der Universitäts-Wissensdatenbank über die spezifischen Details des Bachelorstudiums zu informieren.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</si>
  <si>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</si>
  <si>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7 1.3 Studienaufbau und -abfolge ................................ ................................ .................. 7 1.4 Study Abroad Option ................................ ................................ ............................. 8 1.5 Studienverlaufsempfehlungen ................................ ................................ ............ 10 1.6 Midterm -Regelung ................................ ................................ ................................ 14 1.7 Modularität ................................ ................................ ................................ ............ 14 2 Studienhilfe ................................ ................................ ...........',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(60) 8 W Unternehmens - und Wirtschaftsethik1 KL (60) 8 W Grundzüge der M ikroökonomik KL (90) 8 W Grundzüge der Ma kroökonomik KL (90) 8 W 1 Die Prüfungsanmeldung ist nicht mehr möglich, wenn zuvor d']</t>
  </si>
  <si>
    <t>['file://D:/Uni-Köln/Masterarbeit/Software/uzk-masterarbeit/data/pdf_cache/__wiso.uni-koeln.de_sites_fakultaet_dokumente_downloads_Modulhandbuecher_Bachelor_MHB_aktuelles_Studienjahr_b_mhb_po2021_gesoek.pdf',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'file://D:/Uni-Köln/Masterarbeit/Software/uzk-masterarbeit/data/pdf_cache/__wiso.uni-koeln.de_sites_fakultaet_dokumente_PA_po_po_ba_gesoek.pdf']</t>
  </si>
  <si>
    <t>Was umfasst das Modul „Studies Abroad in Economics III“ im M.Sc. Economics und wie funktioniert die Anerkennung der im Ausland erbrachten Leistungen?</t>
  </si>
  <si>
    <t>Das Modul "Studies Abroad in Economics III" im M.Sc. Economics umfasst eine Vielzahl von Themen und Fächern, wie z.B. Advanced Public Economics, Advanced Behavioural Economics, Health Economics III, Empirical Methods, Computational Methods, Selected Methods in Economics, Economics of Incentives in Organizations und Studies Abroad in Economics I bis IV.  Die Anerkennung der im Ausland erbrachten Leistungen erfolgt je nach Kurswahl. Die Studierenden müssen die Prüfungsanmeldung und Anerkennung nicht mehr möglich machen, wenn zuvor die Prüfung „EM Energy and Climate Policy“ abgelegt wurde.  Es ist ratsam, sich an die Studienberatung der Universität zu wenden, um weitere Informationen und Details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</si>
  <si>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</si>
  <si>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t>
  </si>
  <si>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'file://D:/Uni-Köln/Masterarbeit/Software/uzk-masterarbeit/data/pdf_cache/__wiso.uni-koeln.de_sites_fakultaet_dokumente_downloads_master_Aktuelle_MHB_s_m_mhb_po2021_economics_2425.pdf']</t>
  </si>
  <si>
    <t>Was sind die Lerninhalte und die Prüfungsmodalitäten des Moduls „SuM Seminar Economics“ im Masterstudiengang Economics?</t>
  </si>
  <si>
    <t>Basierend auf den Suchergebnissen kann ich folgende Informationen über das Modul "SuM Seminar Economics" im Masterstudiengang Economics bereitstellen:  * Lerninhalte:  + Sammeln und Analysieren von Datenmaterial für ausgewählte wissenschaftliche Fragen  + Quantitative/qualitative Methoden verwenden  + Ein akademischer Aufsatz über ein ausgewähltes Thema schreiben und eigenständige wissenschaftliche Beiträge leisten  + Wissenschaftliche Ergebnisse in einer geeigneten Weise präsentieren  + Techniken des wissenschaftlichen Arbeitens und gute wissenschaftliche Praxis anwenden * Prüfungsmodalitäten:  + Kombinierte Prüfung: Präsentation (50%) und Seminararbeit (50%)  + Lehrveranstaltung: Seminar  + Sprache: Deutsch oder Englisch  + Kompetenzen: Die Studierenden erlernen und erarbeiten ausgewählte Konzepte der industrieökonomischen Theorie, lernen wettbewerbsrechtliche Grundlagen anhand von Fallbeispielen kennen und verwenden spieltheoretische Konzepte zur Analyse von Themen wie Fusionen.  Bitte beachten Sie, dass diese Informationen auf den Suchergebnissen basieren und möglicherweise nicht die aktuellsten oder genauen Informationen sind. Es ist immer ratsam, direkt bei der Universität oder dem Studiengang nachzufragen, um sicherzustellen, dass alle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</si>
  <si>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</si>
  <si>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t>
  </si>
  <si>
    <t>['file://D:/Uni-Köln/Masterarbeit/Software/uzk-masterarbeit/data/pdf_cache/__wiso.uni-koeln.de_sites_fakultaet_dokumente_downloads_master_Studienjahr_24-25_m_mhb_po2021_e_is.pdf', 'file://D:/Uni-Köln/Masterarbeit/Software/uzk-masterarbeit/data/pdf_cache/__wiso.uni-koeln.de_sites_fakultaet_dokumente_PA_po_MPO_WiSo_2015_2025.pdf',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'file://D:/Uni-Köln/Masterarbeit/Software/uzk-masterarbeit/data/pdf_cache/__wiso.uni-koeln.de_sites_fakultaet_dokumente_downloads_master_Studienjahr_24-25_m_mhb_po2021_e_ssr.pdf']</t>
  </si>
  <si>
    <t>Welche Voraussetzungen muss ich laut Modulhandbuch (PO 2015) erfüllen, um den Masterstudiengang Sociology and Social Research an der Universität zu Köln studieren zu können?</t>
  </si>
  <si>
    <t>Basierend auf den Suchergebnissen aus der Universitäts-Wissensdatenbank, um den Masterstudiengang Sociology and Social Research an der Universität zu Köln studieren zu können, müssen folgende Voraussetzungen erfüllt sein:  1.  Die Studienbewerberin/die Studienbewerber muss einen Bachelorabschluss in einem relevanten Fach (z.B. Soziologie, Psychologie, Pädagogik) oder ein ähnliches Studium mit mindestens 180 ECTS-Punkten nachweisen. 2.  Die Bewerbung muss über die Online-Plattform des Zentralen Studiensekretariats der Universität zu Köln eingereicht werden. 3.  Die Bewerberin/die Bewerber muss eine schriftliche Motivationserklärung (maximal 1 Seite) einreichen, in der sie ihre Interessen und Ziele im Studium ausführt.  Es ist wichtig zu beachten, dass die genauen Anforderungen je nach Studiengang variieren können. Es wird empfohlen, sich direkt an das Zentrale Studiensekretariat oder den zuständigen Fachbereich zu wenden, um sicherzustellen, dass alle Anforderungen erfüllt sind.  Quelle: Modulhandbuch - Sociology and Social Research - Master of Science (PO 2015)</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</si>
  <si>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</si>
  <si>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</si>
  <si>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</si>
  <si>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</si>
  <si>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Der Masterstudiengang Sociology and Social Research an der Universität zu Köln ist aufgebaut wie folgt:  * Der Studiengang hat eine Regelstudienzeit von 4 Semestern. * Die Studierenden müssen insgesamt 120 Leistungspunkte (LP) erwerben, um den Masterabschluss zu erreichen. * Der Studiengang besteht aus drei Bereichen:  + Bereich A: Theorie und Methoden der Soziologie (30 LP)  + Bereich B: Themenfelder der Sozialforschung (30 LP)  + Bereich C: Ergänzungsbereich (10 LP) und Masterarbeit (30 LP)  Die genauen Leistungspunkte für jeden Bereich können je nach Modul variieren. Es ist ratsam, die aktuelle Modulhandbuch zu konsultieren, um sich über die aktuellen Anforderungen zu informieren.  Quelle: [Modulhandbuch Sociology and Social Research](https://www.wiso.uni-koeln.de/Master-Studiengaenge/Sociology-and-Social-Research/Modulhandbuch.html)</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</si>
  <si>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</si>
  <si>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</si>
  <si>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'file://D:/Uni-Köln/Masterarbeit/Software/uzk-masterarbeit/data/pdf_cache/__wiso.uni-koeln.de_sites_fakultaet_dokumente_PA_po_po_m_information_systems.pdf', 'https://wiso.uni-koeln.de/de/studium/master/master-sociology']</t>
  </si>
  <si>
    <t>['pdf', 'pdf', 'pdf', 'pdf', 'html']</t>
  </si>
  <si>
    <t>Wie ist der Bachelorstudiengang Health Economics bezüglich Bereiche und Leistungspunkte an der Universität zu Köln strukturiert?</t>
  </si>
  <si>
    <t>Der Bachelorstudiengang Health Economics an der Universität zu Köln ist in verschiedene Bereiche und Leistungspunkte strukturiert:  *   **Grundlagen**: Im ersten Semester werden die Grundlagen der Gesundheitsökonomie, wie Epidemiologie, Statistik und Ökonomik, vermittelt. *   **Gesundheitssysteme**: Im zweiten Semester werden verschiedene Gesundheitssysteme ausgewertet. *   **Auslandssemester**: Es besteht die Möglichkeit ein Auslandssemester zu absolvieren, um internationale Erfahrungen zu sammeln. *   **Bachelorarbeit**: Die Bachelorarbeit ist ein wichtiger Bestandteil des Studiums und bietet die Möglichkeit, einen internationalen Themenschwerpunkt zu verfolgen.  Die genauen Leistungspunkte können je nach Semester variieren. Es ist ratsam, sich an der Universität zu Köln direkt über die aktuelle Studiengangsstruktur zu informieren.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</si>
  <si>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</si>
  <si>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1 Prüfungsordnung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t>
  </si>
  <si>
    <t>['https://wiso.uni-koeln.de/de/studium/master/master-gesundheitsoekonomie', 'https://wiso.uni-koeln.de/de/studium/master/master-gesundheitsoekonomie',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'file://D:/Uni-Köln/Masterarbeit/Software/uzk-masterarbeit/data/pdf_cache/__wiso.uni-koeln.de_sites_fakultaet_dokumente_downloads_Modulhandbuecher_Bachelor_MHB_aktuelles_Studienjahr_b_module_catalogue_health_economics_po2021.pdf']</t>
  </si>
  <si>
    <t>Welche inhaltlichen Ziele verfolgt der Bachelorstudiengang Health Economics und für welche Berufsfelder qualifiziert er?</t>
  </si>
  <si>
    <t>Basierend auf den Suchergebnissen kann ich sagen, dass der Bachelorstudiengang Health Economics (Gesundheitsökonomie) an der Universität zu Köln folgende inhaltliche Ziele verfolgt:  * Die Verbindung verschiedener Perspektiven im Gesundheitswesen * Die Förderung von Qualität und Effizienz im Gesundheitswesen  Der Studiengang qualifiziert für die folgenden Berufsfelder:  * Arbeit in öffentlichen und privaten Einrichtungen des Gesundheitswesens * Management, Verwaltung oder Verbände sowie gesundheitspolitische Institutionen * Akademische Lehre * Gesundheitspolitik  Es ist wichtig zu beachten, dass die genauen Inhalte und Ziele des Studiengangs je nach Semester und Modul variieren können. Es lohnt sich, die offizielle Website der Universität zu Köln oder das Modulhandbuch zum B.Sc. Gesundheitsökonomie zu konsultieren, um genauere Informationen zu erhalten.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</si>
  <si>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</si>
  <si>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t>
  </si>
  <si>
    <t>['https://wiso.uni-koeln.de/de/studium/bachelor/bachelor-gesundheitsoekonomie', 'file://D:/Uni-Köln/Masterarbeit/Software/uzk-masterarbeit/data/pdf_cache/__wiso.uni-koeln.de_sites_fakultaet_dokumente_downloads_Modulhandbuecher_Studienjahr_22-23_MHB_PO2021_b_mhb_po2021_e_HealthEconomics.pdf', 'https://wiso.uni-koeln.de/de/studium/bachelor/bachelor-gesundheitsoekonomie/studienaufbau',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'file://D:/Uni-Köln/Masterarbeit/Software/uzk-masterarbeit/data/pdf_cache/__wiso.uni-koeln.de_sites_fakultaet_dokumente_downloads_Modulhandbuecher_Bachelor_MHB_aktuelles_Studienjahr_b_mhb_po2021_sowi.pdf']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</si>
  <si>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</si>
  <si>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</si>
  <si>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</si>
  <si>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</si>
  <si>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</si>
  <si>
    <t>Welche Ausgaben des PUMA WiSo 2026 erscheinen im Juli 2026 und wann sind die jeweiligen Redaktionsschlüsse?</t>
  </si>
  <si>
    <t>Basierend auf den Suchergebnissen kann ich folgern:  Die Ausgaben des PUMA WiSo 2026, die im Juli 2026 erscheinen, sind die Ausgaben 14 und 15.  - Ausgabe 14 erscheint am 30.06.26 und der Redaktionsschluss ist der 25.06.26. - Ausgabe 15 erscheint am 28.07.26 und der Redaktionsschluss ist der 23.07.26.  Bitte beachten Sie, dass diese Informationen auf den Suchergebnissen basieren und möglicherweise nicht aktuell sind. Es wird empfohlen, direkt bei der Universität zu überprüfen, ob die genannten Daten noch gültig sind.</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</si>
  <si>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</si>
  <si>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</si>
  <si>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'https://wiso.uni-koeln.de/de/praxis/wiso-career-service']</t>
  </si>
  <si>
    <t>Nach welchen Regeln darf ich als Austauschstudent*in an der WiSo-Fakultät laut Kursliste Bachelor- und Masterveranstaltungen belegen?</t>
  </si>
  <si>
    <t>Als Austauschstudent*in an der WiSo-Fakultät kannst du laut Kursliste Bachelor- und Masterveranstaltungen belegen, wenn du erfolgreich durch das STAP (Studentenmobilitätsprogramm) gegangen bist. Dies ermöglicht dir ein Semester an einer Gasthochschule zu verbringen. Es ist jedoch wichtig zu beachten, dass dies nur für ein Semester möglich ist.  Es gibt auch andere Möglichkeiten wie WiSo@, University-wide Cooperations und Freemovers, aber diese sind nicht direkt mit dem STAP verbunden.  Es ist ratsam, frühzeitig zu planen und sich über die Regeln und Anforderungen zu informieren.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</si>
  <si>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</si>
  <si>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t>
  </si>
  <si>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'file://D:/Uni-Köln/Masterarbeit/Software/uzk-masterarbeit/data/pdf_cache/__wiso.uni-koeln.de_sites_fakultaet_user_upload_WRDS_Regelungen_und_Erklaerung_fuer_Studierende.pdf',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'file://D:/Uni-Köln/Masterarbeit/Software/uzk-masterarbeit/data/pdf_cache/__wiso.uni-koeln.de_sites_fakultaet_user_upload_Antrag_WRDS_Studierende_01.pdf']</t>
  </si>
  <si>
    <t>Ich muss mein Austauschsemester Mitte Dezember als Early leaver beenden. Was bedeutet 'Early leaver option' und wie finde ich passende Kurse?</t>
  </si>
  <si>
    <t>Es tut mir leid, aber ich konnte keine passenden Kurse für dich finden. Es scheint, dass die Universität zu Köln keine speziellen Informationen über "passende Kurse" für die Early-Leaver-Option bereitstellt.  Ich empfehle dir jedoch, direkt mit der Studienberatung oder dem zuständigen Fachbereich Kontakt aufzunehmen, um mehr über mögliche Kursangebote und -bedingungen zu erfahren. Sie können dir auch helfen, die passenden Kurse für deine Bedürfnisse auszuwählen.  Wenn du weitere Fragen hast oder Hilfe benötigst,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</si>
  <si>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</si>
  <si>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</si>
  <si>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'https://wiso.uni-koeln.de/en/studium/international/incoming-exchange-at-wiso/semester-exchange', 'https://wiso.uni-koeln.de/de/studium/international/incoming-exchange-at-wiso/semester-exchange']</t>
  </si>
  <si>
    <t>Ich bin für längere Zeit krank und kann meine Abschlussarbeit nicht normal bearbeiten. Muss mein Attest direkt einen sehr langen Zeitraum abdecken oder kann ich mehrere Atteste nacheinander einreichen?</t>
  </si>
  <si>
    <t>Hallo!  Basierend auf den Suchergebnissen kann ich dir folgendes sagen:  Du kannst mehrere Atteste nacheinander einreichen, um deine Prüfungsunfähigkeit nachzuweisen. Es ist jedoch wichtig zu beachten, dass du ausführlich darlegen musst, warum ein langer Zeitraum prognostiziert werden soll.  Es gibt auch Formulare des Prüfungsamtes, die dir helfen können, das Attest auszustellen und den Antrag auf Verlängerung der Frist zur Abgabe deiner Abschlussarbeit zu stellen.  Ich empfehle dir, dich an die Studienberatung zu wenden, um weitere Informationen und Unterstützung zu erhalten. Sie können dir auch helfen, die richtigen Schritte zu unternehmen, um deine Situation zu klären.  Ich hoffe, das hilft! Wenn du noch Fragen hast,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</si>
  <si>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</si>
  <si>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</si>
  <si>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'https://wiso.uni-koeln.de/de/fakultaet/dekanat/zentrale-fakultaetsverwaltung/pruefungsamt/po-2007-2008/abschlussarbeiten']</t>
  </si>
  <si>
    <t>Kann ich für eine Verlängerung der Bearbeitungsfrist meiner Abschlussarbeit einfach Prüfungsangst als Grund angeben, oder reicht das nicht für eine anerkannte Prüfungsunfähigkeit?</t>
  </si>
  <si>
    <t>Es tut mir leid, aber auf Grundlage der Suchergebnisse kann ich keine klare Antwort geben.  **Empfehlung**: Bitte wende dich an die Studienberatung oder das Prüfungsamt der Universität zu Köln für eine genaue Auskunft.</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</si>
  <si>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</si>
  <si>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</si>
  <si>
    <t>['file://D:/Uni-Köln/Masterarbeit/Software/uzk-masterarbeit/data/pdf_cache/__wiso.uni-koeln.de_sites_fakultaet_dokumente_PA_formulare_aerztliche_Bescheinigung_V3_en.pdf', 'file://D:/Uni-Köln/Masterarbeit/Software/uzk-masterarbeit/data/pdf_cache/__wiso.uni-koeln.de_sites_fakultaet_dokumente_PA_formulare_Antrag_Verlaengerung_Abschlussarbeit_2018_11_29.pdf',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t>
  </si>
  <si>
    <t>['pdf', 'pdf', 'html', 'html', 'pdf']</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</si>
  <si>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</si>
  <si>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Gewichtung der einzelnen Bereiche ist wie folgt:  * Basisbereich: [keine genauen Informationen gefunden] * Ergänzungsbereich: [keine genauen Informationen gefunden] * Schwerpunktbereich: [keine genauen Informationen gefunden]  Es ist jedoch erwähnenswert, dass die Noten der Studienbereiche als gewichtetes arithmetisches Mittel aus allen benoteten Modulen entsprechend der in der Prüfungsordnung ausgewiesenen Gewichtung gebildet werden.  Bitte beachten Sie, dass diese Informationen auf den Suchergebnissen basieren und möglicherweise nicht vollständig oder aktuell sind. Es ist immer ratsam, sich direkt an die Universität zu wenden, um sicherzustellen, dass die Informationen korrekt sind.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</si>
  <si>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</si>
  <si>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</si>
  <si>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</si>
  <si>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</si>
  <si>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wie folgt zusammengefasst werden:  * Der Bachelorabschluss mit mindestens 180 ECTS-Punkten oder einem äquivalenten Programm * Erfüllung der Voraussetzungen gemäß der Ordnung zur Feststellung der besonderen Eignung für den Masterstudiengang Business Administration, Marketing (Ordnung zur Feststellung der besonderen Eignung)  Es ist wichtig zu beachten, dass die genauen Anforderungen und Bedingungen auf der Website der Universität zu Köln oder in den offiziellen Dokumenten nachgelesen werden sollten.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</si>
  <si>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</si>
  <si>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
  </si>
  <si>
    <t>['https://wiso.uni-koeln.de/de/studium/bewerbung/master/master-business-administration',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'https://wiso.uni-koeln.de/de/studium/bewerbung/master/master-business-analytics-and-econometrics', 'file://D:/Uni-Köln/Masterarbeit/Software/uzk-masterarbeit/data/pdf_cache/__wiso.uni-koeln.de_sites_fakultaet_dokumente_downloads_Modulhandbuecher_Studienjahr_22-23_MHB_PO2015_m_mhb_po2015_e_ba_marketing.pdf']</t>
  </si>
  <si>
    <t>Bis wann läuft die Prüfungsordnung für den Bachelorstudiengang Gesundheitsökonomie (PO 2015) aus?</t>
  </si>
  <si>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</si>
  <si>
    <t>Die Prüfungsordnung für den Bachelorstudiengang Gesundheitsökonomie (PO 2015) läuft mit Ablauf des Wintersemesters 2024/25 aus</t>
  </si>
  <si>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t>
  </si>
  <si>
    <t>['file://D:/Uni-Köln/Masterarbeit/Software/uzk-masterarbeit/data/pdf_cache/__wiso.uni-koeln.de_sites_fakultaet_dokumente_PA_po_BPO_Gesoek_2015_2025.pdf',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'file://D:/Uni-Köln/Masterarbeit/Software/uzk-masterarbeit/data/pdf_cache/__wiso.uni-koeln.de_sites_fakultaet_dokumente_PA_po_BPO_Gesoek_2021_2025.pdf', 'https://wiso.uni-koeln.de/de/fakultaet/dekanat/zentrale-fakultaetsverwaltung/pruefungsamt/po-2015-po-2021/download', 'https://wiso.uni-koeln.de/de/fakultaet/dekanat/pruefungsaemter/po-2015-po-2021/download']</t>
  </si>
  <si>
    <t>Was zeichnet den Masterstudiengang Business Administration – Marketing inhaltlich aus und in welcher Sprache wird er gelehrt?</t>
  </si>
  <si>
    <t>Der Masterstudiengang Business Administration – Marketing zeichnet sich durch eine Vielzahl von Lehr- und Lernformen aus, darunter Vorlesungen, Seminare, Übungen und die Möglichkeit einer Masterarbeit. Die Module des Studiengangs umfassen Themen wie Marketingmanagement, Marktforschung, Marketingkommunikation und internationales Marketing.  Die Sprache in derer dieser Masterstudiengang wird gelehrt ist Deutsch.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</si>
  <si>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</si>
  <si>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</si>
  <si>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'file://D:/Uni-Köln/Masterarbeit/Software/uzk-masterarbeit/data/pdf_cache/__wiso.uni-koeln.de_sites_fakultaet_dokumente_downloads_master_Studienjahr_24-25_m_mhb_po2021_e_ba_marketing.pdf']</t>
  </si>
  <si>
    <t>Welche verschiedenen Praktikumsmöglichkeiten beim Europäischen Parlament sind möglich?</t>
  </si>
  <si>
    <t>Es gibt verschiedene Praktikumsmöglichkeiten beim Europäischen Parlament, wie zum Beispiel:  *   Robert-Schuman-Stipendien für Hochschulabsolventen *   Praktika bei Europaabgeordneten (direkte Bewerbung bei den Abgeordneten) *   Praktikum im Ungarischen Parlament (Hans von Dohnanyi Stipendium)  Es ist ratsam, sich auf der offiziellen Webseite des Europäischen Parlaments oder auf anderen Informationsquellen wie dem Auswärtigen Amt oder Quick Guide to EU Traineeships zu informieren.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</si>
  <si>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</si>
  <si>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</si>
  <si>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</si>
  <si>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</si>
  <si>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für Fragen zu einer Karriere bei der Europäischen Union ist die EU Career Ambassador an der Wirtschafts- und Sozialwissenschaftlichen Fakultät (WiSo) der Universität zu Köln. Sie können sich gerne an die Studienberatung wenden, um Kontakt mit ihr aufzunehmen.  Die Studienberatung befindet sich im Gebäude Vogelpothsweg 87, 51109 Köln. Sie ist erreichbar unter folgenden Kontaktdaten:  - Telefon: +49 (0)221 470-1 - E-Mail: [studienberatung@wiso.uni-koeln.de](mailto:studienberatung@wiso.uni-koeln.de)  Die EU Career Ambassador kann Ihnen gerne Informationen über Karrierechancen bei der Europäischen Union und wie Sie sich darauf vorbereiten können, geben.</t>
  </si>
  <si>
    <t>An der Universität zu Köln gibt es einen EU Career Ambassador. Diese Person ist die zentrale Ansprechperson für alle Kölner Studierenden, die sich für eine Karriere bei der Europäischen Union interessieren.</t>
  </si>
  <si>
    <t>['he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 ... Tomorrow\'s impact.\n\nDie Wirtschafts- und Sozialwissenschaftliche Fakultät der Universität zu Köln bildet hervorragende junge Talente aus und rüstet sie für eine erfolgreiche Karriere. Ihre beruflichen Wege, die durch ein fundiertes Studium geebnet werden, sind vielfältig und individuell.\n\nAls wertvolle Quelle des Engagements und der Inspiration berichten hier einige unserer erfolgreichen Alumni, welchen Impact das Studium an der WiSo auf sie und ihre Karriere hatte.\n\n##### Alumni-Testimonials\n\n-\n\n"Sie sind nicht hier um Wissen anzuhäufen, sondern um das Denken zu erlernen." - Dieser Satz aus meiner ersten Vorlesung an der Universität zu Köln hat mich bis heute geprägt. Im Studium an der WiSo habe ich die faktenbasierte und analytische Vorgehensweise gelernt, welche mir bis heute dabei hilft, strategische und abstrakte Fragestellungen mit der notwendigen Detailtiefe zu lösen. – Tim Höttges, Vorstandsvorsitzender Deutsche Telekom AG\n\n-\n\nDie Universität Köln gehört zu den Top-Universitäten – nicht zuletzt auch wegen ihrer sehr guten akademischen Bildung. Die vielen praktischen Bezüge in den Hauptseminaren habe ich sehr wertgeschätzt und immer wieder anwenden können. – Dr. Stefan Schulte, Vorsitzender des Vorstandes der Fraport AG\n\n-\n\nVergesst bei allem Faktenlernen nicht, dass die besten Manager am Ende nicht nur Experten auf ihrem Gebiet sind, sondern auch starke Persönlichkeiten. Sie müssen vor allem Menschen mitnehmen können. Als Führungskraft muss ich motivieren, moder']</t>
  </si>
  <si>
    <t>['https://wiso.uni-koeln.de/de/studium/master/master-economics',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'https://wiso.uni-koeln.de/de/studium/master/master-business-administration/corporate-development', 'https://wiso.uni-koeln.de/de/praxis/wisoalumni/tomorrows-impact']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</si>
  <si>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</si>
  <si>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Fehlermeldungen.  Wenn Sie eines dieser Anzeichen bemerken, sollten Sie bitte die WiSo-IT informieren, damit sie den Rechner sperren können und weitere Schritte einleiten, um den Viren- oder Trojanerbefall zu beseitigen.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</si>
  <si>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</si>
  <si>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</si>
  <si>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'file://D:/Uni-Köln/Masterarbeit/Software/uzk-masterarbeit/data/pdf_cache/__wiso.uni-koeln.de_sites_wiso_it_docs_Anleitungen_PC-Pool_Benutzungsordnung.pdf']</t>
  </si>
  <si>
    <t>Welche ersten Schritte soll ich laut Notfallplan unternehmen, wenn ich einen Viren- oder Trojanerbefall vermute?</t>
  </si>
  <si>
    <t>Es tut mir leid, aber ich konnte keine spezifischen Schritte für den Notfallplan Viren- oder Trojanerbefall finden. Es ist jedoch ratsam, folgende allgemeine Schritte zu unternehmen:  1.  **Sofortiges Handeln**: Wenn Sie einen Viren- oder Trojanerbefall vermuten, sollten Sie sofort handeln und nicht warten, bis der Schaden größer wird. 2.  **System-Neustart**: Ein System-Neustart kann oft helfen, den Befall zu beheben. 3.  **Virenskanner verwenden**: Installieren und starten Sie einen Virenskanner, um den Computer auf Viren oder Trojaner zu scannen und zu entfernen. 4.  **System-Wiederherstellung**: Wenn der Befall schwerwiegend ist, sollten Sie die System-Wiederherstellung nutzen, um das System in einen vor dem Befall gesicherten Zustand zurückzusetzen. 5.  **Professionelle Hilfe**: Wenn Sie nicht sicher sind, wie Sie vorgehen sollen oder wenn der Befall schwerwiegend ist, sollten Sie sich an einen IT-Experten wenden.  Bitte beachten Sie, dass diese Schritte allgemeiner Natur sind und je nach Art des Viren- oder Trojanerbefalls spezifische Maßnahmen erforderlich sein können.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</si>
  <si>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</si>
  <si>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'Webseite des Prüfungsamts bekanntge- gebenen elektronischen Übermittlungsweg angezeigt und nachgewiesen werden. 3Dasselbe gilt, wenn eine Prüfungsleistung nicht innerhalb der vorgegebenen Bearbeitungszeit erbracht wird. 4Bei Krankheit ist die Vorl age einer ärztlichen Bescheinigung notwendig. 5In Zweifelsfällen kann die Vor- lage eines vertrauensärztlichen Attests verlangt werden; die Kosten übernimmt die Universität. 6Glei- ches gilt bei nachgewiesener Erkrankung eines von einer Prüfungskandidatin bezi ehungsweise ei- nem Prüfungskandidaten zu versorgenden Kindes oder einer zu pflegenden Ehegattin oder eines zu pflegenden Ehegatten, einer eingetragenen Lebenspartnerin oder eines eingetragenen Lebenspart- ners, einer oder eines in gerader Linie Verwandten sow ie einer oder eines im ersten Grad Verschwä- gerten. 7Alles weitere regelt der jeweils zuständigen Prüfungsausschuss. --- Page 27 --- 27 § 17 Nachteilsausgleich und Schutzbestimmungen (1) Die besonderen Belange von Studierenden mit Behinderungen, chronischen oder psychi- schen Erkrankungen und Studierenden, die den mutterschutzrechtlichen Bestimmungen unterliegen, sind zur Wahrnehmung ihrer Chancengleichheit zu berücksichtigen. (2) 1Macht eine Prüfungskandidatin oder ein Prüfungskandidat glaubhaft, dass sie oder er w e- gen länger andauernder oder ständiger Krankheit oder Behinderung nicht in der Lage ist, an einer Prüfung in der vorgesehenen Form oder in dem vorgesehenen Umfang teilzunehmen, wird ihr oder ihm auf schri']</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</si>
  <si>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</si>
  <si>
    <t>['pdf', 'html', 'html', 'pdf', 'pdf']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</si>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</sst>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8">
    <fill>
      <patternFill patternType="none"/>
    </fill>
    <fill>
      <patternFill patternType="gray125"/>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D9D9D9"/>
        <bgColor rgb="FFD9D9D9"/>
      </patternFill>
    </fill>
    <fill>
      <patternFill patternType="solid">
        <fgColor rgb="FFFFC7CE"/>
        <bgColor rgb="FFFFEB9C"/>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164" fontId="0" fillId="7" borderId="0" xfId="0" applyNumberFormat="1" applyFill="1"/>
    <xf numFmtId="0" fontId="2" fillId="0" borderId="0" xfId="0" applyFont="1"/>
    <xf numFmtId="0" fontId="0" fillId="0" borderId="0" xfId="0"/>
    <xf numFmtId="1" fontId="0" fillId="0" borderId="0" xfId="0" applyNumberFormat="1"/>
  </cellXfs>
  <cellStyles count="1">
    <cellStyle name="Standard" xfId="0" builtinId="0"/>
  </cellStyles>
  <dxfs count="0"/>
  <tableStyles count="0" defaultTableStyle="TableStyleMedium9" defaultPivotStyle="PivotStyleLight16"/>
  <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17"/>
  <sheetViews>
    <sheetView workbookViewId="0">
      <selection activeCell="M122" sqref="M122"/>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hidden="1" x14ac:dyDescent="0.25">
      <c r="A2">
        <v>1</v>
      </c>
      <c r="B2" t="s">
        <v>27</v>
      </c>
      <c r="C2" t="s">
        <v>28</v>
      </c>
      <c r="D2" s="2" t="s">
        <v>29</v>
      </c>
      <c r="E2" s="2" t="s">
        <v>30</v>
      </c>
      <c r="F2" s="2" t="s">
        <v>31</v>
      </c>
      <c r="G2" s="2" t="s">
        <v>32</v>
      </c>
      <c r="H2" t="s">
        <v>33</v>
      </c>
      <c r="I2" t="s">
        <v>34</v>
      </c>
      <c r="J2" s="3">
        <v>0.76923076923076927</v>
      </c>
      <c r="K2">
        <v>0</v>
      </c>
      <c r="L2">
        <v>0</v>
      </c>
      <c r="M2">
        <v>0.69978004496744195</v>
      </c>
      <c r="N2">
        <v>0.1111111109876543</v>
      </c>
      <c r="O2">
        <v>0.92927388606417471</v>
      </c>
      <c r="P2">
        <v>0.13976763188838959</v>
      </c>
      <c r="Q2">
        <v>3.4890979528427117E-2</v>
      </c>
      <c r="R2">
        <v>0.24489997327327731</v>
      </c>
      <c r="S2">
        <v>0</v>
      </c>
      <c r="T2">
        <v>0</v>
      </c>
      <c r="U2">
        <v>25.88210558891296</v>
      </c>
      <c r="V2">
        <v>2271</v>
      </c>
      <c r="W2">
        <v>329</v>
      </c>
      <c r="X2">
        <v>2600</v>
      </c>
      <c r="Y2">
        <v>0</v>
      </c>
      <c r="Z2">
        <v>5</v>
      </c>
      <c r="AA2">
        <v>25.88210558891296</v>
      </c>
    </row>
    <row r="3" spans="1:27" ht="409.5" hidden="1" x14ac:dyDescent="0.25">
      <c r="A3">
        <v>2</v>
      </c>
      <c r="B3" t="s">
        <v>27</v>
      </c>
      <c r="C3" t="s">
        <v>35</v>
      </c>
      <c r="D3" s="2" t="s">
        <v>36</v>
      </c>
      <c r="E3" s="2" t="s">
        <v>37</v>
      </c>
      <c r="F3" s="2" t="s">
        <v>38</v>
      </c>
      <c r="G3" s="2" t="s">
        <v>39</v>
      </c>
      <c r="H3" t="s">
        <v>40</v>
      </c>
      <c r="I3" t="s">
        <v>41</v>
      </c>
      <c r="J3" s="4">
        <v>0.27272727272727271</v>
      </c>
      <c r="K3">
        <v>1</v>
      </c>
      <c r="L3">
        <v>0.99999999989999999</v>
      </c>
      <c r="M3">
        <v>0.61430154496217371</v>
      </c>
      <c r="N3">
        <v>0.249999999375</v>
      </c>
      <c r="O3">
        <v>0</v>
      </c>
      <c r="P3">
        <v>5.4375249892473221E-2</v>
      </c>
      <c r="Q3">
        <v>-0.15783621370792389</v>
      </c>
      <c r="R3">
        <v>0.28049436211585999</v>
      </c>
      <c r="S3">
        <v>0</v>
      </c>
      <c r="T3">
        <v>0</v>
      </c>
      <c r="U3">
        <v>14.811628818511959</v>
      </c>
      <c r="V3">
        <v>2230</v>
      </c>
      <c r="W3">
        <v>314</v>
      </c>
      <c r="X3">
        <v>2544</v>
      </c>
      <c r="Y3">
        <v>0</v>
      </c>
      <c r="Z3">
        <v>5</v>
      </c>
      <c r="AA3">
        <v>14.811628818511959</v>
      </c>
    </row>
    <row r="4" spans="1:27" ht="409.5" hidden="1" x14ac:dyDescent="0.25">
      <c r="A4">
        <v>3</v>
      </c>
      <c r="B4" t="s">
        <v>27</v>
      </c>
      <c r="C4" t="s">
        <v>28</v>
      </c>
      <c r="D4" s="2" t="s">
        <v>42</v>
      </c>
      <c r="E4" s="2" t="s">
        <v>43</v>
      </c>
      <c r="F4" s="2" t="s">
        <v>44</v>
      </c>
      <c r="G4" s="2" t="s">
        <v>45</v>
      </c>
      <c r="H4" t="s">
        <v>46</v>
      </c>
      <c r="I4" t="s">
        <v>41</v>
      </c>
      <c r="J4" s="5">
        <v>1</v>
      </c>
      <c r="K4">
        <v>1</v>
      </c>
      <c r="L4">
        <v>0.36666666664833342</v>
      </c>
      <c r="M4">
        <v>0.81694685335923545</v>
      </c>
      <c r="N4">
        <v>0.62499999921874994</v>
      </c>
      <c r="O4">
        <v>0.8201472031350594</v>
      </c>
      <c r="P4">
        <v>0.1823333948850632</v>
      </c>
      <c r="Q4">
        <v>0.12567064166069031</v>
      </c>
      <c r="R4">
        <v>0.2364819794893265</v>
      </c>
      <c r="S4">
        <v>0.2</v>
      </c>
      <c r="T4">
        <v>1</v>
      </c>
      <c r="U4">
        <v>13.043420553207399</v>
      </c>
      <c r="V4">
        <v>2211</v>
      </c>
      <c r="W4">
        <v>258</v>
      </c>
      <c r="X4">
        <v>2469</v>
      </c>
      <c r="Y4">
        <v>0</v>
      </c>
      <c r="Z4">
        <v>5</v>
      </c>
      <c r="AA4">
        <v>13.043420553207399</v>
      </c>
    </row>
    <row r="5" spans="1:27" ht="409.5" hidden="1" x14ac:dyDescent="0.25">
      <c r="A5">
        <v>4</v>
      </c>
      <c r="B5" t="s">
        <v>27</v>
      </c>
      <c r="C5" t="s">
        <v>28</v>
      </c>
      <c r="D5" s="2" t="s">
        <v>47</v>
      </c>
      <c r="E5" s="2" t="s">
        <v>48</v>
      </c>
      <c r="F5" s="2" t="s">
        <v>49</v>
      </c>
      <c r="G5" s="2" t="s">
        <v>50</v>
      </c>
      <c r="H5" t="s">
        <v>51</v>
      </c>
      <c r="I5" t="s">
        <v>41</v>
      </c>
      <c r="J5" s="5">
        <v>1</v>
      </c>
      <c r="K5">
        <v>0.66666666666666663</v>
      </c>
      <c r="L5">
        <v>0</v>
      </c>
      <c r="M5">
        <v>0.64766006876446469</v>
      </c>
      <c r="N5">
        <v>0.14285714265306121</v>
      </c>
      <c r="O5">
        <v>0.83660439521526364</v>
      </c>
      <c r="P5">
        <v>0.18402643501758581</v>
      </c>
      <c r="Q5">
        <v>8.6959876120090485E-2</v>
      </c>
      <c r="R5">
        <v>0.28091517090797419</v>
      </c>
      <c r="S5">
        <v>0</v>
      </c>
      <c r="T5">
        <v>0</v>
      </c>
      <c r="U5">
        <v>14.956460952758791</v>
      </c>
      <c r="V5">
        <v>2190</v>
      </c>
      <c r="W5">
        <v>331</v>
      </c>
      <c r="X5">
        <v>2521</v>
      </c>
      <c r="Y5">
        <v>0</v>
      </c>
      <c r="Z5">
        <v>5</v>
      </c>
      <c r="AA5">
        <v>14.956460952758791</v>
      </c>
    </row>
    <row r="6" spans="1:27" ht="409.5" hidden="1" x14ac:dyDescent="0.25">
      <c r="A6">
        <v>5</v>
      </c>
      <c r="B6" t="s">
        <v>27</v>
      </c>
      <c r="C6" t="s">
        <v>35</v>
      </c>
      <c r="D6" s="2" t="s">
        <v>52</v>
      </c>
      <c r="E6" s="2" t="s">
        <v>53</v>
      </c>
      <c r="F6" s="2" t="s">
        <v>54</v>
      </c>
      <c r="G6" s="2" t="s">
        <v>55</v>
      </c>
      <c r="H6" t="s">
        <v>56</v>
      </c>
      <c r="I6" t="s">
        <v>57</v>
      </c>
      <c r="J6" s="3">
        <v>0.6428571428571429</v>
      </c>
      <c r="K6">
        <v>1</v>
      </c>
      <c r="L6">
        <v>0.999999999975</v>
      </c>
      <c r="M6">
        <v>0.85735251421182457</v>
      </c>
      <c r="N6">
        <v>0.99999999000000017</v>
      </c>
      <c r="O6">
        <v>0.97501414077064885</v>
      </c>
      <c r="P6">
        <v>0.29177096486091608</v>
      </c>
      <c r="Q6">
        <v>0.15998345613479609</v>
      </c>
      <c r="R6">
        <v>0.4268248975276947</v>
      </c>
      <c r="S6">
        <v>1</v>
      </c>
      <c r="T6">
        <v>1</v>
      </c>
      <c r="U6">
        <v>12.85010433197021</v>
      </c>
      <c r="V6">
        <v>2229</v>
      </c>
      <c r="W6">
        <v>262</v>
      </c>
      <c r="X6">
        <v>2491</v>
      </c>
      <c r="Y6">
        <v>0</v>
      </c>
      <c r="Z6">
        <v>5</v>
      </c>
      <c r="AA6">
        <v>12.85010433197021</v>
      </c>
    </row>
    <row r="7" spans="1:27" ht="409.5" hidden="1" x14ac:dyDescent="0.25">
      <c r="A7">
        <v>6</v>
      </c>
      <c r="B7" t="s">
        <v>27</v>
      </c>
      <c r="C7" t="s">
        <v>28</v>
      </c>
      <c r="D7" s="2" t="s">
        <v>58</v>
      </c>
      <c r="E7" s="2" t="s">
        <v>59</v>
      </c>
      <c r="F7" s="2" t="s">
        <v>60</v>
      </c>
      <c r="G7" s="2" t="s">
        <v>61</v>
      </c>
      <c r="H7" t="s">
        <v>62</v>
      </c>
      <c r="I7" t="s">
        <v>41</v>
      </c>
      <c r="J7" s="3">
        <v>0.72727272727272729</v>
      </c>
      <c r="K7">
        <v>0.5</v>
      </c>
      <c r="L7">
        <v>0</v>
      </c>
      <c r="M7">
        <v>0.67756095789914117</v>
      </c>
      <c r="N7">
        <v>0</v>
      </c>
      <c r="O7">
        <v>0.93399993433359552</v>
      </c>
      <c r="P7">
        <v>0.13047328591346741</v>
      </c>
      <c r="Q7">
        <v>4.069223627448082E-2</v>
      </c>
      <c r="R7">
        <v>0.21934305131435389</v>
      </c>
      <c r="S7">
        <v>1</v>
      </c>
      <c r="T7">
        <v>1</v>
      </c>
      <c r="U7">
        <v>12.303276538848881</v>
      </c>
      <c r="V7">
        <v>2183</v>
      </c>
      <c r="W7">
        <v>233</v>
      </c>
      <c r="X7">
        <v>2416</v>
      </c>
      <c r="Y7">
        <v>0</v>
      </c>
      <c r="Z7">
        <v>5</v>
      </c>
      <c r="AA7">
        <v>12.303276538848881</v>
      </c>
    </row>
    <row r="8" spans="1:27" ht="409.5" hidden="1" x14ac:dyDescent="0.25">
      <c r="A8">
        <v>7</v>
      </c>
      <c r="B8" t="s">
        <v>27</v>
      </c>
      <c r="C8" t="s">
        <v>28</v>
      </c>
      <c r="D8" s="2" t="s">
        <v>63</v>
      </c>
      <c r="E8" s="2" t="s">
        <v>64</v>
      </c>
      <c r="F8" s="2" t="s">
        <v>65</v>
      </c>
      <c r="G8" s="2" t="s">
        <v>66</v>
      </c>
      <c r="H8" t="s">
        <v>67</v>
      </c>
      <c r="I8" t="s">
        <v>68</v>
      </c>
      <c r="J8" s="4">
        <v>0</v>
      </c>
      <c r="K8">
        <v>0</v>
      </c>
      <c r="L8">
        <v>0</v>
      </c>
      <c r="M8">
        <v>0.5428491105139639</v>
      </c>
      <c r="N8">
        <v>0</v>
      </c>
      <c r="O8">
        <v>0</v>
      </c>
      <c r="P8">
        <v>0.15379440784454351</v>
      </c>
      <c r="Q8">
        <v>0.19772666692733759</v>
      </c>
      <c r="R8">
        <v>0.1068877130746841</v>
      </c>
      <c r="S8">
        <v>0</v>
      </c>
      <c r="T8">
        <v>0</v>
      </c>
      <c r="U8">
        <v>7.91367506980896</v>
      </c>
      <c r="V8">
        <v>2199</v>
      </c>
      <c r="W8">
        <v>73</v>
      </c>
      <c r="X8">
        <v>2272</v>
      </c>
      <c r="Y8">
        <v>0</v>
      </c>
      <c r="Z8">
        <v>5</v>
      </c>
      <c r="AA8">
        <v>7.91367506980896</v>
      </c>
    </row>
    <row r="9" spans="1:27" ht="409.5" hidden="1" x14ac:dyDescent="0.25">
      <c r="A9">
        <v>8</v>
      </c>
      <c r="B9" t="s">
        <v>27</v>
      </c>
      <c r="C9" t="s">
        <v>69</v>
      </c>
      <c r="D9" s="2" t="s">
        <v>70</v>
      </c>
      <c r="E9" s="2" t="s">
        <v>71</v>
      </c>
      <c r="F9" s="2" t="s">
        <v>72</v>
      </c>
      <c r="G9" s="2" t="s">
        <v>73</v>
      </c>
      <c r="H9" t="s">
        <v>74</v>
      </c>
      <c r="I9" t="s">
        <v>41</v>
      </c>
      <c r="J9" s="3">
        <v>0.6470588235294118</v>
      </c>
      <c r="K9">
        <v>1</v>
      </c>
      <c r="L9">
        <v>0.8666666666377778</v>
      </c>
      <c r="M9">
        <v>0.77903910643278373</v>
      </c>
      <c r="N9">
        <v>0</v>
      </c>
      <c r="O9">
        <v>0.98983701136776203</v>
      </c>
      <c r="P9">
        <v>0.15692262351512909</v>
      </c>
      <c r="Q9">
        <v>0.1001348048448563</v>
      </c>
      <c r="R9">
        <v>0.21109189093112951</v>
      </c>
      <c r="S9">
        <v>1</v>
      </c>
      <c r="T9">
        <v>1</v>
      </c>
      <c r="U9">
        <v>17.757603406906131</v>
      </c>
      <c r="V9">
        <v>2136</v>
      </c>
      <c r="W9">
        <v>293</v>
      </c>
      <c r="X9">
        <v>2429</v>
      </c>
      <c r="Y9">
        <v>0</v>
      </c>
      <c r="Z9">
        <v>5</v>
      </c>
      <c r="AA9">
        <v>17.757603406906131</v>
      </c>
    </row>
    <row r="10" spans="1:27" ht="409.5" hidden="1" x14ac:dyDescent="0.25">
      <c r="A10">
        <v>9</v>
      </c>
      <c r="B10" t="s">
        <v>75</v>
      </c>
      <c r="C10" t="s">
        <v>35</v>
      </c>
      <c r="D10" s="2" t="s">
        <v>76</v>
      </c>
      <c r="E10" s="2" t="s">
        <v>77</v>
      </c>
      <c r="F10" s="2" t="s">
        <v>78</v>
      </c>
      <c r="G10" s="2" t="s">
        <v>79</v>
      </c>
      <c r="H10" t="s">
        <v>80</v>
      </c>
      <c r="I10" t="s">
        <v>81</v>
      </c>
      <c r="J10" s="4">
        <v>0</v>
      </c>
      <c r="K10">
        <v>1</v>
      </c>
      <c r="L10">
        <v>0.99999999998</v>
      </c>
      <c r="M10">
        <v>0.64747707570769353</v>
      </c>
      <c r="N10">
        <v>0.39999999920000001</v>
      </c>
      <c r="O10">
        <v>0.69376290294091036</v>
      </c>
      <c r="P10">
        <v>0.35634070634841919</v>
      </c>
      <c r="Q10">
        <v>0.41598895192146301</v>
      </c>
      <c r="R10">
        <v>0.29516255855560303</v>
      </c>
      <c r="S10">
        <v>0</v>
      </c>
      <c r="T10">
        <v>0</v>
      </c>
      <c r="U10">
        <v>7.7362537384033203</v>
      </c>
      <c r="V10">
        <v>2074</v>
      </c>
      <c r="W10">
        <v>88</v>
      </c>
      <c r="X10">
        <v>2162</v>
      </c>
      <c r="Y10">
        <v>0</v>
      </c>
      <c r="Z10">
        <v>5</v>
      </c>
      <c r="AA10">
        <v>7.7362537384033203</v>
      </c>
    </row>
    <row r="11" spans="1:27" ht="409.5" hidden="1" x14ac:dyDescent="0.25">
      <c r="A11">
        <v>10</v>
      </c>
      <c r="B11" t="s">
        <v>75</v>
      </c>
      <c r="C11" t="s">
        <v>35</v>
      </c>
      <c r="D11" s="2" t="s">
        <v>82</v>
      </c>
      <c r="E11" s="2" t="s">
        <v>83</v>
      </c>
      <c r="F11" s="2" t="s">
        <v>84</v>
      </c>
      <c r="G11" s="2" t="s">
        <v>85</v>
      </c>
      <c r="H11" t="s">
        <v>86</v>
      </c>
      <c r="I11" t="s">
        <v>68</v>
      </c>
      <c r="J11" s="5">
        <v>1</v>
      </c>
      <c r="K11">
        <v>1</v>
      </c>
      <c r="L11">
        <v>0.99999999998</v>
      </c>
      <c r="M11">
        <v>0.82410898297091262</v>
      </c>
      <c r="N11">
        <v>0</v>
      </c>
      <c r="O11">
        <v>0.94654205035134653</v>
      </c>
      <c r="P11">
        <v>0.69018906354904175</v>
      </c>
      <c r="Q11">
        <v>0.73658782243728638</v>
      </c>
      <c r="R11">
        <v>0.6431659460067749</v>
      </c>
      <c r="S11">
        <v>0</v>
      </c>
      <c r="T11">
        <v>0</v>
      </c>
      <c r="U11">
        <v>7.5327010154724121</v>
      </c>
      <c r="V11">
        <v>2441</v>
      </c>
      <c r="W11">
        <v>66</v>
      </c>
      <c r="X11">
        <v>2507</v>
      </c>
      <c r="Y11">
        <v>0</v>
      </c>
      <c r="Z11">
        <v>5</v>
      </c>
      <c r="AA11">
        <v>7.5327010154724121</v>
      </c>
    </row>
    <row r="12" spans="1:27" ht="409.5" hidden="1" x14ac:dyDescent="0.25">
      <c r="A12">
        <v>11</v>
      </c>
      <c r="B12" t="s">
        <v>75</v>
      </c>
      <c r="C12" t="s">
        <v>28</v>
      </c>
      <c r="D12" s="2" t="s">
        <v>87</v>
      </c>
      <c r="E12" s="2" t="s">
        <v>88</v>
      </c>
      <c r="F12" s="2" t="s">
        <v>89</v>
      </c>
      <c r="G12" s="2" t="s">
        <v>90</v>
      </c>
      <c r="H12" t="s">
        <v>91</v>
      </c>
      <c r="I12" t="s">
        <v>92</v>
      </c>
      <c r="J12" s="3">
        <v>0.6</v>
      </c>
      <c r="K12">
        <v>1</v>
      </c>
      <c r="L12">
        <v>0.99999999995</v>
      </c>
      <c r="M12">
        <v>0.70005895343352642</v>
      </c>
      <c r="N12">
        <v>0.6999999992999999</v>
      </c>
      <c r="O12">
        <v>0</v>
      </c>
      <c r="P12">
        <v>0.16519765555858609</v>
      </c>
      <c r="Q12">
        <v>3.5858161747455597E-2</v>
      </c>
      <c r="R12">
        <v>0.29711905121803278</v>
      </c>
      <c r="S12">
        <v>0.5</v>
      </c>
      <c r="T12">
        <v>1</v>
      </c>
      <c r="U12">
        <v>15.58910083770752</v>
      </c>
      <c r="V12">
        <v>2533</v>
      </c>
      <c r="W12">
        <v>160</v>
      </c>
      <c r="X12">
        <v>2693</v>
      </c>
      <c r="Y12">
        <v>0</v>
      </c>
      <c r="Z12">
        <v>5</v>
      </c>
      <c r="AA12">
        <v>15.58910083770752</v>
      </c>
    </row>
    <row r="13" spans="1:27" ht="409.5" hidden="1" x14ac:dyDescent="0.25">
      <c r="A13">
        <v>12</v>
      </c>
      <c r="B13" t="s">
        <v>75</v>
      </c>
      <c r="C13" t="s">
        <v>35</v>
      </c>
      <c r="D13" s="2" t="s">
        <v>93</v>
      </c>
      <c r="E13" s="2" t="s">
        <v>94</v>
      </c>
      <c r="F13" s="2" t="s">
        <v>95</v>
      </c>
      <c r="G13" s="2" t="s">
        <v>96</v>
      </c>
      <c r="H13" t="s">
        <v>97</v>
      </c>
      <c r="I13" t="s">
        <v>98</v>
      </c>
      <c r="J13" s="4">
        <v>0.5</v>
      </c>
      <c r="K13">
        <v>0</v>
      </c>
      <c r="L13">
        <v>0</v>
      </c>
      <c r="M13">
        <v>0.64255838453110437</v>
      </c>
      <c r="N13">
        <v>0.19999999960000001</v>
      </c>
      <c r="O13">
        <v>0.81648446686207687</v>
      </c>
      <c r="P13">
        <v>0.187911257147789</v>
      </c>
      <c r="Q13">
        <v>-2.257123589515686E-2</v>
      </c>
      <c r="R13">
        <v>0.41216003894805908</v>
      </c>
      <c r="S13">
        <v>0</v>
      </c>
      <c r="T13">
        <v>0</v>
      </c>
      <c r="U13">
        <v>12.15534138679504</v>
      </c>
      <c r="V13">
        <v>2463</v>
      </c>
      <c r="W13">
        <v>234</v>
      </c>
      <c r="X13">
        <v>2697</v>
      </c>
      <c r="Y13">
        <v>0</v>
      </c>
      <c r="Z13">
        <v>5</v>
      </c>
      <c r="AA13">
        <v>12.15534138679504</v>
      </c>
    </row>
    <row r="14" spans="1:27" ht="409.5" hidden="1" x14ac:dyDescent="0.25">
      <c r="A14">
        <v>13</v>
      </c>
      <c r="B14" t="s">
        <v>75</v>
      </c>
      <c r="C14" t="s">
        <v>35</v>
      </c>
      <c r="D14" s="2" t="s">
        <v>99</v>
      </c>
      <c r="E14" s="2" t="s">
        <v>100</v>
      </c>
      <c r="F14" s="2" t="s">
        <v>101</v>
      </c>
      <c r="G14" s="2" t="s">
        <v>102</v>
      </c>
      <c r="H14" t="s">
        <v>103</v>
      </c>
      <c r="I14" t="s">
        <v>68</v>
      </c>
      <c r="J14" s="4">
        <v>0.5</v>
      </c>
      <c r="K14">
        <v>1</v>
      </c>
      <c r="L14">
        <v>0.999999999975</v>
      </c>
      <c r="M14">
        <v>0.8914450569867608</v>
      </c>
      <c r="N14">
        <v>0</v>
      </c>
      <c r="O14">
        <v>0.88876356921765154</v>
      </c>
      <c r="P14">
        <v>0.58782964944839478</v>
      </c>
      <c r="Q14">
        <v>0.50668555498123169</v>
      </c>
      <c r="R14">
        <v>0.66939800977706909</v>
      </c>
      <c r="S14">
        <v>0</v>
      </c>
      <c r="T14">
        <v>0</v>
      </c>
      <c r="U14">
        <v>8.9904460906982422</v>
      </c>
      <c r="V14">
        <v>2144</v>
      </c>
      <c r="W14">
        <v>106</v>
      </c>
      <c r="X14">
        <v>2250</v>
      </c>
      <c r="Y14">
        <v>0</v>
      </c>
      <c r="Z14">
        <v>5</v>
      </c>
      <c r="AA14">
        <v>8.9904460906982422</v>
      </c>
    </row>
    <row r="15" spans="1:27" ht="409.5" hidden="1" x14ac:dyDescent="0.25">
      <c r="A15">
        <v>14</v>
      </c>
      <c r="B15" t="s">
        <v>75</v>
      </c>
      <c r="C15" t="s">
        <v>28</v>
      </c>
      <c r="D15" s="2" t="s">
        <v>104</v>
      </c>
      <c r="E15" s="2" t="s">
        <v>105</v>
      </c>
      <c r="F15" s="2" t="s">
        <v>106</v>
      </c>
      <c r="G15" s="2" t="s">
        <v>107</v>
      </c>
      <c r="H15" t="s">
        <v>108</v>
      </c>
      <c r="I15" t="s">
        <v>109</v>
      </c>
      <c r="J15" s="3">
        <v>0.66666666666666663</v>
      </c>
      <c r="K15">
        <v>0</v>
      </c>
      <c r="L15">
        <v>0</v>
      </c>
      <c r="M15">
        <v>0.66541734052994639</v>
      </c>
      <c r="N15">
        <v>4.761904759637188E-2</v>
      </c>
      <c r="O15">
        <v>0.86068652275750612</v>
      </c>
      <c r="P15">
        <v>5.3896121680736542E-2</v>
      </c>
      <c r="Q15">
        <v>0.22042436897754669</v>
      </c>
      <c r="R15">
        <v>-0.1066419035196304</v>
      </c>
      <c r="S15">
        <v>0</v>
      </c>
      <c r="T15">
        <v>0</v>
      </c>
      <c r="U15">
        <v>12.454854011535639</v>
      </c>
      <c r="V15">
        <v>2260</v>
      </c>
      <c r="W15">
        <v>120</v>
      </c>
      <c r="X15">
        <v>2380</v>
      </c>
      <c r="Y15">
        <v>0</v>
      </c>
      <c r="Z15">
        <v>5</v>
      </c>
      <c r="AA15">
        <v>12.454854011535639</v>
      </c>
    </row>
    <row r="16" spans="1:27" ht="409.5" hidden="1" x14ac:dyDescent="0.25">
      <c r="A16">
        <v>15</v>
      </c>
      <c r="B16" t="s">
        <v>75</v>
      </c>
      <c r="C16" t="s">
        <v>35</v>
      </c>
      <c r="D16" s="2" t="s">
        <v>110</v>
      </c>
      <c r="E16" s="2" t="s">
        <v>111</v>
      </c>
      <c r="F16" s="2" t="s">
        <v>112</v>
      </c>
      <c r="G16" s="2" t="s">
        <v>113</v>
      </c>
      <c r="H16" t="s">
        <v>114</v>
      </c>
      <c r="I16" t="s">
        <v>115</v>
      </c>
      <c r="J16" s="4">
        <v>0.5</v>
      </c>
      <c r="K16">
        <v>0</v>
      </c>
      <c r="L16">
        <v>0</v>
      </c>
      <c r="M16">
        <v>0.69052481984918579</v>
      </c>
      <c r="N16">
        <v>0.249999999375</v>
      </c>
      <c r="O16">
        <v>0.95890086529642871</v>
      </c>
      <c r="P16">
        <v>0.33549883961677551</v>
      </c>
      <c r="Q16">
        <v>0.24710020422935489</v>
      </c>
      <c r="R16">
        <v>0.42372500896453857</v>
      </c>
      <c r="S16">
        <v>0</v>
      </c>
      <c r="T16">
        <v>0</v>
      </c>
      <c r="U16">
        <v>8.8951499462127686</v>
      </c>
      <c r="V16">
        <v>2242</v>
      </c>
      <c r="W16">
        <v>120</v>
      </c>
      <c r="X16">
        <v>2362</v>
      </c>
      <c r="Y16">
        <v>0</v>
      </c>
      <c r="Z16">
        <v>5</v>
      </c>
      <c r="AA16">
        <v>8.8951499462127686</v>
      </c>
    </row>
    <row r="17" spans="1:27" ht="409.5" hidden="1" x14ac:dyDescent="0.25">
      <c r="A17">
        <v>16</v>
      </c>
      <c r="B17" t="s">
        <v>116</v>
      </c>
      <c r="C17" t="s">
        <v>35</v>
      </c>
      <c r="D17" s="2" t="s">
        <v>117</v>
      </c>
      <c r="E17" s="2" t="s">
        <v>118</v>
      </c>
      <c r="F17" s="2" t="s">
        <v>119</v>
      </c>
      <c r="G17" s="2" t="s">
        <v>120</v>
      </c>
      <c r="H17" t="s">
        <v>121</v>
      </c>
      <c r="I17" t="s">
        <v>122</v>
      </c>
      <c r="J17" s="5">
        <v>0.91666666666666663</v>
      </c>
      <c r="K17">
        <v>1</v>
      </c>
      <c r="L17">
        <v>0.99999999996666666</v>
      </c>
      <c r="M17">
        <v>0.82607711033098696</v>
      </c>
      <c r="N17">
        <v>0.39999999920000001</v>
      </c>
      <c r="O17">
        <v>0.97922399187585862</v>
      </c>
      <c r="P17">
        <v>0.27951526641845698</v>
      </c>
      <c r="Q17">
        <v>0.12572626769542691</v>
      </c>
      <c r="R17">
        <v>0.4389667809009552</v>
      </c>
      <c r="S17">
        <v>0</v>
      </c>
      <c r="T17">
        <v>0</v>
      </c>
      <c r="U17">
        <v>13.063389301300051</v>
      </c>
      <c r="V17">
        <v>2227</v>
      </c>
      <c r="W17">
        <v>250</v>
      </c>
      <c r="X17">
        <v>2477</v>
      </c>
      <c r="Y17">
        <v>0</v>
      </c>
      <c r="Z17">
        <v>5</v>
      </c>
      <c r="AA17">
        <v>13.063389301300051</v>
      </c>
    </row>
    <row r="18" spans="1:27" ht="409.5" hidden="1" x14ac:dyDescent="0.25">
      <c r="A18">
        <v>17</v>
      </c>
      <c r="B18" t="s">
        <v>116</v>
      </c>
      <c r="C18" t="s">
        <v>35</v>
      </c>
      <c r="D18" s="2" t="s">
        <v>123</v>
      </c>
      <c r="E18" s="2" t="s">
        <v>124</v>
      </c>
      <c r="F18" s="2" t="s">
        <v>125</v>
      </c>
      <c r="G18" s="2" t="s">
        <v>126</v>
      </c>
      <c r="H18" t="s">
        <v>127</v>
      </c>
      <c r="I18" t="s">
        <v>128</v>
      </c>
      <c r="J18" s="3">
        <v>0.6</v>
      </c>
      <c r="K18">
        <v>0</v>
      </c>
      <c r="L18">
        <v>0</v>
      </c>
      <c r="M18">
        <v>0.79308018251503898</v>
      </c>
      <c r="N18">
        <v>0.22222222197530861</v>
      </c>
      <c r="O18">
        <v>0.87199182957967969</v>
      </c>
      <c r="P18">
        <v>0.33563092350959778</v>
      </c>
      <c r="Q18">
        <v>0.17464551329612729</v>
      </c>
      <c r="R18">
        <v>0.50332695245742798</v>
      </c>
      <c r="S18">
        <v>0.5</v>
      </c>
      <c r="T18">
        <v>1</v>
      </c>
      <c r="U18">
        <v>11.2512800693512</v>
      </c>
      <c r="V18">
        <v>2297</v>
      </c>
      <c r="W18">
        <v>195</v>
      </c>
      <c r="X18">
        <v>2492</v>
      </c>
      <c r="Y18">
        <v>0</v>
      </c>
      <c r="Z18">
        <v>5</v>
      </c>
      <c r="AA18">
        <v>11.2512800693512</v>
      </c>
    </row>
    <row r="19" spans="1:27" ht="409.5" hidden="1" x14ac:dyDescent="0.25">
      <c r="A19">
        <v>18</v>
      </c>
      <c r="B19" t="s">
        <v>27</v>
      </c>
      <c r="C19" t="s">
        <v>28</v>
      </c>
      <c r="D19" s="2" t="s">
        <v>129</v>
      </c>
      <c r="E19" s="2" t="s">
        <v>130</v>
      </c>
      <c r="F19" s="2" t="s">
        <v>131</v>
      </c>
      <c r="G19" s="2" t="s">
        <v>132</v>
      </c>
      <c r="H19" t="s">
        <v>133</v>
      </c>
      <c r="I19" t="s">
        <v>134</v>
      </c>
      <c r="J19" s="5">
        <v>1</v>
      </c>
      <c r="K19">
        <v>0.5</v>
      </c>
      <c r="L19">
        <v>0.99999999995</v>
      </c>
      <c r="M19">
        <v>0.57542106809711879</v>
      </c>
      <c r="N19">
        <v>0.19999999960000001</v>
      </c>
      <c r="O19">
        <v>0.82864146151650209</v>
      </c>
      <c r="P19">
        <v>0.1660182774066925</v>
      </c>
      <c r="Q19">
        <v>0.12524861097335821</v>
      </c>
      <c r="R19">
        <v>0.20364044606685641</v>
      </c>
      <c r="S19">
        <v>0</v>
      </c>
      <c r="T19">
        <v>0</v>
      </c>
      <c r="U19">
        <v>10.124863147735599</v>
      </c>
      <c r="V19">
        <v>2179</v>
      </c>
      <c r="W19">
        <v>160</v>
      </c>
      <c r="X19">
        <v>2339</v>
      </c>
      <c r="Y19">
        <v>0</v>
      </c>
      <c r="Z19">
        <v>5</v>
      </c>
      <c r="AA19">
        <v>10.124863147735599</v>
      </c>
    </row>
    <row r="20" spans="1:27" ht="409.5" hidden="1" x14ac:dyDescent="0.25">
      <c r="A20">
        <v>19</v>
      </c>
      <c r="B20" t="s">
        <v>135</v>
      </c>
      <c r="C20" t="s">
        <v>35</v>
      </c>
      <c r="D20" s="2" t="s">
        <v>136</v>
      </c>
      <c r="E20" s="2" t="s">
        <v>137</v>
      </c>
      <c r="F20" s="2" t="s">
        <v>138</v>
      </c>
      <c r="G20" s="2" t="s">
        <v>139</v>
      </c>
      <c r="H20" t="s">
        <v>140</v>
      </c>
      <c r="I20" t="s">
        <v>41</v>
      </c>
      <c r="J20" s="5">
        <v>0.8</v>
      </c>
      <c r="K20">
        <v>1</v>
      </c>
      <c r="L20">
        <v>0.99999999998</v>
      </c>
      <c r="M20">
        <v>0.66001273184230147</v>
      </c>
      <c r="N20">
        <v>0.249999999375</v>
      </c>
      <c r="O20">
        <v>0.60321533809258121</v>
      </c>
      <c r="P20">
        <v>0.2350600063800812</v>
      </c>
      <c r="Q20">
        <v>0.1419169753789902</v>
      </c>
      <c r="R20">
        <v>0.32794550061225891</v>
      </c>
      <c r="S20">
        <v>0</v>
      </c>
      <c r="T20">
        <v>0</v>
      </c>
      <c r="U20">
        <v>8.9457046985626221</v>
      </c>
      <c r="V20">
        <v>2150</v>
      </c>
      <c r="W20">
        <v>119</v>
      </c>
      <c r="X20">
        <v>2269</v>
      </c>
      <c r="Y20">
        <v>0</v>
      </c>
      <c r="Z20">
        <v>5</v>
      </c>
      <c r="AA20">
        <v>8.9457046985626221</v>
      </c>
    </row>
    <row r="21" spans="1:27" ht="409.5" hidden="1" x14ac:dyDescent="0.25">
      <c r="A21">
        <v>20</v>
      </c>
      <c r="B21" t="s">
        <v>116</v>
      </c>
      <c r="C21" t="s">
        <v>69</v>
      </c>
      <c r="D21" s="2" t="s">
        <v>141</v>
      </c>
      <c r="E21" s="2" t="s">
        <v>142</v>
      </c>
      <c r="F21" s="2" t="s">
        <v>143</v>
      </c>
      <c r="G21" s="2" t="s">
        <v>144</v>
      </c>
      <c r="H21" t="s">
        <v>145</v>
      </c>
      <c r="I21" t="s">
        <v>41</v>
      </c>
      <c r="J21" s="4">
        <v>0.33333333333333331</v>
      </c>
      <c r="K21">
        <v>0</v>
      </c>
      <c r="L21">
        <v>0.7499999999625</v>
      </c>
      <c r="M21">
        <v>0.48704896151060623</v>
      </c>
      <c r="N21">
        <v>0.77777777691358019</v>
      </c>
      <c r="O21">
        <v>0</v>
      </c>
      <c r="P21">
        <v>-1.6494568437337879E-2</v>
      </c>
      <c r="Q21">
        <v>-1.197892799973488E-2</v>
      </c>
      <c r="R21">
        <v>-2.550464496016502E-2</v>
      </c>
      <c r="S21">
        <v>1</v>
      </c>
      <c r="T21">
        <v>1</v>
      </c>
      <c r="U21">
        <v>10.083405733108521</v>
      </c>
      <c r="V21">
        <v>2250</v>
      </c>
      <c r="W21">
        <v>161</v>
      </c>
      <c r="X21">
        <v>2411</v>
      </c>
      <c r="Y21">
        <v>0</v>
      </c>
      <c r="Z21">
        <v>5</v>
      </c>
      <c r="AA21">
        <v>10.083405733108521</v>
      </c>
    </row>
    <row r="22" spans="1:27" ht="409.5" hidden="1" x14ac:dyDescent="0.25">
      <c r="A22">
        <v>21</v>
      </c>
      <c r="B22" t="s">
        <v>116</v>
      </c>
      <c r="C22" t="s">
        <v>35</v>
      </c>
      <c r="D22" s="2" t="s">
        <v>146</v>
      </c>
      <c r="E22" s="2" t="s">
        <v>147</v>
      </c>
      <c r="F22" s="2" t="s">
        <v>148</v>
      </c>
      <c r="G22" s="2" t="s">
        <v>149</v>
      </c>
      <c r="H22" t="s">
        <v>150</v>
      </c>
      <c r="I22" t="s">
        <v>41</v>
      </c>
      <c r="J22" s="3">
        <v>0.66666666666666663</v>
      </c>
      <c r="K22">
        <v>1</v>
      </c>
      <c r="L22">
        <v>0.99999999998</v>
      </c>
      <c r="M22">
        <v>0.88179045871471651</v>
      </c>
      <c r="N22">
        <v>0.79999999840000002</v>
      </c>
      <c r="O22">
        <v>0</v>
      </c>
      <c r="P22">
        <v>0.16723959147930151</v>
      </c>
      <c r="Q22">
        <v>-8.2251522690057755E-3</v>
      </c>
      <c r="R22">
        <v>0.35090306401252752</v>
      </c>
      <c r="S22">
        <v>1</v>
      </c>
      <c r="T22">
        <v>1</v>
      </c>
      <c r="U22">
        <v>14.519035339355471</v>
      </c>
      <c r="V22">
        <v>2280</v>
      </c>
      <c r="W22">
        <v>310</v>
      </c>
      <c r="X22">
        <v>2590</v>
      </c>
      <c r="Y22">
        <v>0</v>
      </c>
      <c r="Z22">
        <v>5</v>
      </c>
      <c r="AA22">
        <v>14.519035339355471</v>
      </c>
    </row>
    <row r="23" spans="1:27" ht="409.5" hidden="1" x14ac:dyDescent="0.25">
      <c r="A23">
        <v>22</v>
      </c>
      <c r="B23" t="s">
        <v>116</v>
      </c>
      <c r="C23" t="s">
        <v>35</v>
      </c>
      <c r="D23" s="2" t="s">
        <v>151</v>
      </c>
      <c r="E23" s="2" t="s">
        <v>152</v>
      </c>
      <c r="F23" s="2" t="s">
        <v>153</v>
      </c>
      <c r="G23" s="2" t="s">
        <v>154</v>
      </c>
      <c r="H23" t="s">
        <v>155</v>
      </c>
      <c r="I23" t="s">
        <v>156</v>
      </c>
      <c r="J23" s="4">
        <v>0.5</v>
      </c>
      <c r="K23">
        <v>1</v>
      </c>
      <c r="L23">
        <v>0.99999999995</v>
      </c>
      <c r="M23">
        <v>0.92969958098359673</v>
      </c>
      <c r="N23">
        <v>0.57142857061224495</v>
      </c>
      <c r="O23">
        <v>0</v>
      </c>
      <c r="P23">
        <v>0.51449352502822876</v>
      </c>
      <c r="Q23">
        <v>0.40581607818603521</v>
      </c>
      <c r="R23">
        <v>0.62517505884170532</v>
      </c>
      <c r="S23">
        <v>0.5</v>
      </c>
      <c r="T23">
        <v>1</v>
      </c>
      <c r="U23">
        <v>10.08117890357971</v>
      </c>
      <c r="V23">
        <v>2288</v>
      </c>
      <c r="W23">
        <v>153</v>
      </c>
      <c r="X23">
        <v>2441</v>
      </c>
      <c r="Y23">
        <v>0</v>
      </c>
      <c r="Z23">
        <v>5</v>
      </c>
      <c r="AA23">
        <v>10.08117890357971</v>
      </c>
    </row>
    <row r="24" spans="1:27" ht="409.5" hidden="1" x14ac:dyDescent="0.25">
      <c r="A24">
        <v>23</v>
      </c>
      <c r="B24" t="s">
        <v>116</v>
      </c>
      <c r="C24" t="s">
        <v>35</v>
      </c>
      <c r="D24" s="2" t="s">
        <v>157</v>
      </c>
      <c r="E24" s="2" t="s">
        <v>158</v>
      </c>
      <c r="F24" s="2" t="s">
        <v>159</v>
      </c>
      <c r="G24" s="2" t="s">
        <v>160</v>
      </c>
      <c r="H24" t="s">
        <v>161</v>
      </c>
      <c r="I24" t="s">
        <v>41</v>
      </c>
      <c r="J24" s="3">
        <v>0.6</v>
      </c>
      <c r="K24">
        <v>1</v>
      </c>
      <c r="L24">
        <v>0.99999999996666666</v>
      </c>
      <c r="M24">
        <v>0.72001351987568596</v>
      </c>
      <c r="N24">
        <v>0.99999999750000002</v>
      </c>
      <c r="O24">
        <v>0.84659849146912292</v>
      </c>
      <c r="P24">
        <v>0.42013055086135859</v>
      </c>
      <c r="Q24">
        <v>0.16646263003349299</v>
      </c>
      <c r="R24">
        <v>0.69593894481658936</v>
      </c>
      <c r="S24">
        <v>1</v>
      </c>
      <c r="T24">
        <v>1</v>
      </c>
      <c r="U24">
        <v>9.8197779655456543</v>
      </c>
      <c r="V24">
        <v>2245</v>
      </c>
      <c r="W24">
        <v>140</v>
      </c>
      <c r="X24">
        <v>2385</v>
      </c>
      <c r="Y24">
        <v>0</v>
      </c>
      <c r="Z24">
        <v>5</v>
      </c>
      <c r="AA24">
        <v>9.8197779655456543</v>
      </c>
    </row>
    <row r="25" spans="1:27" ht="409.5" hidden="1" x14ac:dyDescent="0.25">
      <c r="A25">
        <v>24</v>
      </c>
      <c r="B25" t="s">
        <v>162</v>
      </c>
      <c r="C25" t="s">
        <v>35</v>
      </c>
      <c r="D25" s="2" t="s">
        <v>163</v>
      </c>
      <c r="E25" s="2" t="s">
        <v>164</v>
      </c>
      <c r="F25" s="2" t="s">
        <v>165</v>
      </c>
      <c r="G25" s="2" t="s">
        <v>166</v>
      </c>
      <c r="H25" t="s">
        <v>167</v>
      </c>
      <c r="I25" t="s">
        <v>168</v>
      </c>
      <c r="J25" s="4">
        <v>0.4</v>
      </c>
      <c r="K25">
        <v>0.5</v>
      </c>
      <c r="L25">
        <v>0.33333333329999998</v>
      </c>
      <c r="M25">
        <v>0.69724846370222959</v>
      </c>
      <c r="N25">
        <v>0</v>
      </c>
      <c r="O25">
        <v>0</v>
      </c>
      <c r="P25">
        <v>0.42383110523223883</v>
      </c>
      <c r="Q25">
        <v>0.19373814761638641</v>
      </c>
      <c r="R25">
        <v>0.67147386074066162</v>
      </c>
      <c r="S25">
        <v>0</v>
      </c>
      <c r="T25">
        <v>0</v>
      </c>
      <c r="U25">
        <v>9.1035254001617432</v>
      </c>
      <c r="V25">
        <v>2258</v>
      </c>
      <c r="W25">
        <v>118</v>
      </c>
      <c r="X25">
        <v>2376</v>
      </c>
      <c r="Y25">
        <v>0</v>
      </c>
      <c r="Z25">
        <v>5</v>
      </c>
      <c r="AA25">
        <v>9.1035254001617432</v>
      </c>
    </row>
    <row r="26" spans="1:27" ht="409.5" hidden="1" x14ac:dyDescent="0.25">
      <c r="A26">
        <v>25</v>
      </c>
      <c r="B26" t="s">
        <v>116</v>
      </c>
      <c r="C26" t="s">
        <v>28</v>
      </c>
      <c r="D26" s="2" t="s">
        <v>169</v>
      </c>
      <c r="E26" s="2" t="s">
        <v>170</v>
      </c>
      <c r="F26" s="2" t="s">
        <v>171</v>
      </c>
      <c r="G26" s="2" t="s">
        <v>172</v>
      </c>
      <c r="H26" t="s">
        <v>173</v>
      </c>
      <c r="I26" t="s">
        <v>41</v>
      </c>
      <c r="J26" s="5">
        <v>1</v>
      </c>
      <c r="K26">
        <v>1</v>
      </c>
      <c r="L26">
        <v>0.99999999998</v>
      </c>
      <c r="M26">
        <v>0.84963330837260798</v>
      </c>
      <c r="N26">
        <v>0.49999999916666671</v>
      </c>
      <c r="O26">
        <v>0.81380111467614868</v>
      </c>
      <c r="P26">
        <v>0.27116328477859503</v>
      </c>
      <c r="Q26">
        <v>0.12768177688121801</v>
      </c>
      <c r="R26">
        <v>0.41908687353134161</v>
      </c>
      <c r="S26">
        <v>0.5</v>
      </c>
      <c r="T26">
        <v>1</v>
      </c>
      <c r="U26">
        <v>19.79551529884338</v>
      </c>
      <c r="V26">
        <v>2230</v>
      </c>
      <c r="W26">
        <v>379</v>
      </c>
      <c r="X26">
        <v>2609</v>
      </c>
      <c r="Y26">
        <v>0</v>
      </c>
      <c r="Z26">
        <v>5</v>
      </c>
      <c r="AA26">
        <v>19.79551529884338</v>
      </c>
    </row>
    <row r="27" spans="1:27" ht="409.5" hidden="1" x14ac:dyDescent="0.25">
      <c r="A27">
        <v>26</v>
      </c>
      <c r="B27" t="s">
        <v>116</v>
      </c>
      <c r="C27" t="s">
        <v>28</v>
      </c>
      <c r="D27" s="2" t="s">
        <v>174</v>
      </c>
      <c r="E27" s="2" t="s">
        <v>175</v>
      </c>
      <c r="F27" s="2" t="s">
        <v>176</v>
      </c>
      <c r="G27" s="2" t="s">
        <v>177</v>
      </c>
      <c r="H27" t="s">
        <v>178</v>
      </c>
      <c r="I27" t="s">
        <v>41</v>
      </c>
      <c r="J27" s="4">
        <v>0.1818181818181818</v>
      </c>
      <c r="K27">
        <v>0</v>
      </c>
      <c r="L27">
        <v>0.99999999989999999</v>
      </c>
      <c r="M27">
        <v>0.8192840668122614</v>
      </c>
      <c r="N27">
        <v>0.19999999960000001</v>
      </c>
      <c r="O27">
        <v>0</v>
      </c>
      <c r="P27">
        <v>0.24038627743721011</v>
      </c>
      <c r="Q27">
        <v>0.1839769184589386</v>
      </c>
      <c r="R27">
        <v>0.29452228546142578</v>
      </c>
      <c r="S27">
        <v>0</v>
      </c>
      <c r="T27">
        <v>0</v>
      </c>
      <c r="U27">
        <v>12.505857467651371</v>
      </c>
      <c r="V27">
        <v>2237</v>
      </c>
      <c r="W27">
        <v>247</v>
      </c>
      <c r="X27">
        <v>2484</v>
      </c>
      <c r="Y27">
        <v>0</v>
      </c>
      <c r="Z27">
        <v>5</v>
      </c>
      <c r="AA27">
        <v>12.505857467651371</v>
      </c>
    </row>
    <row r="28" spans="1:27" ht="409.5" hidden="1" x14ac:dyDescent="0.25">
      <c r="A28">
        <v>27</v>
      </c>
      <c r="B28" t="s">
        <v>135</v>
      </c>
      <c r="C28" t="s">
        <v>35</v>
      </c>
      <c r="D28" s="2" t="s">
        <v>179</v>
      </c>
      <c r="E28" s="2" t="s">
        <v>180</v>
      </c>
      <c r="F28" s="2" t="s">
        <v>181</v>
      </c>
      <c r="G28" s="2" t="s">
        <v>182</v>
      </c>
      <c r="H28" t="s">
        <v>183</v>
      </c>
      <c r="I28" t="s">
        <v>57</v>
      </c>
      <c r="J28" s="4">
        <v>0.44444444444444442</v>
      </c>
      <c r="K28">
        <v>1</v>
      </c>
      <c r="L28">
        <v>0.58888888886925927</v>
      </c>
      <c r="M28">
        <v>0.80100004565759342</v>
      </c>
      <c r="N28">
        <v>0.99999999000000017</v>
      </c>
      <c r="O28">
        <v>0</v>
      </c>
      <c r="P28">
        <v>0.39826160669326782</v>
      </c>
      <c r="Q28">
        <v>0.23071517050266269</v>
      </c>
      <c r="R28">
        <v>0.57353025674819946</v>
      </c>
      <c r="S28">
        <v>0.5</v>
      </c>
      <c r="T28">
        <v>1</v>
      </c>
      <c r="U28">
        <v>10.321767807006839</v>
      </c>
      <c r="V28">
        <v>2262</v>
      </c>
      <c r="W28">
        <v>178</v>
      </c>
      <c r="X28">
        <v>2440</v>
      </c>
      <c r="Y28">
        <v>0</v>
      </c>
      <c r="Z28">
        <v>5</v>
      </c>
      <c r="AA28">
        <v>10.321767807006839</v>
      </c>
    </row>
    <row r="29" spans="1:27" ht="409.5" hidden="1" x14ac:dyDescent="0.25">
      <c r="A29">
        <v>28</v>
      </c>
      <c r="B29" t="s">
        <v>162</v>
      </c>
      <c r="C29" t="s">
        <v>28</v>
      </c>
      <c r="D29" s="2" t="s">
        <v>184</v>
      </c>
      <c r="E29" s="2" t="s">
        <v>185</v>
      </c>
      <c r="F29" s="2" t="s">
        <v>186</v>
      </c>
      <c r="G29" s="2" t="s">
        <v>187</v>
      </c>
      <c r="H29" t="s">
        <v>188</v>
      </c>
      <c r="I29" t="s">
        <v>156</v>
      </c>
      <c r="J29" s="5">
        <v>1</v>
      </c>
      <c r="K29">
        <v>1</v>
      </c>
      <c r="L29">
        <v>0.499999999975</v>
      </c>
      <c r="M29">
        <v>0.85760755094480912</v>
      </c>
      <c r="N29">
        <v>0.99999999666666672</v>
      </c>
      <c r="O29">
        <v>0.97581646449143733</v>
      </c>
      <c r="P29">
        <v>0.40547329187393188</v>
      </c>
      <c r="Q29">
        <v>0.24054278433322909</v>
      </c>
      <c r="R29">
        <v>0.57781141996383667</v>
      </c>
      <c r="S29">
        <v>0.5</v>
      </c>
      <c r="T29">
        <v>1</v>
      </c>
      <c r="U29">
        <v>16.06977295875549</v>
      </c>
      <c r="V29">
        <v>2282</v>
      </c>
      <c r="W29">
        <v>298</v>
      </c>
      <c r="X29">
        <v>2580</v>
      </c>
      <c r="Y29">
        <v>0</v>
      </c>
      <c r="Z29">
        <v>5</v>
      </c>
      <c r="AA29">
        <v>16.06977295875549</v>
      </c>
    </row>
    <row r="30" spans="1:27" ht="409.5" hidden="1" x14ac:dyDescent="0.25">
      <c r="A30">
        <v>29</v>
      </c>
      <c r="B30" t="s">
        <v>162</v>
      </c>
      <c r="C30" t="s">
        <v>28</v>
      </c>
      <c r="D30" s="2" t="s">
        <v>189</v>
      </c>
      <c r="E30" s="2" t="s">
        <v>190</v>
      </c>
      <c r="F30" s="2" t="s">
        <v>191</v>
      </c>
      <c r="G30" s="2" t="s">
        <v>192</v>
      </c>
      <c r="H30" t="s">
        <v>193</v>
      </c>
      <c r="I30" t="s">
        <v>41</v>
      </c>
      <c r="J30" s="5">
        <v>0.88888888888888884</v>
      </c>
      <c r="K30">
        <v>0.5</v>
      </c>
      <c r="L30">
        <v>0.99999999998</v>
      </c>
      <c r="M30">
        <v>0.84833012273359532</v>
      </c>
      <c r="N30">
        <v>0.16666666638888891</v>
      </c>
      <c r="O30">
        <v>0.84791450082284325</v>
      </c>
      <c r="P30">
        <v>0.32478228211402888</v>
      </c>
      <c r="Q30">
        <v>0.1906137019395828</v>
      </c>
      <c r="R30">
        <v>0.46257314085960388</v>
      </c>
      <c r="S30">
        <v>0</v>
      </c>
      <c r="T30">
        <v>0</v>
      </c>
      <c r="U30">
        <v>13.985322237014771</v>
      </c>
      <c r="V30">
        <v>2247</v>
      </c>
      <c r="W30">
        <v>288</v>
      </c>
      <c r="X30">
        <v>2535</v>
      </c>
      <c r="Y30">
        <v>0</v>
      </c>
      <c r="Z30">
        <v>5</v>
      </c>
      <c r="AA30">
        <v>13.985322237014771</v>
      </c>
    </row>
    <row r="31" spans="1:27" ht="409.5" hidden="1" x14ac:dyDescent="0.25">
      <c r="A31">
        <v>30</v>
      </c>
      <c r="B31" t="s">
        <v>116</v>
      </c>
      <c r="C31" t="s">
        <v>35</v>
      </c>
      <c r="D31" s="2" t="s">
        <v>194</v>
      </c>
      <c r="E31" s="2" t="s">
        <v>195</v>
      </c>
      <c r="F31" s="2" t="s">
        <v>196</v>
      </c>
      <c r="G31" s="2" t="s">
        <v>197</v>
      </c>
      <c r="H31" t="s">
        <v>198</v>
      </c>
      <c r="I31" t="s">
        <v>41</v>
      </c>
      <c r="J31" s="5">
        <v>0.8</v>
      </c>
      <c r="K31">
        <v>0.5</v>
      </c>
      <c r="L31">
        <v>0.75555555553037035</v>
      </c>
      <c r="M31">
        <v>0.8854812991049531</v>
      </c>
      <c r="N31">
        <v>0.66666666444444445</v>
      </c>
      <c r="O31">
        <v>0.8122698076937227</v>
      </c>
      <c r="P31">
        <v>0.43958941102027888</v>
      </c>
      <c r="Q31">
        <v>0.29223266243934631</v>
      </c>
      <c r="R31">
        <v>0.59236204624176025</v>
      </c>
      <c r="S31">
        <v>0.33333333333333331</v>
      </c>
      <c r="T31">
        <v>1</v>
      </c>
      <c r="U31">
        <v>9.9200043678283691</v>
      </c>
      <c r="V31">
        <v>2249</v>
      </c>
      <c r="W31">
        <v>148</v>
      </c>
      <c r="X31">
        <v>2397</v>
      </c>
      <c r="Y31">
        <v>0</v>
      </c>
      <c r="Z31">
        <v>5</v>
      </c>
      <c r="AA31">
        <v>9.9200043678283691</v>
      </c>
    </row>
    <row r="32" spans="1:27" ht="409.5" hidden="1" x14ac:dyDescent="0.25">
      <c r="A32">
        <v>31</v>
      </c>
      <c r="B32" t="s">
        <v>199</v>
      </c>
      <c r="C32" t="s">
        <v>28</v>
      </c>
      <c r="D32" s="2" t="s">
        <v>200</v>
      </c>
      <c r="E32" s="2" t="s">
        <v>201</v>
      </c>
      <c r="F32" s="2" t="s">
        <v>202</v>
      </c>
      <c r="G32" s="2" t="s">
        <v>203</v>
      </c>
      <c r="H32" t="s">
        <v>204</v>
      </c>
      <c r="I32" t="s">
        <v>68</v>
      </c>
      <c r="J32" s="4">
        <v>0.25</v>
      </c>
      <c r="K32">
        <v>0</v>
      </c>
      <c r="L32">
        <v>0</v>
      </c>
      <c r="M32">
        <v>0.85903265417427399</v>
      </c>
      <c r="N32">
        <v>0</v>
      </c>
      <c r="O32">
        <v>0</v>
      </c>
      <c r="P32">
        <v>0.1913099139928818</v>
      </c>
      <c r="Q32">
        <v>7.0784375071525574E-2</v>
      </c>
      <c r="R32">
        <v>0.31364992260932922</v>
      </c>
      <c r="S32">
        <v>0</v>
      </c>
      <c r="T32">
        <v>0</v>
      </c>
      <c r="U32">
        <v>10.396529197692869</v>
      </c>
      <c r="V32">
        <v>2099</v>
      </c>
      <c r="W32">
        <v>176</v>
      </c>
      <c r="X32">
        <v>2275</v>
      </c>
      <c r="Y32">
        <v>0</v>
      </c>
      <c r="Z32">
        <v>5</v>
      </c>
      <c r="AA32">
        <v>10.396529197692869</v>
      </c>
    </row>
    <row r="33" spans="1:27" ht="409.5" hidden="1" x14ac:dyDescent="0.25">
      <c r="A33">
        <v>32</v>
      </c>
      <c r="B33" t="s">
        <v>199</v>
      </c>
      <c r="C33" t="s">
        <v>35</v>
      </c>
      <c r="D33" s="2" t="s">
        <v>205</v>
      </c>
      <c r="E33" s="2" t="s">
        <v>206</v>
      </c>
      <c r="F33" s="2" t="s">
        <v>207</v>
      </c>
      <c r="G33" s="2" t="s">
        <v>208</v>
      </c>
      <c r="H33" t="s">
        <v>209</v>
      </c>
      <c r="I33" t="s">
        <v>210</v>
      </c>
      <c r="J33" s="5">
        <v>1</v>
      </c>
      <c r="K33">
        <v>1</v>
      </c>
      <c r="L33">
        <v>0</v>
      </c>
      <c r="M33">
        <v>0.65437834733235478</v>
      </c>
      <c r="N33">
        <v>0.12499999984375</v>
      </c>
      <c r="O33">
        <v>0.74569618142822258</v>
      </c>
      <c r="P33">
        <v>4.8946492373943329E-2</v>
      </c>
      <c r="Q33">
        <v>-6.0454998165369027E-2</v>
      </c>
      <c r="R33">
        <v>0.15863777697086329</v>
      </c>
      <c r="S33">
        <v>0</v>
      </c>
      <c r="T33">
        <v>0</v>
      </c>
      <c r="U33">
        <v>13.1742217540741</v>
      </c>
      <c r="V33">
        <v>2088</v>
      </c>
      <c r="W33">
        <v>259</v>
      </c>
      <c r="X33">
        <v>2347</v>
      </c>
      <c r="Y33">
        <v>0</v>
      </c>
      <c r="Z33">
        <v>5</v>
      </c>
      <c r="AA33">
        <v>13.1742217540741</v>
      </c>
    </row>
    <row r="34" spans="1:27" ht="409.5" hidden="1" x14ac:dyDescent="0.25">
      <c r="A34">
        <v>33</v>
      </c>
      <c r="B34" t="s">
        <v>199</v>
      </c>
      <c r="C34" t="s">
        <v>35</v>
      </c>
      <c r="D34" s="2" t="s">
        <v>211</v>
      </c>
      <c r="E34" s="2" t="s">
        <v>212</v>
      </c>
      <c r="F34" s="2" t="s">
        <v>213</v>
      </c>
      <c r="G34" s="2" t="s">
        <v>214</v>
      </c>
      <c r="H34" t="s">
        <v>215</v>
      </c>
      <c r="I34" t="s">
        <v>41</v>
      </c>
      <c r="J34" s="5">
        <v>1</v>
      </c>
      <c r="K34">
        <v>1</v>
      </c>
      <c r="L34">
        <v>0.94999999997624995</v>
      </c>
      <c r="M34">
        <v>0.887634027470388</v>
      </c>
      <c r="N34">
        <v>0.99999999500000003</v>
      </c>
      <c r="O34">
        <v>0.96474130537107683</v>
      </c>
      <c r="P34">
        <v>0.58326739072799683</v>
      </c>
      <c r="Q34">
        <v>0.45003920793533331</v>
      </c>
      <c r="R34">
        <v>0.72092229127883911</v>
      </c>
      <c r="S34">
        <v>0.5</v>
      </c>
      <c r="T34">
        <v>1</v>
      </c>
      <c r="U34">
        <v>12.54333710670471</v>
      </c>
      <c r="V34">
        <v>2161</v>
      </c>
      <c r="W34">
        <v>71</v>
      </c>
      <c r="X34">
        <v>2232</v>
      </c>
      <c r="Y34">
        <v>0</v>
      </c>
      <c r="Z34">
        <v>5</v>
      </c>
      <c r="AA34">
        <v>12.54333710670471</v>
      </c>
    </row>
    <row r="35" spans="1:27" ht="409.5" hidden="1" x14ac:dyDescent="0.25">
      <c r="A35">
        <v>34</v>
      </c>
      <c r="B35" t="s">
        <v>199</v>
      </c>
      <c r="C35" t="s">
        <v>28</v>
      </c>
      <c r="D35" s="2" t="s">
        <v>216</v>
      </c>
      <c r="E35" s="2" t="s">
        <v>217</v>
      </c>
      <c r="F35" s="2" t="s">
        <v>218</v>
      </c>
      <c r="G35" s="2" t="s">
        <v>219</v>
      </c>
      <c r="H35" t="s">
        <v>220</v>
      </c>
      <c r="I35" t="s">
        <v>221</v>
      </c>
      <c r="J35" s="5">
        <v>0.8</v>
      </c>
      <c r="K35">
        <v>0</v>
      </c>
      <c r="L35">
        <v>0</v>
      </c>
      <c r="M35">
        <v>0.59645343427297481</v>
      </c>
      <c r="N35">
        <v>0</v>
      </c>
      <c r="O35">
        <v>0</v>
      </c>
      <c r="P35">
        <v>6.5503589808940887E-2</v>
      </c>
      <c r="Q35">
        <v>7.6692434959113598E-3</v>
      </c>
      <c r="R35">
        <v>0.1203683838248253</v>
      </c>
      <c r="S35">
        <v>0</v>
      </c>
      <c r="T35">
        <v>0</v>
      </c>
      <c r="U35">
        <v>11.43168258666992</v>
      </c>
      <c r="V35">
        <v>2245</v>
      </c>
      <c r="W35">
        <v>209</v>
      </c>
      <c r="X35">
        <v>2454</v>
      </c>
      <c r="Y35">
        <v>0</v>
      </c>
      <c r="Z35">
        <v>5</v>
      </c>
      <c r="AA35">
        <v>11.43168258666992</v>
      </c>
    </row>
    <row r="36" spans="1:27" ht="409.5" hidden="1" x14ac:dyDescent="0.25">
      <c r="A36">
        <v>35</v>
      </c>
      <c r="B36" t="s">
        <v>199</v>
      </c>
      <c r="C36" t="s">
        <v>28</v>
      </c>
      <c r="D36" s="2" t="s">
        <v>222</v>
      </c>
      <c r="E36" s="2" t="s">
        <v>223</v>
      </c>
      <c r="F36" s="2" t="s">
        <v>224</v>
      </c>
      <c r="G36" s="2" t="s">
        <v>225</v>
      </c>
      <c r="H36" t="s">
        <v>226</v>
      </c>
      <c r="I36" t="s">
        <v>68</v>
      </c>
      <c r="J36" s="4">
        <v>0.31578947368421051</v>
      </c>
      <c r="K36">
        <v>0</v>
      </c>
      <c r="L36">
        <v>0</v>
      </c>
      <c r="M36">
        <v>0.76075151150185505</v>
      </c>
      <c r="N36">
        <v>7.1428571377551014E-2</v>
      </c>
      <c r="O36">
        <v>0.9534944221772258</v>
      </c>
      <c r="P36">
        <v>0.19145162403583529</v>
      </c>
      <c r="Q36">
        <v>0.13939665257930761</v>
      </c>
      <c r="R36">
        <v>0.24084948003292081</v>
      </c>
      <c r="S36">
        <v>0</v>
      </c>
      <c r="T36">
        <v>0</v>
      </c>
      <c r="U36">
        <v>13.68592405319214</v>
      </c>
      <c r="V36">
        <v>2209</v>
      </c>
      <c r="W36">
        <v>282</v>
      </c>
      <c r="X36">
        <v>2491</v>
      </c>
      <c r="Y36">
        <v>0</v>
      </c>
      <c r="Z36">
        <v>5</v>
      </c>
      <c r="AA36">
        <v>13.68592405319214</v>
      </c>
    </row>
    <row r="37" spans="1:27" ht="409.5" hidden="1" x14ac:dyDescent="0.25">
      <c r="A37">
        <v>36</v>
      </c>
      <c r="B37" t="s">
        <v>199</v>
      </c>
      <c r="C37" t="s">
        <v>28</v>
      </c>
      <c r="D37" s="2" t="s">
        <v>227</v>
      </c>
      <c r="E37" s="2" t="s">
        <v>228</v>
      </c>
      <c r="F37" s="2" t="s">
        <v>229</v>
      </c>
      <c r="G37" s="2" t="s">
        <v>230</v>
      </c>
      <c r="H37" t="s">
        <v>231</v>
      </c>
      <c r="I37" t="s">
        <v>41</v>
      </c>
      <c r="J37" s="5">
        <v>0.88888888888888884</v>
      </c>
      <c r="K37">
        <v>0.33333333333333331</v>
      </c>
      <c r="L37">
        <v>0.33333333329999998</v>
      </c>
      <c r="M37">
        <v>0.63007376196739884</v>
      </c>
      <c r="N37">
        <v>0.21428571413265299</v>
      </c>
      <c r="O37">
        <v>0.75423538191985817</v>
      </c>
      <c r="P37">
        <v>5.7250753045082092E-2</v>
      </c>
      <c r="Q37">
        <v>1.6645003110170361E-2</v>
      </c>
      <c r="R37">
        <v>9.42264124751091E-2</v>
      </c>
      <c r="S37">
        <v>0</v>
      </c>
      <c r="T37">
        <v>0</v>
      </c>
      <c r="U37">
        <v>11.649943351745611</v>
      </c>
      <c r="V37">
        <v>2200</v>
      </c>
      <c r="W37">
        <v>235</v>
      </c>
      <c r="X37">
        <v>2435</v>
      </c>
      <c r="Y37">
        <v>0</v>
      </c>
      <c r="Z37">
        <v>5</v>
      </c>
      <c r="AA37">
        <v>11.649943351745611</v>
      </c>
    </row>
    <row r="38" spans="1:27" ht="409.5" hidden="1" x14ac:dyDescent="0.25">
      <c r="A38">
        <v>37</v>
      </c>
      <c r="B38" t="s">
        <v>199</v>
      </c>
      <c r="C38" t="s">
        <v>28</v>
      </c>
      <c r="D38" s="2" t="s">
        <v>232</v>
      </c>
      <c r="E38" s="2" t="s">
        <v>233</v>
      </c>
      <c r="F38" s="2" t="s">
        <v>234</v>
      </c>
      <c r="G38" s="2" t="s">
        <v>235</v>
      </c>
      <c r="H38" t="s">
        <v>236</v>
      </c>
      <c r="I38" t="s">
        <v>57</v>
      </c>
      <c r="J38" s="5">
        <v>1</v>
      </c>
      <c r="K38">
        <v>1</v>
      </c>
      <c r="L38">
        <v>0.80555555552870362</v>
      </c>
      <c r="M38">
        <v>0.79548819059018983</v>
      </c>
      <c r="N38">
        <v>0.99999999500000003</v>
      </c>
      <c r="O38">
        <v>0.90688518011950303</v>
      </c>
      <c r="P38">
        <v>0.34863582253456121</v>
      </c>
      <c r="Q38">
        <v>0.2269410043954849</v>
      </c>
      <c r="R38">
        <v>0.47282379865646362</v>
      </c>
      <c r="S38">
        <v>0.33333333333333331</v>
      </c>
      <c r="T38">
        <v>1</v>
      </c>
      <c r="U38">
        <v>15.55052375793457</v>
      </c>
      <c r="V38">
        <v>2207</v>
      </c>
      <c r="W38">
        <v>347</v>
      </c>
      <c r="X38">
        <v>2554</v>
      </c>
      <c r="Y38">
        <v>0</v>
      </c>
      <c r="Z38">
        <v>5</v>
      </c>
      <c r="AA38">
        <v>15.55052375793457</v>
      </c>
    </row>
    <row r="39" spans="1:27" ht="409.5" hidden="1" x14ac:dyDescent="0.25">
      <c r="A39">
        <v>38</v>
      </c>
      <c r="B39" t="s">
        <v>199</v>
      </c>
      <c r="C39" t="s">
        <v>35</v>
      </c>
      <c r="D39" s="2" t="s">
        <v>237</v>
      </c>
      <c r="E39" s="2" t="s">
        <v>238</v>
      </c>
      <c r="F39" s="2" t="s">
        <v>239</v>
      </c>
      <c r="G39" s="2" t="s">
        <v>240</v>
      </c>
      <c r="H39" t="s">
        <v>241</v>
      </c>
      <c r="I39" t="s">
        <v>68</v>
      </c>
      <c r="J39" s="4">
        <v>0.33333333333333331</v>
      </c>
      <c r="K39">
        <v>0</v>
      </c>
      <c r="L39">
        <v>0</v>
      </c>
      <c r="M39">
        <v>0.64507750464623359</v>
      </c>
      <c r="N39">
        <v>0</v>
      </c>
      <c r="O39">
        <v>0</v>
      </c>
      <c r="P39">
        <v>0.13564565777778631</v>
      </c>
      <c r="Q39">
        <v>1.6786297783255581E-2</v>
      </c>
      <c r="R39">
        <v>0.25596332550048828</v>
      </c>
      <c r="S39">
        <v>0</v>
      </c>
      <c r="T39">
        <v>0</v>
      </c>
      <c r="U39">
        <v>16.506655931472778</v>
      </c>
      <c r="V39">
        <v>2103</v>
      </c>
      <c r="W39">
        <v>218</v>
      </c>
      <c r="X39">
        <v>2321</v>
      </c>
      <c r="Y39">
        <v>0</v>
      </c>
      <c r="Z39">
        <v>5</v>
      </c>
      <c r="AA39">
        <v>16.506655931472778</v>
      </c>
    </row>
    <row r="40" spans="1:27" ht="409.5" hidden="1" x14ac:dyDescent="0.25">
      <c r="A40">
        <v>39</v>
      </c>
      <c r="B40" t="s">
        <v>135</v>
      </c>
      <c r="C40" t="s">
        <v>35</v>
      </c>
      <c r="D40" s="2" t="s">
        <v>242</v>
      </c>
      <c r="E40" s="2" t="s">
        <v>243</v>
      </c>
      <c r="F40" s="2" t="s">
        <v>244</v>
      </c>
      <c r="G40" s="2" t="s">
        <v>245</v>
      </c>
      <c r="H40" t="s">
        <v>246</v>
      </c>
      <c r="I40" t="s">
        <v>247</v>
      </c>
      <c r="J40" s="5">
        <v>1</v>
      </c>
      <c r="K40">
        <v>1</v>
      </c>
      <c r="L40">
        <v>0.99999999998</v>
      </c>
      <c r="M40">
        <v>0.94906700691273072</v>
      </c>
      <c r="N40">
        <v>0.83333333194444448</v>
      </c>
      <c r="O40">
        <v>0.96228034159442633</v>
      </c>
      <c r="P40">
        <v>0.49769112467765808</v>
      </c>
      <c r="Q40">
        <v>0.32138544321060181</v>
      </c>
      <c r="R40">
        <v>0.68314158916473389</v>
      </c>
      <c r="S40">
        <v>0</v>
      </c>
      <c r="T40">
        <v>0</v>
      </c>
      <c r="U40">
        <v>10.35053491592407</v>
      </c>
      <c r="V40">
        <v>2249</v>
      </c>
      <c r="W40">
        <v>173</v>
      </c>
      <c r="X40">
        <v>2422</v>
      </c>
      <c r="Y40">
        <v>0</v>
      </c>
      <c r="Z40">
        <v>5</v>
      </c>
      <c r="AA40">
        <v>10.35053491592407</v>
      </c>
    </row>
    <row r="41" spans="1:27" ht="409.5" hidden="1" x14ac:dyDescent="0.25">
      <c r="A41">
        <v>40</v>
      </c>
      <c r="B41" t="s">
        <v>135</v>
      </c>
      <c r="C41" t="s">
        <v>28</v>
      </c>
      <c r="D41" s="2" t="s">
        <v>248</v>
      </c>
      <c r="E41" s="2" t="s">
        <v>249</v>
      </c>
      <c r="F41" s="2" t="s">
        <v>250</v>
      </c>
      <c r="G41" s="2" t="s">
        <v>251</v>
      </c>
      <c r="H41" t="s">
        <v>252</v>
      </c>
      <c r="I41" t="s">
        <v>253</v>
      </c>
      <c r="J41" s="4">
        <v>0.375</v>
      </c>
      <c r="K41">
        <v>1</v>
      </c>
      <c r="L41">
        <v>0.7499999999625</v>
      </c>
      <c r="M41">
        <v>0.78189261158992462</v>
      </c>
      <c r="N41">
        <v>0.36363636330578508</v>
      </c>
      <c r="O41">
        <v>0</v>
      </c>
      <c r="P41">
        <v>9.165433794260025E-2</v>
      </c>
      <c r="Q41">
        <v>0.1373562216758728</v>
      </c>
      <c r="R41">
        <v>4.2776662856340408E-2</v>
      </c>
      <c r="S41">
        <v>1</v>
      </c>
      <c r="T41">
        <v>1</v>
      </c>
      <c r="U41">
        <v>10.80495452880859</v>
      </c>
      <c r="V41">
        <v>2236</v>
      </c>
      <c r="W41">
        <v>173</v>
      </c>
      <c r="X41">
        <v>2409</v>
      </c>
      <c r="Y41">
        <v>0</v>
      </c>
      <c r="Z41">
        <v>5</v>
      </c>
      <c r="AA41">
        <v>10.80495452880859</v>
      </c>
    </row>
    <row r="42" spans="1:27" ht="409.5" hidden="1" x14ac:dyDescent="0.25">
      <c r="A42">
        <v>41</v>
      </c>
      <c r="B42" t="s">
        <v>135</v>
      </c>
      <c r="C42" t="s">
        <v>35</v>
      </c>
      <c r="D42" s="2" t="s">
        <v>254</v>
      </c>
      <c r="E42" s="2" t="s">
        <v>255</v>
      </c>
      <c r="F42" s="2" t="s">
        <v>256</v>
      </c>
      <c r="G42" s="2" t="s">
        <v>257</v>
      </c>
      <c r="H42" t="s">
        <v>258</v>
      </c>
      <c r="I42" t="s">
        <v>109</v>
      </c>
      <c r="J42" s="5">
        <v>1</v>
      </c>
      <c r="K42">
        <v>0</v>
      </c>
      <c r="L42">
        <v>0</v>
      </c>
      <c r="M42">
        <v>0.49176884884698702</v>
      </c>
      <c r="N42">
        <v>0</v>
      </c>
      <c r="O42">
        <v>0</v>
      </c>
      <c r="P42">
        <v>0.1348816305398941</v>
      </c>
      <c r="Q42">
        <v>5.6434579193592072E-2</v>
      </c>
      <c r="R42">
        <v>0.21171069145202639</v>
      </c>
      <c r="S42">
        <v>0.33333333333333331</v>
      </c>
      <c r="T42">
        <v>1</v>
      </c>
      <c r="U42">
        <v>12.9107723236084</v>
      </c>
      <c r="V42">
        <v>2261</v>
      </c>
      <c r="W42">
        <v>185</v>
      </c>
      <c r="X42">
        <v>2446</v>
      </c>
      <c r="Y42">
        <v>0</v>
      </c>
      <c r="Z42">
        <v>5</v>
      </c>
      <c r="AA42">
        <v>12.9107723236084</v>
      </c>
    </row>
    <row r="43" spans="1:27" ht="409.5" hidden="1" x14ac:dyDescent="0.25">
      <c r="A43">
        <v>42</v>
      </c>
      <c r="B43" t="s">
        <v>135</v>
      </c>
      <c r="C43" t="s">
        <v>28</v>
      </c>
      <c r="D43" s="2" t="s">
        <v>259</v>
      </c>
      <c r="E43" s="2" t="s">
        <v>260</v>
      </c>
      <c r="F43" s="2" t="s">
        <v>261</v>
      </c>
      <c r="G43" s="2" t="s">
        <v>262</v>
      </c>
      <c r="H43" t="s">
        <v>263</v>
      </c>
      <c r="I43" t="s">
        <v>41</v>
      </c>
      <c r="J43" s="3">
        <v>0.66666666666666663</v>
      </c>
      <c r="K43">
        <v>1</v>
      </c>
      <c r="L43">
        <v>0.99999999995</v>
      </c>
      <c r="M43">
        <v>0.72585255951360961</v>
      </c>
      <c r="N43">
        <v>0</v>
      </c>
      <c r="O43">
        <v>0.94262671923654162</v>
      </c>
      <c r="P43">
        <v>0.41523751616477972</v>
      </c>
      <c r="Q43">
        <v>0.25389498472213751</v>
      </c>
      <c r="R43">
        <v>0.58356624841690063</v>
      </c>
      <c r="S43">
        <v>1</v>
      </c>
      <c r="T43">
        <v>1</v>
      </c>
      <c r="U43">
        <v>9.7535219192504883</v>
      </c>
      <c r="V43">
        <v>2279</v>
      </c>
      <c r="W43">
        <v>147</v>
      </c>
      <c r="X43">
        <v>2426</v>
      </c>
      <c r="Y43">
        <v>0</v>
      </c>
      <c r="Z43">
        <v>5</v>
      </c>
      <c r="AA43">
        <v>9.7535219192504883</v>
      </c>
    </row>
    <row r="44" spans="1:27" ht="409.5" hidden="1" x14ac:dyDescent="0.25">
      <c r="A44">
        <v>43</v>
      </c>
      <c r="B44" t="s">
        <v>135</v>
      </c>
      <c r="C44" t="s">
        <v>35</v>
      </c>
      <c r="D44" s="2" t="s">
        <v>264</v>
      </c>
      <c r="E44" s="2" t="s">
        <v>265</v>
      </c>
      <c r="F44" s="2" t="s">
        <v>266</v>
      </c>
      <c r="G44" s="2" t="s">
        <v>267</v>
      </c>
      <c r="H44" t="s">
        <v>268</v>
      </c>
      <c r="I44" t="s">
        <v>122</v>
      </c>
      <c r="J44" s="5">
        <v>1</v>
      </c>
      <c r="K44">
        <v>1</v>
      </c>
      <c r="L44">
        <v>0.99999999996666666</v>
      </c>
      <c r="M44">
        <v>0.81459078459782286</v>
      </c>
      <c r="N44">
        <v>0.33333333296296291</v>
      </c>
      <c r="O44">
        <v>0.66469492681131037</v>
      </c>
      <c r="P44">
        <v>0.4390903115272522</v>
      </c>
      <c r="Q44">
        <v>0.49014809727668762</v>
      </c>
      <c r="R44">
        <v>0.38650673627853388</v>
      </c>
      <c r="S44">
        <v>1</v>
      </c>
      <c r="T44">
        <v>1</v>
      </c>
      <c r="U44">
        <v>9.0357317924499512</v>
      </c>
      <c r="V44">
        <v>2069</v>
      </c>
      <c r="W44">
        <v>136</v>
      </c>
      <c r="X44">
        <v>2205</v>
      </c>
      <c r="Y44">
        <v>0</v>
      </c>
      <c r="Z44">
        <v>5</v>
      </c>
      <c r="AA44">
        <v>9.0357317924499512</v>
      </c>
    </row>
    <row r="45" spans="1:27" ht="409.5" hidden="1" x14ac:dyDescent="0.25">
      <c r="A45">
        <v>44</v>
      </c>
      <c r="B45" t="s">
        <v>135</v>
      </c>
      <c r="C45" t="s">
        <v>28</v>
      </c>
      <c r="D45" s="2" t="s">
        <v>269</v>
      </c>
      <c r="E45" s="2" t="s">
        <v>270</v>
      </c>
      <c r="F45" s="2" t="s">
        <v>271</v>
      </c>
      <c r="G45" s="2" t="s">
        <v>272</v>
      </c>
      <c r="H45" t="s">
        <v>273</v>
      </c>
      <c r="I45" t="s">
        <v>81</v>
      </c>
      <c r="J45" s="5">
        <v>0.82352941176470584</v>
      </c>
      <c r="K45">
        <v>0.6</v>
      </c>
      <c r="L45">
        <v>0.94999999997624995</v>
      </c>
      <c r="M45">
        <v>0.80048543237056657</v>
      </c>
      <c r="N45">
        <v>0.249999999375</v>
      </c>
      <c r="O45">
        <v>0.99999999999999944</v>
      </c>
      <c r="P45">
        <v>0.2086162269115448</v>
      </c>
      <c r="Q45">
        <v>0.16805544495582581</v>
      </c>
      <c r="R45">
        <v>0.2462117075920105</v>
      </c>
      <c r="S45">
        <v>1</v>
      </c>
      <c r="T45">
        <v>1</v>
      </c>
      <c r="U45">
        <v>20.68687009811401</v>
      </c>
      <c r="V45">
        <v>2179</v>
      </c>
      <c r="W45">
        <v>385</v>
      </c>
      <c r="X45">
        <v>2564</v>
      </c>
      <c r="Y45">
        <v>0</v>
      </c>
      <c r="Z45">
        <v>5</v>
      </c>
      <c r="AA45">
        <v>20.68687009811401</v>
      </c>
    </row>
    <row r="46" spans="1:27" ht="409.5" hidden="1" x14ac:dyDescent="0.25">
      <c r="A46">
        <v>45</v>
      </c>
      <c r="B46" t="s">
        <v>135</v>
      </c>
      <c r="C46" t="s">
        <v>69</v>
      </c>
      <c r="D46" s="2" t="s">
        <v>274</v>
      </c>
      <c r="E46" s="2" t="s">
        <v>275</v>
      </c>
      <c r="F46" s="2" t="s">
        <v>276</v>
      </c>
      <c r="G46" s="2" t="s">
        <v>277</v>
      </c>
      <c r="H46" t="s">
        <v>278</v>
      </c>
      <c r="I46" t="s">
        <v>68</v>
      </c>
      <c r="J46" s="4">
        <v>0.55555555555555558</v>
      </c>
      <c r="K46">
        <v>0.25</v>
      </c>
      <c r="L46">
        <v>0</v>
      </c>
      <c r="M46">
        <v>0.68769672781723235</v>
      </c>
      <c r="N46">
        <v>0.37499999953125002</v>
      </c>
      <c r="O46">
        <v>0.8509672229797336</v>
      </c>
      <c r="P46">
        <v>0.1103488206863403</v>
      </c>
      <c r="Q46">
        <v>9.3114182353019714E-2</v>
      </c>
      <c r="R46">
        <v>0.1237140819430351</v>
      </c>
      <c r="S46">
        <v>0</v>
      </c>
      <c r="T46">
        <v>0</v>
      </c>
      <c r="U46">
        <v>13.05097126960754</v>
      </c>
      <c r="V46">
        <v>2259</v>
      </c>
      <c r="W46">
        <v>274</v>
      </c>
      <c r="X46">
        <v>2533</v>
      </c>
      <c r="Y46">
        <v>0</v>
      </c>
      <c r="Z46">
        <v>5</v>
      </c>
      <c r="AA46">
        <v>13.05097126960754</v>
      </c>
    </row>
    <row r="47" spans="1:27" ht="409.5" hidden="1" x14ac:dyDescent="0.25">
      <c r="A47">
        <v>46</v>
      </c>
      <c r="B47" t="s">
        <v>135</v>
      </c>
      <c r="C47" t="s">
        <v>69</v>
      </c>
      <c r="D47" s="2" t="s">
        <v>279</v>
      </c>
      <c r="E47" s="2" t="s">
        <v>280</v>
      </c>
      <c r="F47" s="2" t="s">
        <v>281</v>
      </c>
      <c r="G47" s="2" t="s">
        <v>282</v>
      </c>
      <c r="H47" t="s">
        <v>283</v>
      </c>
      <c r="I47" t="s">
        <v>115</v>
      </c>
      <c r="J47" s="5">
        <v>1</v>
      </c>
      <c r="K47">
        <v>1</v>
      </c>
      <c r="L47">
        <v>0.91666666663611107</v>
      </c>
      <c r="M47">
        <v>0.92851328425978497</v>
      </c>
      <c r="N47">
        <v>0.74999999937499995</v>
      </c>
      <c r="O47">
        <v>0.97988916442764695</v>
      </c>
      <c r="P47">
        <v>0.34562972187995911</v>
      </c>
      <c r="Q47">
        <v>0.37482240796089172</v>
      </c>
      <c r="R47">
        <v>0.31387385725975042</v>
      </c>
      <c r="S47">
        <v>0.5</v>
      </c>
      <c r="T47">
        <v>1</v>
      </c>
      <c r="U47">
        <v>14.540492057800289</v>
      </c>
      <c r="V47">
        <v>2175</v>
      </c>
      <c r="W47">
        <v>238</v>
      </c>
      <c r="X47">
        <v>2413</v>
      </c>
      <c r="Y47">
        <v>0</v>
      </c>
      <c r="Z47">
        <v>5</v>
      </c>
      <c r="AA47">
        <v>14.540492057800289</v>
      </c>
    </row>
    <row r="48" spans="1:27" ht="409.5" hidden="1" x14ac:dyDescent="0.25">
      <c r="A48">
        <v>47</v>
      </c>
      <c r="B48" t="s">
        <v>284</v>
      </c>
      <c r="C48" t="s">
        <v>69</v>
      </c>
      <c r="D48" s="2" t="s">
        <v>285</v>
      </c>
      <c r="E48" s="2" t="s">
        <v>286</v>
      </c>
      <c r="F48" s="2" t="s">
        <v>287</v>
      </c>
      <c r="G48" s="2" t="s">
        <v>288</v>
      </c>
      <c r="H48" t="s">
        <v>289</v>
      </c>
      <c r="I48" t="s">
        <v>68</v>
      </c>
      <c r="J48" s="5">
        <v>0.9</v>
      </c>
      <c r="K48">
        <v>0.5</v>
      </c>
      <c r="L48">
        <v>0.99999999998</v>
      </c>
      <c r="M48">
        <v>0.81942173378937255</v>
      </c>
      <c r="N48">
        <v>5.8823529377162627E-2</v>
      </c>
      <c r="O48">
        <v>0.9589977321800387</v>
      </c>
      <c r="P48">
        <v>0.21513310074806211</v>
      </c>
      <c r="Q48">
        <v>0.15267691016197199</v>
      </c>
      <c r="R48">
        <v>0.27546915411949158</v>
      </c>
      <c r="S48">
        <v>0</v>
      </c>
      <c r="T48">
        <v>0</v>
      </c>
      <c r="U48">
        <v>12.849006175994869</v>
      </c>
      <c r="V48">
        <v>2272</v>
      </c>
      <c r="W48">
        <v>263</v>
      </c>
      <c r="X48">
        <v>2535</v>
      </c>
      <c r="Y48">
        <v>0</v>
      </c>
      <c r="Z48">
        <v>5</v>
      </c>
      <c r="AA48">
        <v>12.849006175994869</v>
      </c>
    </row>
    <row r="49" spans="1:27" ht="409.5" hidden="1" x14ac:dyDescent="0.25">
      <c r="A49">
        <v>48</v>
      </c>
      <c r="B49" t="s">
        <v>284</v>
      </c>
      <c r="C49" t="s">
        <v>28</v>
      </c>
      <c r="D49" s="2" t="s">
        <v>290</v>
      </c>
      <c r="E49" s="2" t="s">
        <v>291</v>
      </c>
      <c r="F49" s="2" t="s">
        <v>292</v>
      </c>
      <c r="G49" s="2" t="s">
        <v>293</v>
      </c>
      <c r="H49" t="s">
        <v>294</v>
      </c>
      <c r="I49" t="s">
        <v>68</v>
      </c>
      <c r="J49" s="4">
        <v>0.5</v>
      </c>
      <c r="K49">
        <v>0.5</v>
      </c>
      <c r="L49">
        <v>0</v>
      </c>
      <c r="M49">
        <v>0.77909841305319694</v>
      </c>
      <c r="N49">
        <v>0.1111111109876543</v>
      </c>
      <c r="O49">
        <v>0</v>
      </c>
      <c r="P49">
        <v>0.22839587926864621</v>
      </c>
      <c r="Q49">
        <v>0.1334296315908432</v>
      </c>
      <c r="R49">
        <v>0.32320800423622131</v>
      </c>
      <c r="S49">
        <v>0</v>
      </c>
      <c r="T49">
        <v>0</v>
      </c>
      <c r="U49">
        <v>14.585038661956791</v>
      </c>
      <c r="V49">
        <v>2310</v>
      </c>
      <c r="W49">
        <v>306</v>
      </c>
      <c r="X49">
        <v>2616</v>
      </c>
      <c r="Y49">
        <v>0</v>
      </c>
      <c r="Z49">
        <v>5</v>
      </c>
      <c r="AA49">
        <v>14.585038661956791</v>
      </c>
    </row>
    <row r="50" spans="1:27" ht="409.5" hidden="1" x14ac:dyDescent="0.25">
      <c r="A50">
        <v>49</v>
      </c>
      <c r="B50" t="s">
        <v>284</v>
      </c>
      <c r="C50" t="s">
        <v>28</v>
      </c>
      <c r="D50" s="2" t="s">
        <v>295</v>
      </c>
      <c r="E50" s="2" t="s">
        <v>296</v>
      </c>
      <c r="F50" s="2" t="s">
        <v>297</v>
      </c>
      <c r="G50" s="2" t="s">
        <v>298</v>
      </c>
      <c r="H50" t="s">
        <v>299</v>
      </c>
      <c r="I50" t="s">
        <v>68</v>
      </c>
      <c r="J50" s="5">
        <v>1</v>
      </c>
      <c r="K50">
        <v>1</v>
      </c>
      <c r="L50">
        <v>0.999999999975</v>
      </c>
      <c r="M50">
        <v>0.87091998536606141</v>
      </c>
      <c r="N50">
        <v>0.29999999970000002</v>
      </c>
      <c r="O50">
        <v>0.9108658153734227</v>
      </c>
      <c r="P50">
        <v>0.27922520041465759</v>
      </c>
      <c r="Q50">
        <v>0.2280086874961853</v>
      </c>
      <c r="R50">
        <v>0.32813498377799988</v>
      </c>
      <c r="S50">
        <v>0</v>
      </c>
      <c r="T50">
        <v>0</v>
      </c>
      <c r="U50">
        <v>12.508842945098881</v>
      </c>
      <c r="V50">
        <v>2015</v>
      </c>
      <c r="W50">
        <v>249</v>
      </c>
      <c r="X50">
        <v>2264</v>
      </c>
      <c r="Y50">
        <v>0</v>
      </c>
      <c r="Z50">
        <v>5</v>
      </c>
      <c r="AA50">
        <v>12.508842945098881</v>
      </c>
    </row>
    <row r="51" spans="1:27" ht="409.5" hidden="1" x14ac:dyDescent="0.25">
      <c r="A51">
        <v>50</v>
      </c>
      <c r="B51" t="s">
        <v>284</v>
      </c>
      <c r="C51" t="s">
        <v>28</v>
      </c>
      <c r="D51" s="2" t="s">
        <v>300</v>
      </c>
      <c r="E51" s="2" t="s">
        <v>301</v>
      </c>
      <c r="F51" s="2" t="s">
        <v>302</v>
      </c>
      <c r="G51" s="2" t="s">
        <v>303</v>
      </c>
      <c r="H51" t="s">
        <v>304</v>
      </c>
      <c r="I51" t="s">
        <v>305</v>
      </c>
      <c r="J51" s="3">
        <v>0.66666666666666663</v>
      </c>
      <c r="K51">
        <v>1</v>
      </c>
      <c r="L51">
        <v>0.32499999998375001</v>
      </c>
      <c r="M51">
        <v>0.78766146521223468</v>
      </c>
      <c r="N51">
        <v>0.12499999984375</v>
      </c>
      <c r="O51">
        <v>0</v>
      </c>
      <c r="P51">
        <v>0.20900249481201169</v>
      </c>
      <c r="Q51">
        <v>0.1606777012348175</v>
      </c>
      <c r="R51">
        <v>0.2546108067035675</v>
      </c>
      <c r="S51">
        <v>0.25</v>
      </c>
      <c r="T51">
        <v>1</v>
      </c>
      <c r="U51">
        <v>11.52481842041016</v>
      </c>
      <c r="V51">
        <v>2087</v>
      </c>
      <c r="W51">
        <v>223</v>
      </c>
      <c r="X51">
        <v>2310</v>
      </c>
      <c r="Y51">
        <v>0</v>
      </c>
      <c r="Z51">
        <v>5</v>
      </c>
      <c r="AA51">
        <v>11.52481842041016</v>
      </c>
    </row>
    <row r="52" spans="1:27" ht="409.5" hidden="1" x14ac:dyDescent="0.25">
      <c r="A52">
        <v>51</v>
      </c>
      <c r="B52" t="s">
        <v>135</v>
      </c>
      <c r="C52" t="s">
        <v>35</v>
      </c>
      <c r="D52" s="2" t="s">
        <v>306</v>
      </c>
      <c r="E52" s="2" t="s">
        <v>307</v>
      </c>
      <c r="F52" s="2" t="s">
        <v>308</v>
      </c>
      <c r="G52" s="2" t="s">
        <v>309</v>
      </c>
      <c r="H52" t="s">
        <v>310</v>
      </c>
      <c r="I52" t="s">
        <v>210</v>
      </c>
      <c r="J52" s="5">
        <v>1</v>
      </c>
      <c r="K52">
        <v>0</v>
      </c>
      <c r="L52">
        <v>0</v>
      </c>
      <c r="M52">
        <v>0.60400543012675867</v>
      </c>
      <c r="N52">
        <v>0</v>
      </c>
      <c r="O52">
        <v>0.5872371658328035</v>
      </c>
      <c r="P52">
        <v>0.14650020003318789</v>
      </c>
      <c r="Q52">
        <v>0.10337086766958239</v>
      </c>
      <c r="R52">
        <v>0.1864677965641022</v>
      </c>
      <c r="S52">
        <v>0</v>
      </c>
      <c r="T52">
        <v>0</v>
      </c>
      <c r="U52">
        <v>17.62239146232605</v>
      </c>
      <c r="V52">
        <v>2162</v>
      </c>
      <c r="W52">
        <v>192</v>
      </c>
      <c r="X52">
        <v>2354</v>
      </c>
      <c r="Y52">
        <v>0</v>
      </c>
      <c r="Z52">
        <v>5</v>
      </c>
      <c r="AA52">
        <v>17.62239146232605</v>
      </c>
    </row>
    <row r="53" spans="1:27" ht="409.5" hidden="1" x14ac:dyDescent="0.25">
      <c r="A53">
        <v>52</v>
      </c>
      <c r="B53" t="s">
        <v>135</v>
      </c>
      <c r="C53" t="s">
        <v>35</v>
      </c>
      <c r="D53" s="2" t="s">
        <v>311</v>
      </c>
      <c r="E53" s="2" t="s">
        <v>312</v>
      </c>
      <c r="F53" s="2" t="s">
        <v>313</v>
      </c>
      <c r="G53" s="2" t="s">
        <v>314</v>
      </c>
      <c r="H53" t="s">
        <v>315</v>
      </c>
      <c r="I53" t="s">
        <v>41</v>
      </c>
      <c r="J53" s="5">
        <v>1</v>
      </c>
      <c r="K53">
        <v>1</v>
      </c>
      <c r="L53">
        <v>0.99999999998</v>
      </c>
      <c r="M53">
        <v>0.98688845673508374</v>
      </c>
      <c r="N53">
        <v>0.7142857132653061</v>
      </c>
      <c r="O53">
        <v>0.77587317413003343</v>
      </c>
      <c r="P53">
        <v>0.83468914031982422</v>
      </c>
      <c r="Q53">
        <v>0.83750069141387939</v>
      </c>
      <c r="R53">
        <v>0.83114755153656006</v>
      </c>
      <c r="S53">
        <v>0.2</v>
      </c>
      <c r="T53">
        <v>1</v>
      </c>
      <c r="U53">
        <v>8.0660684108734131</v>
      </c>
      <c r="V53">
        <v>2155</v>
      </c>
      <c r="W53">
        <v>81</v>
      </c>
      <c r="X53">
        <v>2236</v>
      </c>
      <c r="Y53">
        <v>0</v>
      </c>
      <c r="Z53">
        <v>5</v>
      </c>
      <c r="AA53">
        <v>8.0660684108734131</v>
      </c>
    </row>
    <row r="54" spans="1:27" ht="409.5" hidden="1" x14ac:dyDescent="0.25">
      <c r="A54">
        <v>53</v>
      </c>
      <c r="B54" t="s">
        <v>135</v>
      </c>
      <c r="C54" t="s">
        <v>28</v>
      </c>
      <c r="D54" s="2" t="s">
        <v>316</v>
      </c>
      <c r="E54" s="2" t="s">
        <v>317</v>
      </c>
      <c r="F54" s="2" t="s">
        <v>318</v>
      </c>
      <c r="G54" s="2" t="s">
        <v>319</v>
      </c>
      <c r="H54" t="s">
        <v>320</v>
      </c>
      <c r="I54" t="s">
        <v>57</v>
      </c>
      <c r="J54" s="5">
        <v>0.8571428571428571</v>
      </c>
      <c r="K54">
        <v>0.25</v>
      </c>
      <c r="L54">
        <v>0.49999999995</v>
      </c>
      <c r="M54">
        <v>0.75672103338552343</v>
      </c>
      <c r="N54">
        <v>5.8823529377162627E-2</v>
      </c>
      <c r="O54">
        <v>0.9311554175921013</v>
      </c>
      <c r="P54">
        <v>0.15402232110500341</v>
      </c>
      <c r="Q54">
        <v>0.397624671459198</v>
      </c>
      <c r="R54">
        <v>-7.2710722684860229E-2</v>
      </c>
      <c r="S54">
        <v>0</v>
      </c>
      <c r="T54">
        <v>0</v>
      </c>
      <c r="U54">
        <v>9.2339417934417725</v>
      </c>
      <c r="V54">
        <v>2213</v>
      </c>
      <c r="W54">
        <v>130</v>
      </c>
      <c r="X54">
        <v>2343</v>
      </c>
      <c r="Y54">
        <v>0</v>
      </c>
      <c r="Z54">
        <v>5</v>
      </c>
      <c r="AA54">
        <v>9.2339417934417725</v>
      </c>
    </row>
    <row r="55" spans="1:27" ht="409.5" hidden="1" x14ac:dyDescent="0.25">
      <c r="A55">
        <v>54</v>
      </c>
      <c r="B55" t="s">
        <v>284</v>
      </c>
      <c r="C55" t="s">
        <v>28</v>
      </c>
      <c r="D55" s="2" t="s">
        <v>321</v>
      </c>
      <c r="E55" s="2" t="s">
        <v>322</v>
      </c>
      <c r="F55" s="2" t="s">
        <v>323</v>
      </c>
      <c r="G55" s="2" t="s">
        <v>324</v>
      </c>
      <c r="H55" t="s">
        <v>325</v>
      </c>
      <c r="I55" t="s">
        <v>156</v>
      </c>
      <c r="J55" s="4">
        <v>0.5</v>
      </c>
      <c r="K55">
        <v>1</v>
      </c>
      <c r="L55">
        <v>0.94999999997624995</v>
      </c>
      <c r="M55">
        <v>0.91922660035271297</v>
      </c>
      <c r="N55">
        <v>0.24999999979166659</v>
      </c>
      <c r="O55">
        <v>0.95020814148456068</v>
      </c>
      <c r="P55">
        <v>0.44455641508102423</v>
      </c>
      <c r="Q55">
        <v>0.47237089276313782</v>
      </c>
      <c r="R55">
        <v>0.41457885503768921</v>
      </c>
      <c r="S55">
        <v>0.33333333333333331</v>
      </c>
      <c r="T55">
        <v>1</v>
      </c>
      <c r="U55">
        <v>11.574143409729</v>
      </c>
      <c r="V55">
        <v>1933</v>
      </c>
      <c r="W55">
        <v>188</v>
      </c>
      <c r="X55">
        <v>2121</v>
      </c>
      <c r="Y55">
        <v>0</v>
      </c>
      <c r="Z55">
        <v>5</v>
      </c>
      <c r="AA55">
        <v>11.574143409729</v>
      </c>
    </row>
    <row r="56" spans="1:27" ht="409.5" hidden="1" x14ac:dyDescent="0.25">
      <c r="A56">
        <v>55</v>
      </c>
      <c r="B56" t="s">
        <v>326</v>
      </c>
      <c r="C56" t="s">
        <v>69</v>
      </c>
      <c r="D56" s="2" t="s">
        <v>327</v>
      </c>
      <c r="E56" s="2" t="s">
        <v>328</v>
      </c>
      <c r="F56" s="2" t="s">
        <v>329</v>
      </c>
      <c r="G56" s="2" t="s">
        <v>330</v>
      </c>
      <c r="H56" t="s">
        <v>331</v>
      </c>
      <c r="I56" t="s">
        <v>92</v>
      </c>
      <c r="J56" s="5">
        <v>0.8571428571428571</v>
      </c>
      <c r="K56">
        <v>1</v>
      </c>
      <c r="L56">
        <v>0.99999999998</v>
      </c>
      <c r="M56">
        <v>0.86605290861603967</v>
      </c>
      <c r="N56">
        <v>0.49999999974999998</v>
      </c>
      <c r="O56">
        <v>0.81837340671697278</v>
      </c>
      <c r="P56">
        <v>0.24029785394668579</v>
      </c>
      <c r="Q56">
        <v>0.34686341881752009</v>
      </c>
      <c r="R56">
        <v>0.13452085852622989</v>
      </c>
      <c r="S56">
        <v>1</v>
      </c>
      <c r="T56">
        <v>1</v>
      </c>
      <c r="U56">
        <v>10.184689998626711</v>
      </c>
      <c r="V56">
        <v>2300</v>
      </c>
      <c r="W56">
        <v>165</v>
      </c>
      <c r="X56">
        <v>2465</v>
      </c>
      <c r="Y56">
        <v>0</v>
      </c>
      <c r="Z56">
        <v>5</v>
      </c>
      <c r="AA56">
        <v>10.184689998626711</v>
      </c>
    </row>
    <row r="57" spans="1:27" ht="409.5" hidden="1" x14ac:dyDescent="0.25">
      <c r="A57">
        <v>56</v>
      </c>
      <c r="B57" t="s">
        <v>326</v>
      </c>
      <c r="C57" t="s">
        <v>69</v>
      </c>
      <c r="D57" s="2" t="s">
        <v>332</v>
      </c>
      <c r="E57" s="2" t="s">
        <v>333</v>
      </c>
      <c r="F57" s="2" t="s">
        <v>334</v>
      </c>
      <c r="G57" s="2" t="s">
        <v>335</v>
      </c>
      <c r="H57" t="s">
        <v>336</v>
      </c>
      <c r="I57" t="s">
        <v>156</v>
      </c>
      <c r="J57" s="4">
        <v>0.3</v>
      </c>
      <c r="K57">
        <v>0</v>
      </c>
      <c r="L57">
        <v>0</v>
      </c>
      <c r="M57">
        <v>0.78081553229328382</v>
      </c>
      <c r="N57">
        <v>4.1666666649305552E-2</v>
      </c>
      <c r="O57">
        <v>0</v>
      </c>
      <c r="P57">
        <v>8.3384111523628235E-2</v>
      </c>
      <c r="Q57">
        <v>0.1365952342748642</v>
      </c>
      <c r="R57">
        <v>2.7247937396168709E-2</v>
      </c>
      <c r="S57">
        <v>0</v>
      </c>
      <c r="T57">
        <v>0</v>
      </c>
      <c r="U57">
        <v>10.76669812202454</v>
      </c>
      <c r="V57">
        <v>2140</v>
      </c>
      <c r="W57">
        <v>190</v>
      </c>
      <c r="X57">
        <v>2330</v>
      </c>
      <c r="Y57">
        <v>0</v>
      </c>
      <c r="Z57">
        <v>5</v>
      </c>
      <c r="AA57">
        <v>10.76669812202454</v>
      </c>
    </row>
    <row r="58" spans="1:27" ht="409.5" hidden="1" x14ac:dyDescent="0.25">
      <c r="A58">
        <v>57</v>
      </c>
      <c r="B58" t="s">
        <v>326</v>
      </c>
      <c r="C58" t="s">
        <v>28</v>
      </c>
      <c r="D58" s="2" t="s">
        <v>337</v>
      </c>
      <c r="E58" s="2" t="s">
        <v>338</v>
      </c>
      <c r="F58" s="2" t="s">
        <v>339</v>
      </c>
      <c r="G58" s="2" t="s">
        <v>340</v>
      </c>
      <c r="H58" t="s">
        <v>341</v>
      </c>
      <c r="I58" t="s">
        <v>41</v>
      </c>
      <c r="J58" s="5">
        <v>0.94117647058823528</v>
      </c>
      <c r="K58">
        <v>1</v>
      </c>
      <c r="L58">
        <v>0.94999999997624995</v>
      </c>
      <c r="M58">
        <v>0.8688669979348177</v>
      </c>
      <c r="N58">
        <v>0.81249999949218743</v>
      </c>
      <c r="O58">
        <v>0</v>
      </c>
      <c r="P58">
        <v>0.52676141262054443</v>
      </c>
      <c r="Q58">
        <v>0.46922159194946289</v>
      </c>
      <c r="R58">
        <v>0.58331453800201416</v>
      </c>
      <c r="S58">
        <v>0.5</v>
      </c>
      <c r="T58">
        <v>1</v>
      </c>
      <c r="U58">
        <v>14.01923704147339</v>
      </c>
      <c r="V58">
        <v>2229</v>
      </c>
      <c r="W58">
        <v>216</v>
      </c>
      <c r="X58">
        <v>2445</v>
      </c>
      <c r="Y58">
        <v>0</v>
      </c>
      <c r="Z58">
        <v>5</v>
      </c>
      <c r="AA58">
        <v>14.01923704147339</v>
      </c>
    </row>
    <row r="59" spans="1:27" ht="409.5" hidden="1" x14ac:dyDescent="0.25">
      <c r="A59">
        <v>58</v>
      </c>
      <c r="B59" t="s">
        <v>326</v>
      </c>
      <c r="C59" t="s">
        <v>28</v>
      </c>
      <c r="D59" s="2" t="s">
        <v>342</v>
      </c>
      <c r="E59" s="2" t="s">
        <v>343</v>
      </c>
      <c r="F59" s="2" t="s">
        <v>344</v>
      </c>
      <c r="G59" s="2" t="s">
        <v>345</v>
      </c>
      <c r="H59" t="s">
        <v>346</v>
      </c>
      <c r="I59" t="s">
        <v>347</v>
      </c>
      <c r="J59" s="5">
        <v>1</v>
      </c>
      <c r="K59">
        <v>1</v>
      </c>
      <c r="L59">
        <v>0.7499999999625</v>
      </c>
      <c r="M59">
        <v>0.86830104886511639</v>
      </c>
      <c r="N59">
        <v>0.49999999937499989</v>
      </c>
      <c r="O59">
        <v>0.88228575994644109</v>
      </c>
      <c r="P59">
        <v>0.29189193248748779</v>
      </c>
      <c r="Q59">
        <v>0.36516392230987549</v>
      </c>
      <c r="R59">
        <v>0.2174777835607529</v>
      </c>
      <c r="S59">
        <v>0.25</v>
      </c>
      <c r="T59">
        <v>1</v>
      </c>
      <c r="U59">
        <v>8.8857944011688232</v>
      </c>
      <c r="V59">
        <v>2286</v>
      </c>
      <c r="W59">
        <v>113</v>
      </c>
      <c r="X59">
        <v>2399</v>
      </c>
      <c r="Y59">
        <v>0</v>
      </c>
      <c r="Z59">
        <v>5</v>
      </c>
      <c r="AA59">
        <v>8.8857944011688232</v>
      </c>
    </row>
    <row r="60" spans="1:27" ht="409.5" hidden="1" x14ac:dyDescent="0.25">
      <c r="A60">
        <v>59</v>
      </c>
      <c r="B60" t="s">
        <v>326</v>
      </c>
      <c r="C60" t="s">
        <v>28</v>
      </c>
      <c r="D60" s="2" t="s">
        <v>348</v>
      </c>
      <c r="E60" s="2" t="s">
        <v>349</v>
      </c>
      <c r="F60" s="2" t="s">
        <v>350</v>
      </c>
      <c r="G60" s="2" t="s">
        <v>351</v>
      </c>
      <c r="H60" t="s">
        <v>352</v>
      </c>
      <c r="I60" t="s">
        <v>347</v>
      </c>
      <c r="J60" s="5">
        <v>0.875</v>
      </c>
      <c r="K60">
        <v>0.4</v>
      </c>
      <c r="L60">
        <v>0.99999999989999999</v>
      </c>
      <c r="M60">
        <v>0.69939085676430079</v>
      </c>
      <c r="N60">
        <v>0.16666666638888891</v>
      </c>
      <c r="O60">
        <v>0.87481406031779474</v>
      </c>
      <c r="P60">
        <v>0.20450276136398321</v>
      </c>
      <c r="Q60">
        <v>0.17136123776435849</v>
      </c>
      <c r="R60">
        <v>0.23446692526340479</v>
      </c>
      <c r="S60">
        <v>0</v>
      </c>
      <c r="T60">
        <v>0</v>
      </c>
      <c r="U60">
        <v>16.434932708740231</v>
      </c>
      <c r="V60">
        <v>2251</v>
      </c>
      <c r="W60">
        <v>374</v>
      </c>
      <c r="X60">
        <v>2625</v>
      </c>
      <c r="Y60">
        <v>0</v>
      </c>
      <c r="Z60">
        <v>5</v>
      </c>
      <c r="AA60">
        <v>16.434932708740231</v>
      </c>
    </row>
    <row r="61" spans="1:27" ht="409.5" hidden="1" x14ac:dyDescent="0.25">
      <c r="A61">
        <v>60</v>
      </c>
      <c r="B61" t="s">
        <v>326</v>
      </c>
      <c r="C61" t="s">
        <v>28</v>
      </c>
      <c r="D61" s="2" t="s">
        <v>353</v>
      </c>
      <c r="E61" s="2" t="s">
        <v>354</v>
      </c>
      <c r="F61" s="2" t="s">
        <v>355</v>
      </c>
      <c r="G61" s="2" t="s">
        <v>356</v>
      </c>
      <c r="H61" t="s">
        <v>357</v>
      </c>
      <c r="I61" t="s">
        <v>81</v>
      </c>
      <c r="J61" s="3">
        <v>0.75</v>
      </c>
      <c r="K61">
        <v>1</v>
      </c>
      <c r="L61">
        <v>0.32499999998375001</v>
      </c>
      <c r="M61">
        <v>0.82280428517910364</v>
      </c>
      <c r="N61">
        <v>0.37499999953125002</v>
      </c>
      <c r="O61">
        <v>0</v>
      </c>
      <c r="P61">
        <v>0.33476221561431879</v>
      </c>
      <c r="Q61">
        <v>0.34748458862304688</v>
      </c>
      <c r="R61">
        <v>0.31916195154190058</v>
      </c>
      <c r="S61">
        <v>0.25</v>
      </c>
      <c r="T61">
        <v>1</v>
      </c>
      <c r="U61">
        <v>10.19292211532593</v>
      </c>
      <c r="V61">
        <v>2247</v>
      </c>
      <c r="W61">
        <v>165</v>
      </c>
      <c r="X61">
        <v>2412</v>
      </c>
      <c r="Y61">
        <v>0</v>
      </c>
      <c r="Z61">
        <v>5</v>
      </c>
      <c r="AA61">
        <v>10.19292211532593</v>
      </c>
    </row>
    <row r="62" spans="1:27" ht="409.5" hidden="1" x14ac:dyDescent="0.25">
      <c r="A62">
        <v>61</v>
      </c>
      <c r="B62" t="s">
        <v>326</v>
      </c>
      <c r="C62" t="s">
        <v>28</v>
      </c>
      <c r="D62" s="2" t="s">
        <v>358</v>
      </c>
      <c r="E62" s="2" t="s">
        <v>359</v>
      </c>
      <c r="F62" s="2" t="s">
        <v>360</v>
      </c>
      <c r="G62" s="2" t="s">
        <v>361</v>
      </c>
      <c r="H62" t="s">
        <v>362</v>
      </c>
      <c r="I62" t="s">
        <v>92</v>
      </c>
      <c r="J62" s="5">
        <v>1</v>
      </c>
      <c r="K62">
        <v>1</v>
      </c>
      <c r="L62">
        <v>0.99999999995</v>
      </c>
      <c r="M62">
        <v>0.78838434954843939</v>
      </c>
      <c r="N62">
        <v>0.49999999950000001</v>
      </c>
      <c r="O62">
        <v>0</v>
      </c>
      <c r="P62">
        <v>0.19294227659702301</v>
      </c>
      <c r="Q62">
        <v>0.25964060425758362</v>
      </c>
      <c r="R62">
        <v>0.1243729144334793</v>
      </c>
      <c r="S62">
        <v>1</v>
      </c>
      <c r="T62">
        <v>1</v>
      </c>
      <c r="U62">
        <v>9.9949991703033447</v>
      </c>
      <c r="V62">
        <v>2255</v>
      </c>
      <c r="W62">
        <v>154</v>
      </c>
      <c r="X62">
        <v>2409</v>
      </c>
      <c r="Y62">
        <v>0</v>
      </c>
      <c r="Z62">
        <v>5</v>
      </c>
      <c r="AA62">
        <v>9.9949991703033447</v>
      </c>
    </row>
    <row r="63" spans="1:27" ht="409.5" hidden="1" x14ac:dyDescent="0.25">
      <c r="A63">
        <v>62</v>
      </c>
      <c r="B63" t="s">
        <v>326</v>
      </c>
      <c r="C63" t="s">
        <v>69</v>
      </c>
      <c r="D63" s="2" t="s">
        <v>363</v>
      </c>
      <c r="E63" s="2" t="s">
        <v>364</v>
      </c>
      <c r="F63" s="2" t="s">
        <v>365</v>
      </c>
      <c r="G63" s="2" t="s">
        <v>366</v>
      </c>
      <c r="H63" t="s">
        <v>367</v>
      </c>
      <c r="I63" t="s">
        <v>68</v>
      </c>
      <c r="J63" s="4">
        <v>0.25</v>
      </c>
      <c r="K63">
        <v>0</v>
      </c>
      <c r="L63">
        <v>0</v>
      </c>
      <c r="M63">
        <v>0.48324390853328331</v>
      </c>
      <c r="N63">
        <v>0</v>
      </c>
      <c r="O63">
        <v>0</v>
      </c>
      <c r="P63">
        <v>3.266984224319458E-2</v>
      </c>
      <c r="Q63">
        <v>0.167191356420517</v>
      </c>
      <c r="R63">
        <v>-9.9340610206127167E-2</v>
      </c>
      <c r="S63">
        <v>0</v>
      </c>
      <c r="T63">
        <v>0</v>
      </c>
      <c r="U63">
        <v>9.393613338470459</v>
      </c>
      <c r="V63">
        <v>2308</v>
      </c>
      <c r="W63">
        <v>136</v>
      </c>
      <c r="X63">
        <v>2444</v>
      </c>
      <c r="Y63">
        <v>0</v>
      </c>
      <c r="Z63">
        <v>5</v>
      </c>
      <c r="AA63">
        <v>9.393613338470459</v>
      </c>
    </row>
    <row r="64" spans="1:27" ht="409.5" hidden="1" x14ac:dyDescent="0.25">
      <c r="A64">
        <v>63</v>
      </c>
      <c r="B64" t="s">
        <v>326</v>
      </c>
      <c r="C64" t="s">
        <v>28</v>
      </c>
      <c r="D64" s="2" t="s">
        <v>368</v>
      </c>
      <c r="E64" s="2" t="s">
        <v>369</v>
      </c>
      <c r="F64" s="2" t="s">
        <v>370</v>
      </c>
      <c r="G64" s="2" t="s">
        <v>371</v>
      </c>
      <c r="H64" t="s">
        <v>372</v>
      </c>
      <c r="I64" t="s">
        <v>115</v>
      </c>
      <c r="J64" s="3">
        <v>0.66666666666666663</v>
      </c>
      <c r="K64">
        <v>1</v>
      </c>
      <c r="L64">
        <v>0.99999999989999999</v>
      </c>
      <c r="M64">
        <v>0.76105100584630569</v>
      </c>
      <c r="N64">
        <v>0.249999999375</v>
      </c>
      <c r="O64">
        <v>0</v>
      </c>
      <c r="P64">
        <v>0.19890788197517401</v>
      </c>
      <c r="Q64">
        <v>0.1313676834106445</v>
      </c>
      <c r="R64">
        <v>0.26450255513191218</v>
      </c>
      <c r="S64">
        <v>1</v>
      </c>
      <c r="T64">
        <v>1</v>
      </c>
      <c r="U64">
        <v>14.80739641189575</v>
      </c>
      <c r="V64">
        <v>2223</v>
      </c>
      <c r="W64">
        <v>215</v>
      </c>
      <c r="X64">
        <v>2438</v>
      </c>
      <c r="Y64">
        <v>0</v>
      </c>
      <c r="Z64">
        <v>5</v>
      </c>
      <c r="AA64">
        <v>14.80739641189575</v>
      </c>
    </row>
    <row r="65" spans="1:27" ht="409.5" x14ac:dyDescent="0.25">
      <c r="A65">
        <v>64</v>
      </c>
      <c r="B65" t="s">
        <v>326</v>
      </c>
      <c r="C65" t="s">
        <v>28</v>
      </c>
      <c r="D65" s="2" t="s">
        <v>373</v>
      </c>
      <c r="E65" s="2" t="s">
        <v>374</v>
      </c>
      <c r="F65" s="2" t="s">
        <v>375</v>
      </c>
      <c r="G65" s="2" t="s">
        <v>376</v>
      </c>
      <c r="H65" t="s">
        <v>377</v>
      </c>
      <c r="I65" t="s">
        <v>57</v>
      </c>
      <c r="J65" s="4">
        <v>0.375</v>
      </c>
      <c r="K65">
        <v>1</v>
      </c>
      <c r="L65">
        <v>0.499999999975</v>
      </c>
      <c r="M65">
        <v>0.62211589772789222</v>
      </c>
      <c r="N65">
        <v>0.79999999919999998</v>
      </c>
      <c r="O65">
        <v>0</v>
      </c>
      <c r="P65">
        <v>0.13724952936172491</v>
      </c>
      <c r="Q65">
        <v>0.27356019616127009</v>
      </c>
      <c r="R65">
        <v>3.9355698972940436E-3</v>
      </c>
      <c r="S65">
        <v>0.5</v>
      </c>
      <c r="T65">
        <v>1</v>
      </c>
      <c r="U65">
        <v>8.8667087554931641</v>
      </c>
      <c r="V65">
        <v>2295</v>
      </c>
      <c r="W65">
        <v>119</v>
      </c>
      <c r="X65">
        <v>2414</v>
      </c>
      <c r="Y65">
        <v>0</v>
      </c>
      <c r="Z65">
        <v>5</v>
      </c>
      <c r="AA65">
        <v>8.8667087554931641</v>
      </c>
    </row>
    <row r="66" spans="1:27" ht="409.5" hidden="1" x14ac:dyDescent="0.25">
      <c r="A66">
        <v>65</v>
      </c>
      <c r="B66" t="s">
        <v>326</v>
      </c>
      <c r="C66" t="s">
        <v>69</v>
      </c>
      <c r="D66" s="2" t="s">
        <v>378</v>
      </c>
      <c r="E66" s="2" t="s">
        <v>379</v>
      </c>
      <c r="F66" s="2" t="s">
        <v>380</v>
      </c>
      <c r="G66" s="2" t="s">
        <v>381</v>
      </c>
      <c r="H66" t="s">
        <v>382</v>
      </c>
      <c r="I66" t="s">
        <v>383</v>
      </c>
      <c r="J66" s="4">
        <v>0</v>
      </c>
      <c r="K66">
        <v>0.1875</v>
      </c>
      <c r="L66">
        <v>0.19999999998000001</v>
      </c>
      <c r="M66">
        <v>0.84714217679232573</v>
      </c>
      <c r="N66">
        <v>0.1034482758263971</v>
      </c>
      <c r="O66">
        <v>0.88587385023199561</v>
      </c>
      <c r="P66">
        <v>6.1494827270507813E-2</v>
      </c>
      <c r="Q66">
        <v>0.1523216366767883</v>
      </c>
      <c r="R66">
        <v>-3.0310377478599548E-2</v>
      </c>
      <c r="S66">
        <v>0</v>
      </c>
      <c r="T66">
        <v>0</v>
      </c>
      <c r="U66">
        <v>15.200915575027469</v>
      </c>
      <c r="V66">
        <v>2275</v>
      </c>
      <c r="W66">
        <v>324</v>
      </c>
      <c r="X66">
        <v>2599</v>
      </c>
      <c r="Y66">
        <v>0</v>
      </c>
      <c r="Z66">
        <v>5</v>
      </c>
      <c r="AA66">
        <v>15.200915575027469</v>
      </c>
    </row>
    <row r="67" spans="1:27" ht="409.5" hidden="1" x14ac:dyDescent="0.25">
      <c r="A67">
        <v>66</v>
      </c>
      <c r="B67" t="s">
        <v>326</v>
      </c>
      <c r="C67" t="s">
        <v>28</v>
      </c>
      <c r="D67" s="2" t="s">
        <v>384</v>
      </c>
      <c r="E67" s="2" t="s">
        <v>385</v>
      </c>
      <c r="F67" s="2" t="s">
        <v>386</v>
      </c>
      <c r="G67" s="2" t="s">
        <v>387</v>
      </c>
      <c r="H67" t="s">
        <v>388</v>
      </c>
      <c r="I67" t="s">
        <v>34</v>
      </c>
      <c r="J67" s="4">
        <v>0.33333333333333331</v>
      </c>
      <c r="K67">
        <v>1</v>
      </c>
      <c r="L67">
        <v>0.49999999995</v>
      </c>
      <c r="M67">
        <v>0.65714507324693938</v>
      </c>
      <c r="N67">
        <v>0.39999999920000001</v>
      </c>
      <c r="O67">
        <v>0.88805708036762976</v>
      </c>
      <c r="P67">
        <v>0.24177482724189761</v>
      </c>
      <c r="Q67">
        <v>0.28412544727325439</v>
      </c>
      <c r="R67">
        <v>0.19676923751831049</v>
      </c>
      <c r="S67">
        <v>0.5</v>
      </c>
      <c r="T67">
        <v>1</v>
      </c>
      <c r="U67">
        <v>8.569338321685791</v>
      </c>
      <c r="V67">
        <v>2242</v>
      </c>
      <c r="W67">
        <v>105</v>
      </c>
      <c r="X67">
        <v>2347</v>
      </c>
      <c r="Y67">
        <v>0</v>
      </c>
      <c r="Z67">
        <v>5</v>
      </c>
      <c r="AA67">
        <v>8.569338321685791</v>
      </c>
    </row>
    <row r="68" spans="1:27" ht="409.5" hidden="1" x14ac:dyDescent="0.25">
      <c r="A68">
        <v>67</v>
      </c>
      <c r="B68" t="s">
        <v>326</v>
      </c>
      <c r="C68" t="s">
        <v>28</v>
      </c>
      <c r="D68" s="2" t="s">
        <v>389</v>
      </c>
      <c r="E68" s="2" t="s">
        <v>390</v>
      </c>
      <c r="F68" s="2" t="s">
        <v>391</v>
      </c>
      <c r="G68" s="2" t="s">
        <v>392</v>
      </c>
      <c r="H68" t="s">
        <v>393</v>
      </c>
      <c r="I68" t="s">
        <v>109</v>
      </c>
      <c r="J68" s="5">
        <v>0.8</v>
      </c>
      <c r="K68">
        <v>1</v>
      </c>
      <c r="L68">
        <v>0.99999999995</v>
      </c>
      <c r="M68">
        <v>0.70399674650446964</v>
      </c>
      <c r="N68">
        <v>0.49999999937499989</v>
      </c>
      <c r="O68">
        <v>0</v>
      </c>
      <c r="P68">
        <v>0.14105257391929629</v>
      </c>
      <c r="Q68">
        <v>0.1989964693784714</v>
      </c>
      <c r="R68">
        <v>8.0621160566806793E-2</v>
      </c>
      <c r="S68">
        <v>1</v>
      </c>
      <c r="T68">
        <v>1</v>
      </c>
      <c r="U68">
        <v>10.401450157165529</v>
      </c>
      <c r="V68">
        <v>2227</v>
      </c>
      <c r="W68">
        <v>134</v>
      </c>
      <c r="X68">
        <v>2361</v>
      </c>
      <c r="Y68">
        <v>0</v>
      </c>
      <c r="Z68">
        <v>5</v>
      </c>
      <c r="AA68">
        <v>10.401450157165529</v>
      </c>
    </row>
    <row r="69" spans="1:27" ht="409.5" hidden="1" x14ac:dyDescent="0.25">
      <c r="A69">
        <v>68</v>
      </c>
      <c r="B69" t="s">
        <v>326</v>
      </c>
      <c r="C69" t="s">
        <v>28</v>
      </c>
      <c r="D69" s="2" t="s">
        <v>394</v>
      </c>
      <c r="E69" s="2" t="s">
        <v>395</v>
      </c>
      <c r="F69" s="2" t="s">
        <v>396</v>
      </c>
      <c r="G69" s="2" t="s">
        <v>397</v>
      </c>
      <c r="H69" t="s">
        <v>398</v>
      </c>
      <c r="I69" t="s">
        <v>253</v>
      </c>
      <c r="J69" s="5">
        <v>0.8571428571428571</v>
      </c>
      <c r="K69">
        <v>1</v>
      </c>
      <c r="L69">
        <v>0.80416666664656256</v>
      </c>
      <c r="M69">
        <v>0.89263590765448275</v>
      </c>
      <c r="N69">
        <v>0.79999999919999998</v>
      </c>
      <c r="O69">
        <v>0.9386098902787241</v>
      </c>
      <c r="P69">
        <v>0.3742060661315918</v>
      </c>
      <c r="Q69">
        <v>0.32067525386810303</v>
      </c>
      <c r="R69">
        <v>0.42593026161193848</v>
      </c>
      <c r="S69">
        <v>1</v>
      </c>
      <c r="T69">
        <v>1</v>
      </c>
      <c r="U69">
        <v>20.791387557983398</v>
      </c>
      <c r="V69">
        <v>2225</v>
      </c>
      <c r="W69">
        <v>295</v>
      </c>
      <c r="X69">
        <v>2520</v>
      </c>
      <c r="Y69">
        <v>0</v>
      </c>
      <c r="Z69">
        <v>5</v>
      </c>
      <c r="AA69">
        <v>20.791387557983398</v>
      </c>
    </row>
    <row r="70" spans="1:27" ht="409.5" hidden="1" x14ac:dyDescent="0.25">
      <c r="A70">
        <v>69</v>
      </c>
      <c r="B70" t="s">
        <v>326</v>
      </c>
      <c r="C70" t="s">
        <v>28</v>
      </c>
      <c r="D70" s="2" t="s">
        <v>399</v>
      </c>
      <c r="E70" s="2" t="s">
        <v>400</v>
      </c>
      <c r="F70" s="2" t="s">
        <v>401</v>
      </c>
      <c r="G70" s="2" t="s">
        <v>402</v>
      </c>
      <c r="H70" t="s">
        <v>403</v>
      </c>
      <c r="I70" t="s">
        <v>41</v>
      </c>
      <c r="J70" s="4">
        <v>0.125</v>
      </c>
      <c r="K70">
        <v>1</v>
      </c>
      <c r="L70">
        <v>0.99999999995</v>
      </c>
      <c r="M70">
        <v>0.51423271312590957</v>
      </c>
      <c r="N70">
        <v>0.4999999995833333</v>
      </c>
      <c r="O70">
        <v>0</v>
      </c>
      <c r="P70">
        <v>1.6085738316178318E-2</v>
      </c>
      <c r="Q70">
        <v>1.991221867501736E-2</v>
      </c>
      <c r="R70">
        <v>7.9048788174986839E-3</v>
      </c>
      <c r="S70">
        <v>1</v>
      </c>
      <c r="T70">
        <v>1</v>
      </c>
      <c r="U70">
        <v>11.062758207321171</v>
      </c>
      <c r="V70">
        <v>2139</v>
      </c>
      <c r="W70">
        <v>169</v>
      </c>
      <c r="X70">
        <v>2308</v>
      </c>
      <c r="Y70">
        <v>0</v>
      </c>
      <c r="Z70">
        <v>5</v>
      </c>
      <c r="AA70">
        <v>11.062758207321171</v>
      </c>
    </row>
    <row r="71" spans="1:27" ht="409.5" hidden="1" x14ac:dyDescent="0.25">
      <c r="A71">
        <v>70</v>
      </c>
      <c r="B71" t="s">
        <v>135</v>
      </c>
      <c r="C71" t="s">
        <v>28</v>
      </c>
      <c r="D71" s="2" t="s">
        <v>404</v>
      </c>
      <c r="E71" s="2" t="s">
        <v>405</v>
      </c>
      <c r="F71" s="2" t="s">
        <v>406</v>
      </c>
      <c r="G71" s="2" t="s">
        <v>407</v>
      </c>
      <c r="H71" t="s">
        <v>408</v>
      </c>
      <c r="I71" t="s">
        <v>156</v>
      </c>
      <c r="J71" s="3">
        <v>0.72727272727272729</v>
      </c>
      <c r="K71">
        <v>1</v>
      </c>
      <c r="L71">
        <v>0.99999999996666666</v>
      </c>
      <c r="M71">
        <v>0.72605930726879708</v>
      </c>
      <c r="N71">
        <v>0.33333333296296291</v>
      </c>
      <c r="O71">
        <v>0</v>
      </c>
      <c r="P71">
        <v>0.1318155974149704</v>
      </c>
      <c r="Q71">
        <v>0.1795760095119476</v>
      </c>
      <c r="R71">
        <v>8.1122055649757385E-2</v>
      </c>
      <c r="S71">
        <v>1</v>
      </c>
      <c r="T71">
        <v>1</v>
      </c>
      <c r="U71">
        <v>14.85893726348877</v>
      </c>
      <c r="V71">
        <v>2144</v>
      </c>
      <c r="W71">
        <v>264</v>
      </c>
      <c r="X71">
        <v>2408</v>
      </c>
      <c r="Y71">
        <v>0</v>
      </c>
      <c r="Z71">
        <v>5</v>
      </c>
      <c r="AA71">
        <v>14.85893726348877</v>
      </c>
    </row>
    <row r="72" spans="1:27" ht="409.5" hidden="1" x14ac:dyDescent="0.25">
      <c r="A72">
        <v>71</v>
      </c>
      <c r="B72" t="s">
        <v>135</v>
      </c>
      <c r="C72" t="s">
        <v>69</v>
      </c>
      <c r="D72" s="2" t="s">
        <v>409</v>
      </c>
      <c r="E72" s="2" t="s">
        <v>410</v>
      </c>
      <c r="F72" s="2" t="s">
        <v>411</v>
      </c>
      <c r="G72" s="2" t="s">
        <v>412</v>
      </c>
      <c r="H72" t="s">
        <v>413</v>
      </c>
      <c r="I72" t="s">
        <v>253</v>
      </c>
      <c r="J72" s="3">
        <v>0.66666666666666663</v>
      </c>
      <c r="K72">
        <v>1</v>
      </c>
      <c r="L72">
        <v>0.69999999997666673</v>
      </c>
      <c r="M72">
        <v>0.55466631844301029</v>
      </c>
      <c r="N72">
        <v>0.37499999976562498</v>
      </c>
      <c r="O72">
        <v>0</v>
      </c>
      <c r="P72">
        <v>7.4772767722606659E-2</v>
      </c>
      <c r="Q72">
        <v>0.1891206502914429</v>
      </c>
      <c r="R72">
        <v>-3.8742471486330032E-2</v>
      </c>
      <c r="S72">
        <v>1</v>
      </c>
      <c r="T72">
        <v>1</v>
      </c>
      <c r="U72">
        <v>8.7065162658691406</v>
      </c>
      <c r="V72">
        <v>2253</v>
      </c>
      <c r="W72">
        <v>111</v>
      </c>
      <c r="X72">
        <v>2364</v>
      </c>
      <c r="Y72">
        <v>0</v>
      </c>
      <c r="Z72">
        <v>5</v>
      </c>
      <c r="AA72">
        <v>8.7065162658691406</v>
      </c>
    </row>
    <row r="73" spans="1:27" ht="409.5" hidden="1" x14ac:dyDescent="0.25">
      <c r="A73">
        <v>72</v>
      </c>
      <c r="B73" t="s">
        <v>135</v>
      </c>
      <c r="C73" t="s">
        <v>28</v>
      </c>
      <c r="D73" s="2" t="s">
        <v>414</v>
      </c>
      <c r="E73" s="2" t="s">
        <v>415</v>
      </c>
      <c r="F73" s="2" t="s">
        <v>416</v>
      </c>
      <c r="G73" s="2" t="s">
        <v>417</v>
      </c>
      <c r="H73" t="s">
        <v>418</v>
      </c>
      <c r="I73" t="s">
        <v>41</v>
      </c>
      <c r="J73" s="5">
        <v>1</v>
      </c>
      <c r="K73">
        <v>0.66666666666666663</v>
      </c>
      <c r="L73">
        <v>0.99999999998</v>
      </c>
      <c r="M73">
        <v>0.86906182094494266</v>
      </c>
      <c r="N73">
        <v>0.66666666444444445</v>
      </c>
      <c r="O73">
        <v>0.90157275285621197</v>
      </c>
      <c r="P73">
        <v>0.29429534077644348</v>
      </c>
      <c r="Q73">
        <v>0.30379623174667358</v>
      </c>
      <c r="R73">
        <v>0.28170710802078253</v>
      </c>
      <c r="S73">
        <v>0.33333333333333331</v>
      </c>
      <c r="T73">
        <v>1</v>
      </c>
      <c r="U73">
        <v>12.16862988471985</v>
      </c>
      <c r="V73">
        <v>2194</v>
      </c>
      <c r="W73">
        <v>218</v>
      </c>
      <c r="X73">
        <v>2412</v>
      </c>
      <c r="Y73">
        <v>0</v>
      </c>
      <c r="Z73">
        <v>5</v>
      </c>
      <c r="AA73">
        <v>12.16862988471985</v>
      </c>
    </row>
    <row r="74" spans="1:27" ht="409.5" hidden="1" x14ac:dyDescent="0.25">
      <c r="A74">
        <v>73</v>
      </c>
      <c r="B74" t="s">
        <v>135</v>
      </c>
      <c r="C74" t="s">
        <v>28</v>
      </c>
      <c r="D74" s="2" t="s">
        <v>419</v>
      </c>
      <c r="E74" s="2" t="s">
        <v>420</v>
      </c>
      <c r="F74" s="2" t="s">
        <v>421</v>
      </c>
      <c r="G74" s="2" t="s">
        <v>422</v>
      </c>
      <c r="H74" t="s">
        <v>423</v>
      </c>
      <c r="I74" t="s">
        <v>57</v>
      </c>
      <c r="J74" s="4">
        <v>0</v>
      </c>
      <c r="K74">
        <v>1</v>
      </c>
      <c r="L74">
        <v>0.999999999975</v>
      </c>
      <c r="M74">
        <v>0.18945882749640741</v>
      </c>
      <c r="N74">
        <v>0.29999999970000002</v>
      </c>
      <c r="O74">
        <v>0</v>
      </c>
      <c r="P74">
        <v>-1.39076504856348E-2</v>
      </c>
      <c r="Q74">
        <v>0.15137965977191931</v>
      </c>
      <c r="R74">
        <v>-0.17350877821445471</v>
      </c>
      <c r="S74">
        <v>1</v>
      </c>
      <c r="T74">
        <v>1</v>
      </c>
      <c r="U74">
        <v>8.6442036628723145</v>
      </c>
      <c r="V74">
        <v>2260</v>
      </c>
      <c r="W74">
        <v>88</v>
      </c>
      <c r="X74">
        <v>2348</v>
      </c>
      <c r="Y74">
        <v>0</v>
      </c>
      <c r="Z74">
        <v>5</v>
      </c>
      <c r="AA74">
        <v>8.6442036628723145</v>
      </c>
    </row>
    <row r="75" spans="1:27" ht="409.5" hidden="1" x14ac:dyDescent="0.25">
      <c r="A75">
        <v>74</v>
      </c>
      <c r="B75" t="s">
        <v>135</v>
      </c>
      <c r="C75" t="s">
        <v>28</v>
      </c>
      <c r="D75" s="2" t="s">
        <v>424</v>
      </c>
      <c r="E75" s="2" t="s">
        <v>425</v>
      </c>
      <c r="F75" s="2" t="s">
        <v>426</v>
      </c>
      <c r="G75" s="2" t="s">
        <v>427</v>
      </c>
      <c r="H75" t="s">
        <v>428</v>
      </c>
      <c r="I75" t="s">
        <v>41</v>
      </c>
      <c r="J75" s="3">
        <v>0.7</v>
      </c>
      <c r="K75">
        <v>0.4</v>
      </c>
      <c r="L75">
        <v>0.8666666666377778</v>
      </c>
      <c r="M75">
        <v>0.84786694639540416</v>
      </c>
      <c r="N75">
        <v>0.28571428557823131</v>
      </c>
      <c r="O75">
        <v>0</v>
      </c>
      <c r="P75">
        <v>9.2812754213809967E-2</v>
      </c>
      <c r="Q75">
        <v>0.13761581480503079</v>
      </c>
      <c r="R75">
        <v>4.480728879570961E-2</v>
      </c>
      <c r="S75">
        <v>0</v>
      </c>
      <c r="T75">
        <v>0</v>
      </c>
      <c r="U75">
        <v>12.29025435447693</v>
      </c>
      <c r="V75">
        <v>2254</v>
      </c>
      <c r="W75">
        <v>239</v>
      </c>
      <c r="X75">
        <v>2493</v>
      </c>
      <c r="Y75">
        <v>0</v>
      </c>
      <c r="Z75">
        <v>5</v>
      </c>
      <c r="AA75">
        <v>12.29025435447693</v>
      </c>
    </row>
    <row r="76" spans="1:27" ht="409.5" hidden="1" x14ac:dyDescent="0.25">
      <c r="A76">
        <v>75</v>
      </c>
      <c r="B76" t="s">
        <v>135</v>
      </c>
      <c r="C76" t="s">
        <v>28</v>
      </c>
      <c r="D76" s="2" t="s">
        <v>429</v>
      </c>
      <c r="E76" s="2" t="s">
        <v>430</v>
      </c>
      <c r="F76" s="2" t="s">
        <v>431</v>
      </c>
      <c r="G76" s="2" t="s">
        <v>432</v>
      </c>
      <c r="H76" t="s">
        <v>433</v>
      </c>
      <c r="I76" t="s">
        <v>109</v>
      </c>
      <c r="J76" s="3">
        <v>0.76470588235294112</v>
      </c>
      <c r="K76">
        <v>1</v>
      </c>
      <c r="L76">
        <v>0.83333333329166659</v>
      </c>
      <c r="M76">
        <v>0.80001276709894276</v>
      </c>
      <c r="N76">
        <v>0.84615384550295858</v>
      </c>
      <c r="O76">
        <v>0.82737110760892163</v>
      </c>
      <c r="P76">
        <v>0.25743469595909119</v>
      </c>
      <c r="Q76">
        <v>0.2503737211227417</v>
      </c>
      <c r="R76">
        <v>0.26120653748512268</v>
      </c>
      <c r="S76">
        <v>0.33333333333333331</v>
      </c>
      <c r="T76">
        <v>1</v>
      </c>
      <c r="U76">
        <v>13.20221209526062</v>
      </c>
      <c r="V76">
        <v>2065</v>
      </c>
      <c r="W76">
        <v>260</v>
      </c>
      <c r="X76">
        <v>2325</v>
      </c>
      <c r="Y76">
        <v>0</v>
      </c>
      <c r="Z76">
        <v>5</v>
      </c>
      <c r="AA76">
        <v>13.20221209526062</v>
      </c>
    </row>
    <row r="77" spans="1:27" ht="409.5" hidden="1" x14ac:dyDescent="0.25">
      <c r="A77">
        <v>76</v>
      </c>
      <c r="B77" t="s">
        <v>27</v>
      </c>
      <c r="C77" t="s">
        <v>28</v>
      </c>
      <c r="D77" s="2" t="s">
        <v>434</v>
      </c>
      <c r="E77" s="2" t="s">
        <v>435</v>
      </c>
      <c r="F77" s="2" t="s">
        <v>436</v>
      </c>
      <c r="G77" s="2" t="s">
        <v>437</v>
      </c>
      <c r="H77" t="s">
        <v>438</v>
      </c>
      <c r="I77" t="s">
        <v>439</v>
      </c>
      <c r="J77" s="4">
        <v>0.1333333333333333</v>
      </c>
      <c r="K77">
        <v>0.33333333333333331</v>
      </c>
      <c r="L77">
        <v>0.19999999998000001</v>
      </c>
      <c r="M77">
        <v>0.69245682323467594</v>
      </c>
      <c r="N77">
        <v>6.2499999960937497E-2</v>
      </c>
      <c r="O77">
        <v>0.83293559922645721</v>
      </c>
      <c r="P77">
        <v>0.15775766968727109</v>
      </c>
      <c r="Q77">
        <v>0.18512916564941409</v>
      </c>
      <c r="R77">
        <v>0.1269707977771759</v>
      </c>
      <c r="S77">
        <v>0</v>
      </c>
      <c r="T77">
        <v>0</v>
      </c>
      <c r="U77">
        <v>18.17213606834412</v>
      </c>
      <c r="V77">
        <v>2374</v>
      </c>
      <c r="W77">
        <v>343</v>
      </c>
      <c r="X77">
        <v>2717</v>
      </c>
      <c r="Y77">
        <v>0</v>
      </c>
      <c r="Z77">
        <v>5</v>
      </c>
      <c r="AA77">
        <v>18.17213606834412</v>
      </c>
    </row>
    <row r="78" spans="1:27" ht="409.5" hidden="1" x14ac:dyDescent="0.25">
      <c r="A78">
        <v>77</v>
      </c>
      <c r="B78" t="s">
        <v>27</v>
      </c>
      <c r="C78" t="s">
        <v>28</v>
      </c>
      <c r="D78" s="2" t="s">
        <v>440</v>
      </c>
      <c r="E78" s="2" t="s">
        <v>441</v>
      </c>
      <c r="F78" s="2" t="s">
        <v>442</v>
      </c>
      <c r="G78" s="2" t="s">
        <v>443</v>
      </c>
      <c r="H78" t="s">
        <v>444</v>
      </c>
      <c r="I78" t="s">
        <v>134</v>
      </c>
      <c r="J78" s="4">
        <v>0.33333333333333331</v>
      </c>
      <c r="K78">
        <v>0.75</v>
      </c>
      <c r="L78">
        <v>0.33333333329999998</v>
      </c>
      <c r="M78">
        <v>0.67621682831819341</v>
      </c>
      <c r="N78">
        <v>0</v>
      </c>
      <c r="O78">
        <v>0.83228632813211545</v>
      </c>
      <c r="P78">
        <v>0.231357216835022</v>
      </c>
      <c r="Q78">
        <v>0.23468367755413061</v>
      </c>
      <c r="R78">
        <v>0.22462780773639679</v>
      </c>
      <c r="S78">
        <v>0</v>
      </c>
      <c r="T78">
        <v>0</v>
      </c>
      <c r="U78">
        <v>10.07606101036072</v>
      </c>
      <c r="V78">
        <v>2310</v>
      </c>
      <c r="W78">
        <v>173</v>
      </c>
      <c r="X78">
        <v>2483</v>
      </c>
      <c r="Y78">
        <v>0</v>
      </c>
      <c r="Z78">
        <v>5</v>
      </c>
      <c r="AA78">
        <v>10.07606101036072</v>
      </c>
    </row>
    <row r="79" spans="1:27" ht="409.5" hidden="1" x14ac:dyDescent="0.25">
      <c r="A79">
        <v>78</v>
      </c>
      <c r="B79" t="s">
        <v>27</v>
      </c>
      <c r="C79" t="s">
        <v>28</v>
      </c>
      <c r="D79" s="2" t="s">
        <v>445</v>
      </c>
      <c r="E79" s="2" t="s">
        <v>446</v>
      </c>
      <c r="F79" s="2" t="s">
        <v>447</v>
      </c>
      <c r="G79" s="2" t="s">
        <v>448</v>
      </c>
      <c r="H79" t="s">
        <v>449</v>
      </c>
      <c r="I79" t="s">
        <v>41</v>
      </c>
      <c r="J79" s="3">
        <v>0.77777777777777779</v>
      </c>
      <c r="K79">
        <v>1</v>
      </c>
      <c r="L79">
        <v>0.999999999975</v>
      </c>
      <c r="M79">
        <v>0.79090814238222629</v>
      </c>
      <c r="N79">
        <v>0.19999999979999999</v>
      </c>
      <c r="O79">
        <v>0.85637582283262115</v>
      </c>
      <c r="P79">
        <v>0.39039281010627752</v>
      </c>
      <c r="Q79">
        <v>0.29083305597305298</v>
      </c>
      <c r="R79">
        <v>0.49077430367469788</v>
      </c>
      <c r="S79">
        <v>0.33333333333333331</v>
      </c>
      <c r="T79">
        <v>1</v>
      </c>
      <c r="U79">
        <v>13.28806209564209</v>
      </c>
      <c r="V79">
        <v>2358</v>
      </c>
      <c r="W79">
        <v>234</v>
      </c>
      <c r="X79">
        <v>2592</v>
      </c>
      <c r="Y79">
        <v>0</v>
      </c>
      <c r="Z79">
        <v>5</v>
      </c>
      <c r="AA79">
        <v>13.28806209564209</v>
      </c>
    </row>
    <row r="80" spans="1:27" ht="409.5" hidden="1" x14ac:dyDescent="0.25">
      <c r="A80">
        <v>79</v>
      </c>
      <c r="B80" t="s">
        <v>199</v>
      </c>
      <c r="C80" t="s">
        <v>28</v>
      </c>
      <c r="D80" s="2" t="s">
        <v>450</v>
      </c>
      <c r="E80" s="2" t="s">
        <v>451</v>
      </c>
      <c r="F80" s="2" t="s">
        <v>452</v>
      </c>
      <c r="G80" s="2" t="s">
        <v>453</v>
      </c>
      <c r="H80" t="s">
        <v>454</v>
      </c>
      <c r="I80" t="s">
        <v>68</v>
      </c>
      <c r="J80" s="3">
        <v>0.66666666666666663</v>
      </c>
      <c r="K80">
        <v>0.5</v>
      </c>
      <c r="L80">
        <v>0.49999999995</v>
      </c>
      <c r="M80">
        <v>0.68246602917525068</v>
      </c>
      <c r="N80">
        <v>0</v>
      </c>
      <c r="O80">
        <v>0.7955820483048136</v>
      </c>
      <c r="P80">
        <v>0.40890228748321528</v>
      </c>
      <c r="Q80">
        <v>0.25472456216812128</v>
      </c>
      <c r="R80">
        <v>0.56918168067932129</v>
      </c>
      <c r="S80">
        <v>0</v>
      </c>
      <c r="T80">
        <v>0</v>
      </c>
      <c r="U80">
        <v>8.1647021770477295</v>
      </c>
      <c r="V80">
        <v>2354</v>
      </c>
      <c r="W80">
        <v>101</v>
      </c>
      <c r="X80">
        <v>2455</v>
      </c>
      <c r="Y80">
        <v>0</v>
      </c>
      <c r="Z80">
        <v>5</v>
      </c>
      <c r="AA80">
        <v>8.1647021770477295</v>
      </c>
    </row>
    <row r="81" spans="1:27" ht="409.5" hidden="1" x14ac:dyDescent="0.25">
      <c r="A81">
        <v>80</v>
      </c>
      <c r="B81" t="s">
        <v>199</v>
      </c>
      <c r="C81" t="s">
        <v>69</v>
      </c>
      <c r="D81" s="2" t="s">
        <v>455</v>
      </c>
      <c r="E81" s="2" t="s">
        <v>456</v>
      </c>
      <c r="F81" s="2" t="s">
        <v>457</v>
      </c>
      <c r="G81" s="2" t="s">
        <v>458</v>
      </c>
      <c r="H81" t="s">
        <v>459</v>
      </c>
      <c r="I81" t="s">
        <v>98</v>
      </c>
      <c r="J81" s="3">
        <v>0.66666666666666663</v>
      </c>
      <c r="K81">
        <v>0.4</v>
      </c>
      <c r="L81">
        <v>0.58333333330416659</v>
      </c>
      <c r="M81">
        <v>0.81181814922981455</v>
      </c>
      <c r="N81">
        <v>9.9999999899999997E-2</v>
      </c>
      <c r="O81">
        <v>0.85333281838257757</v>
      </c>
      <c r="P81">
        <v>0.208924800157547</v>
      </c>
      <c r="Q81">
        <v>0.22578763961791989</v>
      </c>
      <c r="R81">
        <v>0.18868120014667511</v>
      </c>
      <c r="S81">
        <v>0</v>
      </c>
      <c r="T81">
        <v>0</v>
      </c>
      <c r="U81">
        <v>12.93023729324341</v>
      </c>
      <c r="V81">
        <v>2135</v>
      </c>
      <c r="W81">
        <v>288</v>
      </c>
      <c r="X81">
        <v>2423</v>
      </c>
      <c r="Y81">
        <v>0</v>
      </c>
      <c r="Z81">
        <v>5</v>
      </c>
      <c r="AA81">
        <v>12.93023729324341</v>
      </c>
    </row>
    <row r="82" spans="1:27" ht="409.5" hidden="1" x14ac:dyDescent="0.25">
      <c r="A82">
        <v>81</v>
      </c>
      <c r="B82" t="s">
        <v>199</v>
      </c>
      <c r="C82" t="s">
        <v>28</v>
      </c>
      <c r="D82" s="2" t="s">
        <v>460</v>
      </c>
      <c r="E82" s="2" t="s">
        <v>461</v>
      </c>
      <c r="F82" s="2" t="s">
        <v>462</v>
      </c>
      <c r="G82" s="2" t="s">
        <v>463</v>
      </c>
      <c r="H82" t="s">
        <v>464</v>
      </c>
      <c r="I82" t="s">
        <v>57</v>
      </c>
      <c r="J82" s="4">
        <v>0.53333333333333333</v>
      </c>
      <c r="K82">
        <v>1</v>
      </c>
      <c r="L82">
        <v>0.94999999997624995</v>
      </c>
      <c r="M82">
        <v>0.80629623587646959</v>
      </c>
      <c r="N82">
        <v>0.46153846118343189</v>
      </c>
      <c r="O82">
        <v>0.84641502953054637</v>
      </c>
      <c r="P82">
        <v>0.2167318016290665</v>
      </c>
      <c r="Q82">
        <v>0.15869733691215521</v>
      </c>
      <c r="R82">
        <v>0.27245861291885382</v>
      </c>
      <c r="S82">
        <v>1</v>
      </c>
      <c r="T82">
        <v>1</v>
      </c>
      <c r="U82">
        <v>26.744636058807369</v>
      </c>
      <c r="V82">
        <v>2079</v>
      </c>
      <c r="W82">
        <v>316</v>
      </c>
      <c r="X82">
        <v>2395</v>
      </c>
      <c r="Y82">
        <v>0</v>
      </c>
      <c r="Z82">
        <v>5</v>
      </c>
      <c r="AA82">
        <v>26.744636058807369</v>
      </c>
    </row>
    <row r="83" spans="1:27" ht="409.5" hidden="1" x14ac:dyDescent="0.25">
      <c r="A83">
        <v>82</v>
      </c>
      <c r="B83" t="s">
        <v>199</v>
      </c>
      <c r="C83" t="s">
        <v>69</v>
      </c>
      <c r="D83" s="2" t="s">
        <v>465</v>
      </c>
      <c r="E83" s="2" t="s">
        <v>466</v>
      </c>
      <c r="F83" s="2" t="s">
        <v>467</v>
      </c>
      <c r="G83" s="2" t="s">
        <v>468</v>
      </c>
      <c r="H83" t="s">
        <v>469</v>
      </c>
      <c r="I83" t="s">
        <v>98</v>
      </c>
      <c r="J83" s="5">
        <v>1</v>
      </c>
      <c r="K83">
        <v>0.25</v>
      </c>
      <c r="L83">
        <v>0.99999999995</v>
      </c>
      <c r="M83">
        <v>0.69682657766646461</v>
      </c>
      <c r="N83">
        <v>0</v>
      </c>
      <c r="O83">
        <v>0.81791409287956018</v>
      </c>
      <c r="P83">
        <v>9.5945768058300018E-2</v>
      </c>
      <c r="Q83">
        <v>5.7564940303564072E-2</v>
      </c>
      <c r="R83">
        <v>0.13080292940139771</v>
      </c>
      <c r="S83">
        <v>0</v>
      </c>
      <c r="T83">
        <v>0</v>
      </c>
      <c r="U83">
        <v>12.720175743103029</v>
      </c>
      <c r="V83">
        <v>2185</v>
      </c>
      <c r="W83">
        <v>253</v>
      </c>
      <c r="X83">
        <v>2438</v>
      </c>
      <c r="Y83">
        <v>0</v>
      </c>
      <c r="Z83">
        <v>5</v>
      </c>
      <c r="AA83">
        <v>12.720175743103029</v>
      </c>
    </row>
    <row r="84" spans="1:27" ht="409.5" hidden="1" x14ac:dyDescent="0.25">
      <c r="A84">
        <v>83</v>
      </c>
      <c r="B84" t="s">
        <v>199</v>
      </c>
      <c r="C84" t="s">
        <v>69</v>
      </c>
      <c r="D84" s="2" t="s">
        <v>470</v>
      </c>
      <c r="E84" s="2" t="s">
        <v>471</v>
      </c>
      <c r="F84" s="2" t="s">
        <v>472</v>
      </c>
      <c r="G84" s="2" t="s">
        <v>473</v>
      </c>
      <c r="H84" t="s">
        <v>474</v>
      </c>
      <c r="I84" t="s">
        <v>68</v>
      </c>
      <c r="J84" s="4">
        <v>0</v>
      </c>
      <c r="K84">
        <v>0</v>
      </c>
      <c r="L84">
        <v>0</v>
      </c>
      <c r="M84">
        <v>0.80692212470331892</v>
      </c>
      <c r="N84">
        <v>0</v>
      </c>
      <c r="O84">
        <v>0.91732788923839481</v>
      </c>
      <c r="P84">
        <v>0.1433250159025192</v>
      </c>
      <c r="Q84">
        <v>0.1379391998052597</v>
      </c>
      <c r="R84">
        <v>0.14490832388401029</v>
      </c>
      <c r="S84">
        <v>0</v>
      </c>
      <c r="T84">
        <v>0</v>
      </c>
      <c r="U84">
        <v>12.37437415122986</v>
      </c>
      <c r="V84">
        <v>2094</v>
      </c>
      <c r="W84">
        <v>246</v>
      </c>
      <c r="X84">
        <v>2340</v>
      </c>
      <c r="Y84">
        <v>0</v>
      </c>
      <c r="Z84">
        <v>5</v>
      </c>
      <c r="AA84">
        <v>12.37437415122986</v>
      </c>
    </row>
    <row r="85" spans="1:27" ht="409.5" hidden="1" x14ac:dyDescent="0.25">
      <c r="A85">
        <v>84</v>
      </c>
      <c r="B85" t="s">
        <v>199</v>
      </c>
      <c r="C85" t="s">
        <v>28</v>
      </c>
      <c r="D85" s="2" t="s">
        <v>475</v>
      </c>
      <c r="E85" s="2" t="s">
        <v>476</v>
      </c>
      <c r="F85" s="2" t="s">
        <v>477</v>
      </c>
      <c r="G85" s="2" t="s">
        <v>478</v>
      </c>
      <c r="H85" t="s">
        <v>479</v>
      </c>
      <c r="I85" t="s">
        <v>253</v>
      </c>
      <c r="J85" s="5">
        <v>1</v>
      </c>
      <c r="K85">
        <v>0.8</v>
      </c>
      <c r="L85">
        <v>0.69999999996499995</v>
      </c>
      <c r="M85">
        <v>0.71183094080673315</v>
      </c>
      <c r="N85">
        <v>0</v>
      </c>
      <c r="O85">
        <v>0.91771393646548582</v>
      </c>
      <c r="P85">
        <v>0.18816803395748141</v>
      </c>
      <c r="Q85">
        <v>0.14804680645465851</v>
      </c>
      <c r="R85">
        <v>0.22522102296352389</v>
      </c>
      <c r="S85">
        <v>1</v>
      </c>
      <c r="T85">
        <v>1</v>
      </c>
      <c r="U85">
        <v>20.056903839111332</v>
      </c>
      <c r="V85">
        <v>2108</v>
      </c>
      <c r="W85">
        <v>298</v>
      </c>
      <c r="X85">
        <v>2406</v>
      </c>
      <c r="Y85">
        <v>0</v>
      </c>
      <c r="Z85">
        <v>5</v>
      </c>
      <c r="AA85">
        <v>20.056903839111332</v>
      </c>
    </row>
    <row r="86" spans="1:27" ht="409.5" hidden="1" x14ac:dyDescent="0.25">
      <c r="A86">
        <v>85</v>
      </c>
      <c r="B86" t="s">
        <v>480</v>
      </c>
      <c r="C86" t="s">
        <v>35</v>
      </c>
      <c r="D86" s="2" t="s">
        <v>481</v>
      </c>
      <c r="E86" s="2" t="s">
        <v>482</v>
      </c>
      <c r="F86" s="2" t="s">
        <v>483</v>
      </c>
      <c r="G86" s="2" t="s">
        <v>484</v>
      </c>
      <c r="H86" t="s">
        <v>485</v>
      </c>
      <c r="I86" t="s">
        <v>439</v>
      </c>
      <c r="J86" s="4">
        <v>0.4</v>
      </c>
      <c r="K86">
        <v>0.75</v>
      </c>
      <c r="L86">
        <v>0.69999999996499995</v>
      </c>
      <c r="M86">
        <v>0.66644235770301186</v>
      </c>
      <c r="N86">
        <v>0</v>
      </c>
      <c r="O86">
        <v>0.95666350581382953</v>
      </c>
      <c r="P86">
        <v>0.23700536787509921</v>
      </c>
      <c r="Q86">
        <v>0.171934574842453</v>
      </c>
      <c r="R86">
        <v>0.30017185211181641</v>
      </c>
      <c r="S86">
        <v>0</v>
      </c>
      <c r="T86">
        <v>0</v>
      </c>
      <c r="U86">
        <v>10.16732740402222</v>
      </c>
      <c r="V86">
        <v>2183</v>
      </c>
      <c r="W86">
        <v>180</v>
      </c>
      <c r="X86">
        <v>2363</v>
      </c>
      <c r="Y86">
        <v>0</v>
      </c>
      <c r="Z86">
        <v>5</v>
      </c>
      <c r="AA86">
        <v>10.16732740402222</v>
      </c>
    </row>
    <row r="87" spans="1:27" ht="409.5" hidden="1" x14ac:dyDescent="0.25">
      <c r="A87">
        <v>86</v>
      </c>
      <c r="B87" t="s">
        <v>480</v>
      </c>
      <c r="C87" t="s">
        <v>35</v>
      </c>
      <c r="D87" s="2" t="s">
        <v>486</v>
      </c>
      <c r="E87" s="2" t="s">
        <v>487</v>
      </c>
      <c r="F87" s="2" t="s">
        <v>488</v>
      </c>
      <c r="G87" s="2" t="s">
        <v>489</v>
      </c>
      <c r="H87" t="s">
        <v>490</v>
      </c>
      <c r="I87" t="s">
        <v>34</v>
      </c>
      <c r="J87" s="4">
        <v>0.25925925925925919</v>
      </c>
      <c r="K87">
        <v>0.5</v>
      </c>
      <c r="L87">
        <v>0</v>
      </c>
      <c r="M87">
        <v>0.51121067151010391</v>
      </c>
      <c r="N87">
        <v>0</v>
      </c>
      <c r="O87">
        <v>0.95037018995931255</v>
      </c>
      <c r="P87">
        <v>-2.0621726289391521E-2</v>
      </c>
      <c r="Q87">
        <v>-0.19591134786605829</v>
      </c>
      <c r="R87">
        <v>0.16240426898002619</v>
      </c>
      <c r="S87">
        <v>0</v>
      </c>
      <c r="T87">
        <v>0</v>
      </c>
      <c r="U87">
        <v>17.522285223007199</v>
      </c>
      <c r="V87">
        <v>2169</v>
      </c>
      <c r="W87">
        <v>420</v>
      </c>
      <c r="X87">
        <v>2589</v>
      </c>
      <c r="Y87">
        <v>0</v>
      </c>
      <c r="Z87">
        <v>5</v>
      </c>
      <c r="AA87">
        <v>17.522285223007199</v>
      </c>
    </row>
    <row r="88" spans="1:27" ht="409.5" hidden="1" x14ac:dyDescent="0.25">
      <c r="A88">
        <v>87</v>
      </c>
      <c r="B88" t="s">
        <v>480</v>
      </c>
      <c r="C88" t="s">
        <v>28</v>
      </c>
      <c r="D88" s="2" t="s">
        <v>491</v>
      </c>
      <c r="E88" s="2" t="s">
        <v>492</v>
      </c>
      <c r="F88" s="2" t="s">
        <v>493</v>
      </c>
      <c r="G88" s="2" t="s">
        <v>494</v>
      </c>
      <c r="H88" t="s">
        <v>495</v>
      </c>
      <c r="I88" t="s">
        <v>68</v>
      </c>
      <c r="J88" s="3">
        <v>0.75</v>
      </c>
      <c r="K88">
        <v>1</v>
      </c>
      <c r="L88">
        <v>0.99999999998</v>
      </c>
      <c r="M88">
        <v>0.81073094691097003</v>
      </c>
      <c r="N88">
        <v>0.39999999959999999</v>
      </c>
      <c r="O88">
        <v>1</v>
      </c>
      <c r="P88">
        <v>0.1540189981460571</v>
      </c>
      <c r="Q88">
        <v>9.463876485824585E-2</v>
      </c>
      <c r="R88">
        <v>0.2108794450759888</v>
      </c>
      <c r="S88">
        <v>1</v>
      </c>
      <c r="T88">
        <v>1</v>
      </c>
      <c r="U88">
        <v>15.27796959877014</v>
      </c>
      <c r="V88">
        <v>2366</v>
      </c>
      <c r="W88">
        <v>330</v>
      </c>
      <c r="X88">
        <v>2696</v>
      </c>
      <c r="Y88">
        <v>0</v>
      </c>
      <c r="Z88">
        <v>5</v>
      </c>
      <c r="AA88">
        <v>15.27796959877014</v>
      </c>
    </row>
    <row r="89" spans="1:27" ht="409.5" hidden="1" x14ac:dyDescent="0.25">
      <c r="A89">
        <v>88</v>
      </c>
      <c r="B89" t="s">
        <v>480</v>
      </c>
      <c r="C89" t="s">
        <v>28</v>
      </c>
      <c r="D89" s="2" t="s">
        <v>496</v>
      </c>
      <c r="E89" s="2" t="s">
        <v>497</v>
      </c>
      <c r="F89" s="2" t="s">
        <v>498</v>
      </c>
      <c r="G89" s="2" t="s">
        <v>499</v>
      </c>
      <c r="H89" t="s">
        <v>500</v>
      </c>
      <c r="I89" t="s">
        <v>68</v>
      </c>
      <c r="J89" s="5">
        <v>1</v>
      </c>
      <c r="K89">
        <v>0.5</v>
      </c>
      <c r="L89">
        <v>0.99999999998</v>
      </c>
      <c r="M89">
        <v>0.83437121402026881</v>
      </c>
      <c r="N89">
        <v>0</v>
      </c>
      <c r="O89">
        <v>0.92693502560996133</v>
      </c>
      <c r="P89">
        <v>0.24279634654521939</v>
      </c>
      <c r="Q89">
        <v>0.27063861489295959</v>
      </c>
      <c r="R89">
        <v>0.21191681921482089</v>
      </c>
      <c r="S89">
        <v>0</v>
      </c>
      <c r="T89">
        <v>0</v>
      </c>
      <c r="U89">
        <v>17.337946653366089</v>
      </c>
      <c r="V89">
        <v>2300</v>
      </c>
      <c r="W89">
        <v>263</v>
      </c>
      <c r="X89">
        <v>2563</v>
      </c>
      <c r="Y89">
        <v>0</v>
      </c>
      <c r="Z89">
        <v>5</v>
      </c>
      <c r="AA89">
        <v>17.337946653366089</v>
      </c>
    </row>
    <row r="90" spans="1:27" ht="409.5" hidden="1" x14ac:dyDescent="0.25">
      <c r="A90">
        <v>89</v>
      </c>
      <c r="B90" t="s">
        <v>480</v>
      </c>
      <c r="C90" t="s">
        <v>35</v>
      </c>
      <c r="D90" s="2" t="s">
        <v>501</v>
      </c>
      <c r="E90" s="2" t="s">
        <v>502</v>
      </c>
      <c r="F90" s="2" t="s">
        <v>503</v>
      </c>
      <c r="G90" s="2" t="s">
        <v>504</v>
      </c>
      <c r="H90" t="s">
        <v>505</v>
      </c>
      <c r="I90" t="s">
        <v>68</v>
      </c>
      <c r="J90" s="4">
        <v>0.2857142857142857</v>
      </c>
      <c r="K90">
        <v>0</v>
      </c>
      <c r="L90">
        <v>0</v>
      </c>
      <c r="M90">
        <v>0.60481459876320809</v>
      </c>
      <c r="N90">
        <v>0</v>
      </c>
      <c r="O90">
        <v>0</v>
      </c>
      <c r="P90">
        <v>0.1002756729722023</v>
      </c>
      <c r="Q90">
        <v>-5.5672477930784232E-2</v>
      </c>
      <c r="R90">
        <v>0.26162698864936829</v>
      </c>
      <c r="S90">
        <v>0</v>
      </c>
      <c r="T90">
        <v>0</v>
      </c>
      <c r="U90">
        <v>10.416618347167971</v>
      </c>
      <c r="V90">
        <v>2188</v>
      </c>
      <c r="W90">
        <v>173</v>
      </c>
      <c r="X90">
        <v>2361</v>
      </c>
      <c r="Y90">
        <v>0</v>
      </c>
      <c r="Z90">
        <v>5</v>
      </c>
      <c r="AA90">
        <v>10.416618347167971</v>
      </c>
    </row>
    <row r="91" spans="1:27" ht="409.5" hidden="1" x14ac:dyDescent="0.25">
      <c r="A91">
        <v>90</v>
      </c>
      <c r="B91" t="s">
        <v>480</v>
      </c>
      <c r="C91" t="s">
        <v>28</v>
      </c>
      <c r="D91" s="2" t="s">
        <v>506</v>
      </c>
      <c r="E91" s="2" t="s">
        <v>507</v>
      </c>
      <c r="F91" s="2" t="s">
        <v>508</v>
      </c>
      <c r="G91" s="2" t="s">
        <v>509</v>
      </c>
      <c r="H91" t="s">
        <v>510</v>
      </c>
      <c r="I91" t="s">
        <v>109</v>
      </c>
      <c r="J91" s="5">
        <v>0.88888888888888884</v>
      </c>
      <c r="K91">
        <v>0.66666666666666663</v>
      </c>
      <c r="L91">
        <v>0.7499999999625</v>
      </c>
      <c r="M91">
        <v>0.70950441836468792</v>
      </c>
      <c r="N91">
        <v>0.31249999980468751</v>
      </c>
      <c r="O91">
        <v>0.88700320205961025</v>
      </c>
      <c r="P91">
        <v>0.1825405955314636</v>
      </c>
      <c r="Q91">
        <v>0.1498035341501236</v>
      </c>
      <c r="R91">
        <v>0.2119943052530289</v>
      </c>
      <c r="S91">
        <v>0</v>
      </c>
      <c r="T91">
        <v>0</v>
      </c>
      <c r="U91">
        <v>14.538033485412599</v>
      </c>
      <c r="V91">
        <v>2310</v>
      </c>
      <c r="W91">
        <v>322</v>
      </c>
      <c r="X91">
        <v>2632</v>
      </c>
      <c r="Y91">
        <v>0</v>
      </c>
      <c r="Z91">
        <v>5</v>
      </c>
      <c r="AA91">
        <v>14.538033485412599</v>
      </c>
    </row>
    <row r="92" spans="1:27" ht="409.5" hidden="1" x14ac:dyDescent="0.25">
      <c r="A92">
        <v>91</v>
      </c>
      <c r="B92" t="s">
        <v>480</v>
      </c>
      <c r="C92" t="s">
        <v>69</v>
      </c>
      <c r="D92" s="2" t="s">
        <v>511</v>
      </c>
      <c r="E92" s="2" t="s">
        <v>512</v>
      </c>
      <c r="F92" s="2" t="s">
        <v>513</v>
      </c>
      <c r="G92" s="2" t="s">
        <v>514</v>
      </c>
      <c r="H92" t="s">
        <v>515</v>
      </c>
      <c r="I92" t="s">
        <v>41</v>
      </c>
      <c r="J92" s="4">
        <v>0.5714285714285714</v>
      </c>
      <c r="K92">
        <v>0.2</v>
      </c>
      <c r="L92">
        <v>0.49999999995</v>
      </c>
      <c r="M92">
        <v>0.77238667923552962</v>
      </c>
      <c r="N92">
        <v>0.10526315783933519</v>
      </c>
      <c r="O92">
        <v>0.88010346434632913</v>
      </c>
      <c r="P92">
        <v>0.11035289615392679</v>
      </c>
      <c r="Q92">
        <v>9.130590409040451E-2</v>
      </c>
      <c r="R92">
        <v>0.1255522817373276</v>
      </c>
      <c r="S92">
        <v>0</v>
      </c>
      <c r="T92">
        <v>0</v>
      </c>
      <c r="U92">
        <v>17.054533004760739</v>
      </c>
      <c r="V92">
        <v>2298</v>
      </c>
      <c r="W92">
        <v>329</v>
      </c>
      <c r="X92">
        <v>2627</v>
      </c>
      <c r="Y92">
        <v>0</v>
      </c>
      <c r="Z92">
        <v>5</v>
      </c>
      <c r="AA92">
        <v>17.054533004760739</v>
      </c>
    </row>
    <row r="93" spans="1:27" ht="409.5" hidden="1" x14ac:dyDescent="0.25">
      <c r="A93">
        <v>92</v>
      </c>
      <c r="B93" t="s">
        <v>480</v>
      </c>
      <c r="C93" t="s">
        <v>69</v>
      </c>
      <c r="D93" s="2" t="s">
        <v>516</v>
      </c>
      <c r="E93" s="2" t="s">
        <v>517</v>
      </c>
      <c r="F93" s="2" t="s">
        <v>518</v>
      </c>
      <c r="G93" s="2" t="s">
        <v>519</v>
      </c>
      <c r="H93" t="s">
        <v>520</v>
      </c>
      <c r="I93" t="s">
        <v>68</v>
      </c>
      <c r="J93" s="4">
        <v>0.5</v>
      </c>
      <c r="K93">
        <v>0.33333333333333331</v>
      </c>
      <c r="L93">
        <v>0.69999999996499995</v>
      </c>
      <c r="M93">
        <v>0.77969433603931892</v>
      </c>
      <c r="N93">
        <v>0</v>
      </c>
      <c r="O93">
        <v>0.88738904918713024</v>
      </c>
      <c r="P93">
        <v>0.13246713578701019</v>
      </c>
      <c r="Q93">
        <v>0.1048464924097061</v>
      </c>
      <c r="R93">
        <v>0.15647366642951971</v>
      </c>
      <c r="S93">
        <v>1</v>
      </c>
      <c r="T93">
        <v>1</v>
      </c>
      <c r="U93">
        <v>15.51475977897644</v>
      </c>
      <c r="V93">
        <v>2199</v>
      </c>
      <c r="W93">
        <v>348</v>
      </c>
      <c r="X93">
        <v>2547</v>
      </c>
      <c r="Y93">
        <v>0</v>
      </c>
      <c r="Z93">
        <v>5</v>
      </c>
      <c r="AA93">
        <v>15.51475977897644</v>
      </c>
    </row>
    <row r="94" spans="1:27" ht="409.5" hidden="1" x14ac:dyDescent="0.25">
      <c r="A94">
        <v>93</v>
      </c>
      <c r="B94" t="s">
        <v>480</v>
      </c>
      <c r="C94" t="s">
        <v>28</v>
      </c>
      <c r="D94" s="2" t="s">
        <v>521</v>
      </c>
      <c r="E94" s="2" t="s">
        <v>522</v>
      </c>
      <c r="F94" s="2" t="s">
        <v>523</v>
      </c>
      <c r="G94" s="2" t="s">
        <v>524</v>
      </c>
      <c r="H94" t="s">
        <v>525</v>
      </c>
      <c r="I94" t="s">
        <v>68</v>
      </c>
      <c r="J94" s="4">
        <v>0.44444444444444442</v>
      </c>
      <c r="K94">
        <v>1</v>
      </c>
      <c r="L94">
        <v>0.499999999975</v>
      </c>
      <c r="M94">
        <v>0.92165825071018537</v>
      </c>
      <c r="N94">
        <v>0.14285714265306121</v>
      </c>
      <c r="O94">
        <v>0</v>
      </c>
      <c r="P94">
        <v>0.32628071308135992</v>
      </c>
      <c r="Q94">
        <v>0.16592489182949069</v>
      </c>
      <c r="R94">
        <v>0.49324166774749761</v>
      </c>
      <c r="S94">
        <v>0.5</v>
      </c>
      <c r="T94">
        <v>1</v>
      </c>
      <c r="U94">
        <v>16.773349761962891</v>
      </c>
      <c r="V94">
        <v>2064</v>
      </c>
      <c r="W94">
        <v>186</v>
      </c>
      <c r="X94">
        <v>2250</v>
      </c>
      <c r="Y94">
        <v>0</v>
      </c>
      <c r="Z94">
        <v>5</v>
      </c>
      <c r="AA94">
        <v>16.773349761962891</v>
      </c>
    </row>
    <row r="95" spans="1:27" ht="409.5" hidden="1" x14ac:dyDescent="0.25">
      <c r="A95">
        <v>94</v>
      </c>
      <c r="B95" t="s">
        <v>480</v>
      </c>
      <c r="C95" t="s">
        <v>35</v>
      </c>
      <c r="D95" s="2" t="s">
        <v>526</v>
      </c>
      <c r="E95" s="2" t="s">
        <v>527</v>
      </c>
      <c r="F95" s="2" t="s">
        <v>528</v>
      </c>
      <c r="G95" s="2" t="s">
        <v>529</v>
      </c>
      <c r="H95" t="s">
        <v>530</v>
      </c>
      <c r="I95" t="s">
        <v>34</v>
      </c>
      <c r="J95" s="4">
        <v>0</v>
      </c>
      <c r="K95">
        <v>1</v>
      </c>
      <c r="L95">
        <v>0.499999999975</v>
      </c>
      <c r="M95">
        <v>0.7842330961252707</v>
      </c>
      <c r="N95">
        <v>0.66666666444444445</v>
      </c>
      <c r="O95">
        <v>0</v>
      </c>
      <c r="P95">
        <v>0.29817497730255133</v>
      </c>
      <c r="Q95">
        <v>0.17776364088058469</v>
      </c>
      <c r="R95">
        <v>0.42077824473381042</v>
      </c>
      <c r="S95">
        <v>0</v>
      </c>
      <c r="T95">
        <v>0</v>
      </c>
      <c r="U95">
        <v>10.490383148193359</v>
      </c>
      <c r="V95">
        <v>2148</v>
      </c>
      <c r="W95">
        <v>183</v>
      </c>
      <c r="X95">
        <v>2331</v>
      </c>
      <c r="Y95">
        <v>0</v>
      </c>
      <c r="Z95">
        <v>5</v>
      </c>
      <c r="AA95">
        <v>10.490383148193359</v>
      </c>
    </row>
    <row r="96" spans="1:27" ht="409.5" hidden="1" x14ac:dyDescent="0.25">
      <c r="A96">
        <v>95</v>
      </c>
      <c r="B96" t="s">
        <v>480</v>
      </c>
      <c r="C96" t="s">
        <v>35</v>
      </c>
      <c r="D96" s="2" t="s">
        <v>531</v>
      </c>
      <c r="E96" s="2" t="s">
        <v>532</v>
      </c>
      <c r="F96" s="2" t="s">
        <v>533</v>
      </c>
      <c r="G96" s="2" t="s">
        <v>534</v>
      </c>
      <c r="H96" t="s">
        <v>535</v>
      </c>
      <c r="I96" t="s">
        <v>210</v>
      </c>
      <c r="J96" s="5">
        <v>1</v>
      </c>
      <c r="K96">
        <v>1</v>
      </c>
      <c r="L96">
        <v>0.83333333329166659</v>
      </c>
      <c r="M96">
        <v>0.78389873795274967</v>
      </c>
      <c r="N96">
        <v>0</v>
      </c>
      <c r="O96">
        <v>0.87912182922240156</v>
      </c>
      <c r="P96">
        <v>0.42268452048301702</v>
      </c>
      <c r="Q96">
        <v>0.41555729508399958</v>
      </c>
      <c r="R96">
        <v>0.4272579550743103</v>
      </c>
      <c r="S96">
        <v>0</v>
      </c>
      <c r="T96">
        <v>0</v>
      </c>
      <c r="U96">
        <v>12.41522121429443</v>
      </c>
      <c r="V96">
        <v>2338</v>
      </c>
      <c r="W96">
        <v>226</v>
      </c>
      <c r="X96">
        <v>2564</v>
      </c>
      <c r="Y96">
        <v>0</v>
      </c>
      <c r="Z96">
        <v>5</v>
      </c>
      <c r="AA96">
        <v>12.41522121429443</v>
      </c>
    </row>
    <row r="97" spans="1:27" ht="409.5" hidden="1" x14ac:dyDescent="0.25">
      <c r="A97">
        <v>96</v>
      </c>
      <c r="B97" t="s">
        <v>480</v>
      </c>
      <c r="C97" t="s">
        <v>28</v>
      </c>
      <c r="D97" s="2" t="s">
        <v>536</v>
      </c>
      <c r="E97" s="2" t="s">
        <v>537</v>
      </c>
      <c r="F97" s="2" t="s">
        <v>538</v>
      </c>
      <c r="G97" s="2" t="s">
        <v>539</v>
      </c>
      <c r="H97" t="s">
        <v>540</v>
      </c>
      <c r="I97" t="s">
        <v>34</v>
      </c>
      <c r="J97" s="5">
        <v>0.84615384615384615</v>
      </c>
      <c r="K97">
        <v>0.4</v>
      </c>
      <c r="L97">
        <v>0.75555555553037035</v>
      </c>
      <c r="M97">
        <v>0.75781992542732679</v>
      </c>
      <c r="N97">
        <v>0.34999999982500002</v>
      </c>
      <c r="O97">
        <v>0.97080524044106209</v>
      </c>
      <c r="P97">
        <v>0.14453338086605069</v>
      </c>
      <c r="Q97">
        <v>8.5209079086780548E-2</v>
      </c>
      <c r="R97">
        <v>0.20129357278347021</v>
      </c>
      <c r="S97">
        <v>1</v>
      </c>
      <c r="T97">
        <v>1</v>
      </c>
      <c r="U97">
        <v>66.840181112289429</v>
      </c>
      <c r="V97">
        <v>2272</v>
      </c>
      <c r="W97">
        <v>321</v>
      </c>
      <c r="X97">
        <v>2593</v>
      </c>
      <c r="Y97">
        <v>0</v>
      </c>
      <c r="Z97">
        <v>5</v>
      </c>
      <c r="AA97">
        <v>66.840181112289429</v>
      </c>
    </row>
    <row r="98" spans="1:27" ht="409.5" hidden="1" x14ac:dyDescent="0.25">
      <c r="A98">
        <v>97</v>
      </c>
      <c r="B98" t="s">
        <v>480</v>
      </c>
      <c r="C98" t="s">
        <v>69</v>
      </c>
      <c r="D98" s="2" t="s">
        <v>541</v>
      </c>
      <c r="E98" s="2" t="s">
        <v>542</v>
      </c>
      <c r="F98" s="2" t="s">
        <v>543</v>
      </c>
      <c r="G98" s="2" t="s">
        <v>544</v>
      </c>
      <c r="H98" t="s">
        <v>545</v>
      </c>
      <c r="I98" t="s">
        <v>68</v>
      </c>
      <c r="J98" s="4">
        <v>0.15384615384615391</v>
      </c>
      <c r="K98">
        <v>1</v>
      </c>
      <c r="L98">
        <v>0.999999999975</v>
      </c>
      <c r="M98">
        <v>0.75680716791710689</v>
      </c>
      <c r="N98">
        <v>0.33333333277777782</v>
      </c>
      <c r="O98">
        <v>0</v>
      </c>
      <c r="P98">
        <v>0.1989374905824661</v>
      </c>
      <c r="Q98">
        <v>0.1646317392587662</v>
      </c>
      <c r="R98">
        <v>0.23006901144981379</v>
      </c>
      <c r="S98">
        <v>0</v>
      </c>
      <c r="T98">
        <v>0</v>
      </c>
      <c r="U98">
        <v>33.22141432762146</v>
      </c>
      <c r="V98">
        <v>2326</v>
      </c>
      <c r="W98">
        <v>214</v>
      </c>
      <c r="X98">
        <v>2540</v>
      </c>
      <c r="Y98">
        <v>0</v>
      </c>
      <c r="Z98">
        <v>5</v>
      </c>
      <c r="AA98">
        <v>33.22141432762146</v>
      </c>
    </row>
    <row r="99" spans="1:27" ht="409.5" hidden="1" x14ac:dyDescent="0.25">
      <c r="A99">
        <v>98</v>
      </c>
      <c r="B99" t="s">
        <v>480</v>
      </c>
      <c r="C99" t="s">
        <v>69</v>
      </c>
      <c r="D99" s="2" t="s">
        <v>546</v>
      </c>
      <c r="E99" s="2" t="s">
        <v>547</v>
      </c>
      <c r="F99" s="2" t="s">
        <v>548</v>
      </c>
      <c r="G99" s="2" t="s">
        <v>549</v>
      </c>
      <c r="H99" t="s">
        <v>550</v>
      </c>
      <c r="I99" t="s">
        <v>68</v>
      </c>
      <c r="J99" s="5">
        <v>0.84210526315789469</v>
      </c>
      <c r="K99">
        <v>0.66666666666666663</v>
      </c>
      <c r="L99">
        <v>0.7499999999625</v>
      </c>
      <c r="M99">
        <v>0.82217669691741868</v>
      </c>
      <c r="N99">
        <v>0</v>
      </c>
      <c r="O99">
        <v>0</v>
      </c>
      <c r="P99">
        <v>0.1268814951181412</v>
      </c>
      <c r="Q99">
        <v>-2.670216932892799E-2</v>
      </c>
      <c r="R99">
        <v>0.28564971685409551</v>
      </c>
      <c r="S99">
        <v>0</v>
      </c>
      <c r="T99">
        <v>0</v>
      </c>
      <c r="U99">
        <v>62.917627096176147</v>
      </c>
      <c r="V99">
        <v>2106</v>
      </c>
      <c r="W99">
        <v>365</v>
      </c>
      <c r="X99">
        <v>2471</v>
      </c>
      <c r="Y99">
        <v>0</v>
      </c>
      <c r="Z99">
        <v>5</v>
      </c>
      <c r="AA99">
        <v>62.917627096176147</v>
      </c>
    </row>
    <row r="100" spans="1:27" ht="409.5" hidden="1" x14ac:dyDescent="0.25">
      <c r="A100">
        <v>99</v>
      </c>
      <c r="B100" t="s">
        <v>480</v>
      </c>
      <c r="C100" t="s">
        <v>28</v>
      </c>
      <c r="D100" s="2" t="s">
        <v>551</v>
      </c>
      <c r="E100" s="2" t="s">
        <v>552</v>
      </c>
      <c r="F100" s="2" t="s">
        <v>553</v>
      </c>
      <c r="G100" s="2" t="s">
        <v>554</v>
      </c>
      <c r="H100" t="s">
        <v>555</v>
      </c>
      <c r="I100" t="s">
        <v>68</v>
      </c>
      <c r="J100" s="4">
        <v>0</v>
      </c>
      <c r="K100">
        <v>0.25</v>
      </c>
      <c r="L100">
        <v>0</v>
      </c>
      <c r="M100">
        <v>0.71650548599056063</v>
      </c>
      <c r="N100">
        <v>9.090909082644627E-2</v>
      </c>
      <c r="O100">
        <v>0.83689211090085891</v>
      </c>
      <c r="P100">
        <v>0.15067398548126221</v>
      </c>
      <c r="Q100">
        <v>2.9137192294001579E-2</v>
      </c>
      <c r="R100">
        <v>0.27397462725639338</v>
      </c>
      <c r="S100">
        <v>1</v>
      </c>
      <c r="T100">
        <v>1</v>
      </c>
      <c r="U100">
        <v>53.574954748153687</v>
      </c>
      <c r="V100">
        <v>2273</v>
      </c>
      <c r="W100">
        <v>341</v>
      </c>
      <c r="X100">
        <v>2614</v>
      </c>
      <c r="Y100">
        <v>0</v>
      </c>
      <c r="Z100">
        <v>5</v>
      </c>
      <c r="AA100">
        <v>53.574954748153687</v>
      </c>
    </row>
    <row r="101" spans="1:27" ht="409.5" hidden="1" x14ac:dyDescent="0.25">
      <c r="A101">
        <v>100</v>
      </c>
      <c r="B101" t="s">
        <v>480</v>
      </c>
      <c r="C101" t="s">
        <v>28</v>
      </c>
      <c r="D101" s="2" t="s">
        <v>556</v>
      </c>
      <c r="E101" s="2" t="s">
        <v>557</v>
      </c>
      <c r="F101" s="2" t="s">
        <v>558</v>
      </c>
      <c r="G101" s="2" t="s">
        <v>559</v>
      </c>
      <c r="H101" t="s">
        <v>560</v>
      </c>
      <c r="I101" t="s">
        <v>561</v>
      </c>
      <c r="J101" s="4">
        <v>0.22222222222222221</v>
      </c>
      <c r="K101">
        <v>0</v>
      </c>
      <c r="L101">
        <v>0.99999999989999999</v>
      </c>
      <c r="M101">
        <v>0.84081689433521334</v>
      </c>
      <c r="N101">
        <v>0.1176470587543253</v>
      </c>
      <c r="O101">
        <v>0.88250019423840853</v>
      </c>
      <c r="P101">
        <v>0.27257218956947332</v>
      </c>
      <c r="Q101">
        <v>0.18276794254779821</v>
      </c>
      <c r="R101">
        <v>0.36204129457473749</v>
      </c>
      <c r="S101">
        <v>1</v>
      </c>
      <c r="T101">
        <v>1</v>
      </c>
      <c r="U101">
        <v>49.538990497589111</v>
      </c>
      <c r="V101">
        <v>2192</v>
      </c>
      <c r="W101">
        <v>279</v>
      </c>
      <c r="X101">
        <v>2471</v>
      </c>
      <c r="Y101">
        <v>0</v>
      </c>
      <c r="Z101">
        <v>5</v>
      </c>
      <c r="AA101">
        <v>49.538990497589111</v>
      </c>
    </row>
    <row r="102" spans="1:27" ht="409.5" hidden="1" x14ac:dyDescent="0.25">
      <c r="A102">
        <v>101</v>
      </c>
      <c r="B102" t="s">
        <v>480</v>
      </c>
      <c r="C102" t="s">
        <v>28</v>
      </c>
      <c r="D102" s="2" t="s">
        <v>562</v>
      </c>
      <c r="E102" s="2" t="s">
        <v>563</v>
      </c>
      <c r="F102" s="2" t="s">
        <v>564</v>
      </c>
      <c r="G102" s="2" t="s">
        <v>565</v>
      </c>
      <c r="H102" t="s">
        <v>566</v>
      </c>
      <c r="I102" t="s">
        <v>92</v>
      </c>
      <c r="J102" s="4">
        <v>0.5</v>
      </c>
      <c r="K102">
        <v>0.66666666666666663</v>
      </c>
      <c r="L102">
        <v>0.19999999998000001</v>
      </c>
      <c r="M102">
        <v>0.75715394795683899</v>
      </c>
      <c r="N102">
        <v>0</v>
      </c>
      <c r="O102">
        <v>0</v>
      </c>
      <c r="P102">
        <v>0.12822860479354861</v>
      </c>
      <c r="Q102">
        <v>5.4156798869371407E-2</v>
      </c>
      <c r="R102">
        <v>0.2004019021987915</v>
      </c>
      <c r="S102">
        <v>0</v>
      </c>
      <c r="T102">
        <v>0</v>
      </c>
      <c r="U102">
        <v>49.136899709701538</v>
      </c>
      <c r="V102">
        <v>2132</v>
      </c>
      <c r="W102">
        <v>243</v>
      </c>
      <c r="X102">
        <v>2375</v>
      </c>
      <c r="Y102">
        <v>0</v>
      </c>
      <c r="Z102">
        <v>5</v>
      </c>
      <c r="AA102">
        <v>49.136899709701538</v>
      </c>
    </row>
    <row r="103" spans="1:27" ht="409.5" hidden="1" x14ac:dyDescent="0.25">
      <c r="A103">
        <v>102</v>
      </c>
      <c r="B103" t="s">
        <v>480</v>
      </c>
      <c r="C103" t="s">
        <v>69</v>
      </c>
      <c r="D103" s="2" t="s">
        <v>567</v>
      </c>
      <c r="E103" s="2" t="s">
        <v>568</v>
      </c>
      <c r="F103" s="2" t="s">
        <v>569</v>
      </c>
      <c r="G103" s="2" t="s">
        <v>570</v>
      </c>
      <c r="H103" t="s">
        <v>571</v>
      </c>
      <c r="I103" t="s">
        <v>247</v>
      </c>
      <c r="J103" s="3">
        <v>0.66666666666666663</v>
      </c>
      <c r="K103">
        <v>1</v>
      </c>
      <c r="L103">
        <v>0.63888888886759254</v>
      </c>
      <c r="M103">
        <v>0.74930707822288034</v>
      </c>
      <c r="N103">
        <v>9.523809519274376E-2</v>
      </c>
      <c r="O103">
        <v>0</v>
      </c>
      <c r="P103">
        <v>0.17473764717578891</v>
      </c>
      <c r="Q103">
        <v>0.20385836064815521</v>
      </c>
      <c r="R103">
        <v>0.1423134058713913</v>
      </c>
      <c r="S103">
        <v>0.5</v>
      </c>
      <c r="T103">
        <v>1</v>
      </c>
      <c r="U103">
        <v>41.552261114120483</v>
      </c>
      <c r="V103">
        <v>2147</v>
      </c>
      <c r="W103">
        <v>270</v>
      </c>
      <c r="X103">
        <v>2417</v>
      </c>
      <c r="Y103">
        <v>0</v>
      </c>
      <c r="Z103">
        <v>5</v>
      </c>
      <c r="AA103">
        <v>41.552261114120483</v>
      </c>
    </row>
    <row r="104" spans="1:27" ht="409.5" hidden="1" x14ac:dyDescent="0.25">
      <c r="A104">
        <v>103</v>
      </c>
      <c r="B104" t="s">
        <v>480</v>
      </c>
      <c r="C104" t="s">
        <v>28</v>
      </c>
      <c r="D104" s="2" t="s">
        <v>572</v>
      </c>
      <c r="E104" s="2" t="s">
        <v>573</v>
      </c>
      <c r="F104" s="2" t="s">
        <v>574</v>
      </c>
      <c r="G104" s="2" t="s">
        <v>575</v>
      </c>
      <c r="H104" t="s">
        <v>576</v>
      </c>
      <c r="I104" t="s">
        <v>305</v>
      </c>
      <c r="J104" s="5">
        <v>1</v>
      </c>
      <c r="K104">
        <v>1</v>
      </c>
      <c r="L104">
        <v>0.99999999989999999</v>
      </c>
      <c r="M104">
        <v>0.97886754543648291</v>
      </c>
      <c r="N104">
        <v>0</v>
      </c>
      <c r="O104">
        <v>0.99261521260137597</v>
      </c>
      <c r="P104">
        <v>0.77367156744003296</v>
      </c>
      <c r="Q104">
        <v>0.85057657957077026</v>
      </c>
      <c r="R104">
        <v>0.6977311372756958</v>
      </c>
      <c r="S104">
        <v>1</v>
      </c>
      <c r="T104">
        <v>1</v>
      </c>
      <c r="U104">
        <v>28.611179351806641</v>
      </c>
      <c r="V104">
        <v>2664</v>
      </c>
      <c r="W104">
        <v>80</v>
      </c>
      <c r="X104">
        <v>2744</v>
      </c>
      <c r="Y104">
        <v>0</v>
      </c>
      <c r="Z104">
        <v>5</v>
      </c>
      <c r="AA104">
        <v>28.611179351806641</v>
      </c>
    </row>
    <row r="105" spans="1:27" ht="409.5" hidden="1" x14ac:dyDescent="0.25">
      <c r="A105">
        <v>104</v>
      </c>
      <c r="B105" t="s">
        <v>480</v>
      </c>
      <c r="C105" t="s">
        <v>28</v>
      </c>
      <c r="D105" s="2" t="s">
        <v>577</v>
      </c>
      <c r="E105" s="2" t="s">
        <v>578</v>
      </c>
      <c r="F105" s="2" t="s">
        <v>579</v>
      </c>
      <c r="G105" s="2" t="s">
        <v>580</v>
      </c>
      <c r="H105" t="s">
        <v>581</v>
      </c>
      <c r="I105" t="s">
        <v>561</v>
      </c>
      <c r="J105" s="3">
        <v>0.625</v>
      </c>
      <c r="K105">
        <v>1</v>
      </c>
      <c r="L105">
        <v>0.83333333329166659</v>
      </c>
      <c r="M105">
        <v>0.92529171624860895</v>
      </c>
      <c r="N105">
        <v>0</v>
      </c>
      <c r="O105">
        <v>0</v>
      </c>
      <c r="P105">
        <v>0.43743720650672913</v>
      </c>
      <c r="Q105">
        <v>0.2774137556552887</v>
      </c>
      <c r="R105">
        <v>0.60434895753860474</v>
      </c>
      <c r="S105">
        <v>1</v>
      </c>
      <c r="T105">
        <v>1</v>
      </c>
      <c r="U105">
        <v>39.536587238311768</v>
      </c>
      <c r="V105">
        <v>2690</v>
      </c>
      <c r="W105">
        <v>200</v>
      </c>
      <c r="X105">
        <v>2890</v>
      </c>
      <c r="Y105">
        <v>0</v>
      </c>
      <c r="Z105">
        <v>5</v>
      </c>
      <c r="AA105">
        <v>39.536587238311768</v>
      </c>
    </row>
    <row r="106" spans="1:27" ht="409.5" hidden="1" x14ac:dyDescent="0.25">
      <c r="A106">
        <v>105</v>
      </c>
      <c r="B106" t="s">
        <v>480</v>
      </c>
      <c r="C106" t="s">
        <v>35</v>
      </c>
      <c r="D106" s="2" t="s">
        <v>582</v>
      </c>
      <c r="E106" s="2" t="s">
        <v>583</v>
      </c>
      <c r="F106" s="2" t="s">
        <v>584</v>
      </c>
      <c r="G106" s="2" t="s">
        <v>585</v>
      </c>
      <c r="H106" t="s">
        <v>586</v>
      </c>
      <c r="I106" t="s">
        <v>68</v>
      </c>
      <c r="J106" s="3">
        <v>0.75</v>
      </c>
      <c r="K106">
        <v>0</v>
      </c>
      <c r="L106">
        <v>0</v>
      </c>
      <c r="M106">
        <v>0.53658851994923196</v>
      </c>
      <c r="N106">
        <v>0</v>
      </c>
      <c r="O106">
        <v>0.74085971424139518</v>
      </c>
      <c r="P106">
        <v>0.20623798668384549</v>
      </c>
      <c r="Q106">
        <v>8.2320131361484528E-2</v>
      </c>
      <c r="R106">
        <v>0.3323456346988678</v>
      </c>
      <c r="S106">
        <v>0</v>
      </c>
      <c r="T106">
        <v>0</v>
      </c>
      <c r="U106">
        <v>27.829349517822269</v>
      </c>
      <c r="V106">
        <v>2224</v>
      </c>
      <c r="W106">
        <v>178</v>
      </c>
      <c r="X106">
        <v>2402</v>
      </c>
      <c r="Y106">
        <v>0</v>
      </c>
      <c r="Z106">
        <v>5</v>
      </c>
      <c r="AA106">
        <v>27.829349517822269</v>
      </c>
    </row>
    <row r="107" spans="1:27" ht="409.5" hidden="1" x14ac:dyDescent="0.25">
      <c r="A107">
        <v>106</v>
      </c>
      <c r="B107" t="s">
        <v>480</v>
      </c>
      <c r="C107" t="s">
        <v>69</v>
      </c>
      <c r="D107" s="2" t="s">
        <v>587</v>
      </c>
      <c r="E107" s="2" t="s">
        <v>588</v>
      </c>
      <c r="F107" s="2" t="s">
        <v>589</v>
      </c>
      <c r="G107" s="2" t="s">
        <v>590</v>
      </c>
      <c r="H107" t="s">
        <v>591</v>
      </c>
      <c r="I107" t="s">
        <v>253</v>
      </c>
      <c r="J107" s="4">
        <v>0.3</v>
      </c>
      <c r="K107">
        <v>0.66666666666666663</v>
      </c>
      <c r="L107">
        <v>0.99999999998</v>
      </c>
      <c r="M107">
        <v>0.61601215269669574</v>
      </c>
      <c r="N107">
        <v>0</v>
      </c>
      <c r="O107">
        <v>0</v>
      </c>
      <c r="P107">
        <v>2.3796547204256061E-2</v>
      </c>
      <c r="Q107">
        <v>5.4937075823545463E-2</v>
      </c>
      <c r="R107">
        <v>-1.1249835602939131E-2</v>
      </c>
      <c r="S107">
        <v>0</v>
      </c>
      <c r="T107">
        <v>0</v>
      </c>
      <c r="U107">
        <v>29.903702020645142</v>
      </c>
      <c r="V107">
        <v>2112</v>
      </c>
      <c r="W107">
        <v>176</v>
      </c>
      <c r="X107">
        <v>2288</v>
      </c>
      <c r="Y107">
        <v>0</v>
      </c>
      <c r="Z107">
        <v>5</v>
      </c>
      <c r="AA107">
        <v>29.903702020645142</v>
      </c>
    </row>
    <row r="108" spans="1:27" ht="409.5" hidden="1" x14ac:dyDescent="0.25">
      <c r="A108">
        <v>107</v>
      </c>
      <c r="B108" t="s">
        <v>480</v>
      </c>
      <c r="C108" t="s">
        <v>28</v>
      </c>
      <c r="D108" s="2" t="s">
        <v>592</v>
      </c>
      <c r="E108" s="2" t="s">
        <v>593</v>
      </c>
      <c r="F108" s="2" t="s">
        <v>594</v>
      </c>
      <c r="G108" s="2" t="s">
        <v>595</v>
      </c>
      <c r="H108" t="s">
        <v>596</v>
      </c>
      <c r="I108" t="s">
        <v>134</v>
      </c>
      <c r="J108" s="3">
        <v>0.66666666666666663</v>
      </c>
      <c r="K108">
        <v>1</v>
      </c>
      <c r="L108">
        <v>0.99999999998</v>
      </c>
      <c r="M108">
        <v>0.81293669154173687</v>
      </c>
      <c r="N108">
        <v>0.66666666444444445</v>
      </c>
      <c r="O108">
        <v>0.69599476823481354</v>
      </c>
      <c r="P108">
        <v>0.23582364618778229</v>
      </c>
      <c r="Q108">
        <v>0.1405017971992493</v>
      </c>
      <c r="R108">
        <v>0.33104577660560608</v>
      </c>
      <c r="S108">
        <v>1</v>
      </c>
      <c r="T108">
        <v>1</v>
      </c>
      <c r="U108">
        <v>41.280613422393799</v>
      </c>
      <c r="V108">
        <v>2282</v>
      </c>
      <c r="W108">
        <v>231</v>
      </c>
      <c r="X108">
        <v>2513</v>
      </c>
      <c r="Y108">
        <v>0</v>
      </c>
      <c r="Z108">
        <v>5</v>
      </c>
      <c r="AA108">
        <v>41.280613422393799</v>
      </c>
    </row>
    <row r="109" spans="1:27" ht="409.5" hidden="1" x14ac:dyDescent="0.25">
      <c r="A109">
        <v>108</v>
      </c>
      <c r="B109" t="s">
        <v>480</v>
      </c>
      <c r="C109" t="s">
        <v>35</v>
      </c>
      <c r="D109" s="2" t="s">
        <v>597</v>
      </c>
      <c r="E109" s="2" t="s">
        <v>598</v>
      </c>
      <c r="F109" s="2" t="s">
        <v>599</v>
      </c>
      <c r="G109" s="2" t="s">
        <v>600</v>
      </c>
      <c r="H109" t="s">
        <v>601</v>
      </c>
      <c r="I109" t="s">
        <v>602</v>
      </c>
      <c r="J109" s="4">
        <v>0.25</v>
      </c>
      <c r="K109">
        <v>1</v>
      </c>
      <c r="L109">
        <v>0.80416666664656256</v>
      </c>
      <c r="M109">
        <v>0.35843021559743732</v>
      </c>
      <c r="N109">
        <v>0.28571428530612247</v>
      </c>
      <c r="O109">
        <v>0</v>
      </c>
      <c r="P109">
        <v>8.8874660432338715E-2</v>
      </c>
      <c r="Q109">
        <v>0.20935958623886111</v>
      </c>
      <c r="R109">
        <v>-3.0211014673113819E-2</v>
      </c>
      <c r="S109">
        <v>0.2</v>
      </c>
      <c r="T109">
        <v>1</v>
      </c>
      <c r="U109">
        <v>16.679643154144291</v>
      </c>
      <c r="V109">
        <v>2265</v>
      </c>
      <c r="W109">
        <v>100</v>
      </c>
      <c r="X109">
        <v>2365</v>
      </c>
      <c r="Y109">
        <v>0</v>
      </c>
      <c r="Z109">
        <v>5</v>
      </c>
      <c r="AA109">
        <v>16.679643154144291</v>
      </c>
    </row>
    <row r="110" spans="1:27" ht="409.5" hidden="1" x14ac:dyDescent="0.25">
      <c r="A110">
        <v>109</v>
      </c>
      <c r="B110" t="s">
        <v>480</v>
      </c>
      <c r="C110" t="s">
        <v>28</v>
      </c>
      <c r="D110" s="2" t="s">
        <v>603</v>
      </c>
      <c r="E110" s="2" t="s">
        <v>604</v>
      </c>
      <c r="F110" s="2" t="s">
        <v>605</v>
      </c>
      <c r="G110" s="2" t="s">
        <v>606</v>
      </c>
      <c r="H110" t="s">
        <v>607</v>
      </c>
      <c r="I110" t="s">
        <v>68</v>
      </c>
      <c r="J110" s="4">
        <v>0.5</v>
      </c>
      <c r="K110">
        <v>0.5</v>
      </c>
      <c r="L110">
        <v>0.999999999975</v>
      </c>
      <c r="M110">
        <v>0.89429130013127689</v>
      </c>
      <c r="N110">
        <v>0.33333333305555551</v>
      </c>
      <c r="O110">
        <v>0</v>
      </c>
      <c r="P110">
        <v>0.23266029357910159</v>
      </c>
      <c r="Q110">
        <v>0.1044927015900612</v>
      </c>
      <c r="R110">
        <v>0.36352619528770452</v>
      </c>
      <c r="S110">
        <v>0</v>
      </c>
      <c r="T110">
        <v>0</v>
      </c>
      <c r="U110">
        <v>50.996565818786621</v>
      </c>
      <c r="V110">
        <v>2381</v>
      </c>
      <c r="W110">
        <v>325</v>
      </c>
      <c r="X110">
        <v>2706</v>
      </c>
      <c r="Y110">
        <v>0</v>
      </c>
      <c r="Z110">
        <v>5</v>
      </c>
      <c r="AA110">
        <v>50.996565818786621</v>
      </c>
    </row>
    <row r="111" spans="1:27" ht="409.5" hidden="1" x14ac:dyDescent="0.25">
      <c r="A111">
        <v>110</v>
      </c>
      <c r="B111" t="s">
        <v>480</v>
      </c>
      <c r="C111" t="s">
        <v>69</v>
      </c>
      <c r="D111" s="2" t="s">
        <v>608</v>
      </c>
      <c r="E111" s="2" t="s">
        <v>609</v>
      </c>
      <c r="F111" s="2" t="s">
        <v>610</v>
      </c>
      <c r="G111" s="2" t="s">
        <v>611</v>
      </c>
      <c r="H111" t="s">
        <v>612</v>
      </c>
      <c r="I111" t="s">
        <v>347</v>
      </c>
      <c r="J111" s="5">
        <v>1</v>
      </c>
      <c r="K111">
        <v>0.75</v>
      </c>
      <c r="L111">
        <v>0.94999999997624995</v>
      </c>
      <c r="M111">
        <v>0.82051829945162347</v>
      </c>
      <c r="N111">
        <v>0.27777777762345679</v>
      </c>
      <c r="O111">
        <v>0.82533006330326064</v>
      </c>
      <c r="P111">
        <v>0.1339959055185318</v>
      </c>
      <c r="Q111">
        <v>0.14414320886135101</v>
      </c>
      <c r="R111">
        <v>0.1200606524944305</v>
      </c>
      <c r="S111">
        <v>0</v>
      </c>
      <c r="T111">
        <v>0</v>
      </c>
      <c r="U111">
        <v>33.140427827835083</v>
      </c>
      <c r="V111">
        <v>2202</v>
      </c>
      <c r="W111">
        <v>209</v>
      </c>
      <c r="X111">
        <v>2411</v>
      </c>
      <c r="Y111">
        <v>0</v>
      </c>
      <c r="Z111">
        <v>5</v>
      </c>
      <c r="AA111">
        <v>33.140427827835083</v>
      </c>
    </row>
    <row r="112" spans="1:27" ht="409.5" hidden="1" x14ac:dyDescent="0.25">
      <c r="A112">
        <v>111</v>
      </c>
      <c r="B112" t="s">
        <v>480</v>
      </c>
      <c r="C112" t="s">
        <v>35</v>
      </c>
      <c r="D112" s="2" t="s">
        <v>613</v>
      </c>
      <c r="E112" s="2" t="s">
        <v>614</v>
      </c>
      <c r="F112" s="2" t="s">
        <v>615</v>
      </c>
      <c r="G112" s="2" t="s">
        <v>616</v>
      </c>
      <c r="H112" t="s">
        <v>617</v>
      </c>
      <c r="I112" t="s">
        <v>305</v>
      </c>
      <c r="J112" s="5">
        <v>1</v>
      </c>
      <c r="K112">
        <v>1</v>
      </c>
      <c r="L112">
        <v>0.83333333329166659</v>
      </c>
      <c r="M112">
        <v>0.82203680032431237</v>
      </c>
      <c r="N112">
        <v>0.33333333222222222</v>
      </c>
      <c r="O112">
        <v>0.96582514106336037</v>
      </c>
      <c r="P112">
        <v>0.52269679307937622</v>
      </c>
      <c r="Q112">
        <v>0.32967883348464971</v>
      </c>
      <c r="R112">
        <v>0.72728186845779419</v>
      </c>
      <c r="S112">
        <v>1</v>
      </c>
      <c r="T112">
        <v>1</v>
      </c>
      <c r="U112">
        <v>22.200837135314941</v>
      </c>
      <c r="V112">
        <v>2360</v>
      </c>
      <c r="W112">
        <v>118</v>
      </c>
      <c r="X112">
        <v>2478</v>
      </c>
      <c r="Y112">
        <v>0</v>
      </c>
      <c r="Z112">
        <v>5</v>
      </c>
      <c r="AA112">
        <v>22.200837135314941</v>
      </c>
    </row>
    <row r="113" spans="1:27" ht="409.5" hidden="1" x14ac:dyDescent="0.25">
      <c r="A113">
        <v>112</v>
      </c>
      <c r="B113" t="s">
        <v>480</v>
      </c>
      <c r="C113" t="s">
        <v>69</v>
      </c>
      <c r="D113" s="2" t="s">
        <v>618</v>
      </c>
      <c r="E113" s="2" t="s">
        <v>619</v>
      </c>
      <c r="F113" s="2" t="s">
        <v>620</v>
      </c>
      <c r="G113" s="2" t="s">
        <v>621</v>
      </c>
      <c r="H113" t="s">
        <v>622</v>
      </c>
      <c r="I113" t="s">
        <v>68</v>
      </c>
      <c r="J113" s="4">
        <v>0</v>
      </c>
      <c r="K113">
        <v>0</v>
      </c>
      <c r="L113">
        <v>0</v>
      </c>
      <c r="M113">
        <v>0.74837540134460667</v>
      </c>
      <c r="N113">
        <v>0</v>
      </c>
      <c r="O113">
        <v>0.90986065050816112</v>
      </c>
      <c r="P113">
        <v>0.27249929308891302</v>
      </c>
      <c r="Q113">
        <v>0.34193292260169977</v>
      </c>
      <c r="R113">
        <v>0.20164911448955539</v>
      </c>
      <c r="S113">
        <v>0</v>
      </c>
      <c r="T113">
        <v>0</v>
      </c>
      <c r="U113">
        <v>22.946609735488892</v>
      </c>
      <c r="V113">
        <v>2200</v>
      </c>
      <c r="W113">
        <v>139</v>
      </c>
      <c r="X113">
        <v>2339</v>
      </c>
      <c r="Y113">
        <v>0</v>
      </c>
      <c r="Z113">
        <v>5</v>
      </c>
      <c r="AA113">
        <v>22.946609735488892</v>
      </c>
    </row>
    <row r="114" spans="1:27" ht="409.5" hidden="1" x14ac:dyDescent="0.25">
      <c r="A114">
        <v>113</v>
      </c>
      <c r="B114" t="s">
        <v>480</v>
      </c>
      <c r="C114" t="s">
        <v>69</v>
      </c>
      <c r="D114" s="2" t="s">
        <v>623</v>
      </c>
      <c r="E114" s="2" t="s">
        <v>624</v>
      </c>
      <c r="F114" s="2" t="s">
        <v>625</v>
      </c>
      <c r="G114" s="2" t="s">
        <v>626</v>
      </c>
      <c r="H114" t="s">
        <v>627</v>
      </c>
      <c r="I114" t="s">
        <v>68</v>
      </c>
      <c r="J114" s="5">
        <v>0.88888888888888884</v>
      </c>
      <c r="K114">
        <v>1</v>
      </c>
      <c r="L114">
        <v>0.99999999995</v>
      </c>
      <c r="M114">
        <v>0.87785466280821178</v>
      </c>
      <c r="N114">
        <v>0.39999999920000001</v>
      </c>
      <c r="O114">
        <v>0.97558496853441146</v>
      </c>
      <c r="P114">
        <v>0.46208843588829041</v>
      </c>
      <c r="Q114">
        <v>0.31211113929748541</v>
      </c>
      <c r="R114">
        <v>0.61784815788269043</v>
      </c>
      <c r="S114">
        <v>1</v>
      </c>
      <c r="T114">
        <v>1</v>
      </c>
      <c r="U114">
        <v>33.234237432479858</v>
      </c>
      <c r="V114">
        <v>2279</v>
      </c>
      <c r="W114">
        <v>175</v>
      </c>
      <c r="X114">
        <v>2454</v>
      </c>
      <c r="Y114">
        <v>0</v>
      </c>
      <c r="Z114">
        <v>5</v>
      </c>
      <c r="AA114">
        <v>33.234237432479858</v>
      </c>
    </row>
    <row r="115" spans="1:27" ht="409.5" hidden="1" x14ac:dyDescent="0.25">
      <c r="A115">
        <v>114</v>
      </c>
      <c r="B115" t="s">
        <v>480</v>
      </c>
      <c r="C115" t="s">
        <v>35</v>
      </c>
      <c r="D115" s="2" t="s">
        <v>628</v>
      </c>
      <c r="E115" s="2" t="s">
        <v>629</v>
      </c>
      <c r="F115" s="2" t="s">
        <v>630</v>
      </c>
      <c r="G115" s="2" t="s">
        <v>631</v>
      </c>
      <c r="H115" t="s">
        <v>632</v>
      </c>
      <c r="I115" t="s">
        <v>253</v>
      </c>
      <c r="J115" s="4">
        <v>0.42857142857142849</v>
      </c>
      <c r="K115">
        <v>1</v>
      </c>
      <c r="L115">
        <v>0.58333333330416659</v>
      </c>
      <c r="M115">
        <v>0.79347208393786695</v>
      </c>
      <c r="N115">
        <v>0.249999999375</v>
      </c>
      <c r="O115">
        <v>0.76596688296645465</v>
      </c>
      <c r="P115">
        <v>0.29117861390113831</v>
      </c>
      <c r="Q115">
        <v>3.2392911612987518E-2</v>
      </c>
      <c r="R115">
        <v>0.5732002854347229</v>
      </c>
      <c r="S115">
        <v>0.33333333333333331</v>
      </c>
      <c r="T115">
        <v>1</v>
      </c>
      <c r="U115">
        <v>35.1952805519104</v>
      </c>
      <c r="V115">
        <v>2234</v>
      </c>
      <c r="W115">
        <v>227</v>
      </c>
      <c r="X115">
        <v>2461</v>
      </c>
      <c r="Y115">
        <v>0</v>
      </c>
      <c r="Z115">
        <v>5</v>
      </c>
      <c r="AA115">
        <v>35.1952805519104</v>
      </c>
    </row>
    <row r="116" spans="1:27" ht="409.5" hidden="1" x14ac:dyDescent="0.25">
      <c r="A116">
        <v>115</v>
      </c>
      <c r="B116" t="s">
        <v>480</v>
      </c>
      <c r="C116" t="s">
        <v>28</v>
      </c>
      <c r="D116" s="2" t="s">
        <v>633</v>
      </c>
      <c r="E116" s="2" t="s">
        <v>634</v>
      </c>
      <c r="F116" s="2" t="s">
        <v>635</v>
      </c>
      <c r="G116" s="2" t="s">
        <v>636</v>
      </c>
      <c r="H116" t="s">
        <v>637</v>
      </c>
      <c r="I116" t="s">
        <v>602</v>
      </c>
      <c r="J116" s="3">
        <v>0.66666666666666663</v>
      </c>
      <c r="K116">
        <v>1</v>
      </c>
      <c r="L116">
        <v>0.99999999989999999</v>
      </c>
      <c r="M116">
        <v>0.86593765598616601</v>
      </c>
      <c r="N116">
        <v>0.1111111109876543</v>
      </c>
      <c r="O116">
        <v>0.7978920020219159</v>
      </c>
      <c r="P116">
        <v>0.40850642323493958</v>
      </c>
      <c r="Q116">
        <v>0.33711332082748408</v>
      </c>
      <c r="R116">
        <v>0.4790395200252533</v>
      </c>
      <c r="S116">
        <v>1</v>
      </c>
      <c r="T116">
        <v>1</v>
      </c>
      <c r="U116">
        <v>32.587010622024543</v>
      </c>
      <c r="V116">
        <v>2286</v>
      </c>
      <c r="W116">
        <v>210</v>
      </c>
      <c r="X116">
        <v>2496</v>
      </c>
      <c r="Y116">
        <v>0</v>
      </c>
      <c r="Z116">
        <v>5</v>
      </c>
      <c r="AA116">
        <v>32.587010622024543</v>
      </c>
    </row>
    <row r="117" spans="1:27" ht="409.5" hidden="1" x14ac:dyDescent="0.25">
      <c r="A117">
        <v>116</v>
      </c>
      <c r="B117" t="s">
        <v>480</v>
      </c>
      <c r="C117" t="s">
        <v>28</v>
      </c>
      <c r="D117" s="2" t="s">
        <v>638</v>
      </c>
      <c r="E117" s="2" t="s">
        <v>639</v>
      </c>
      <c r="F117" s="2" t="s">
        <v>640</v>
      </c>
      <c r="G117" s="2" t="s">
        <v>641</v>
      </c>
      <c r="H117" t="s">
        <v>642</v>
      </c>
      <c r="I117" t="s">
        <v>643</v>
      </c>
      <c r="J117" s="4">
        <v>0.42857142857142849</v>
      </c>
      <c r="K117">
        <v>1</v>
      </c>
      <c r="L117">
        <v>0.99999999989999999</v>
      </c>
      <c r="M117">
        <v>0.72210491914651054</v>
      </c>
      <c r="N117">
        <v>0.46153846118343189</v>
      </c>
      <c r="O117">
        <v>0</v>
      </c>
      <c r="P117">
        <v>5.3422912955284119E-2</v>
      </c>
      <c r="Q117">
        <v>3.9976857602596283E-2</v>
      </c>
      <c r="R117">
        <v>6.270996481180191E-2</v>
      </c>
      <c r="S117">
        <v>1</v>
      </c>
      <c r="T117">
        <v>1</v>
      </c>
      <c r="U117">
        <v>57.756552934646614</v>
      </c>
      <c r="V117">
        <v>2260</v>
      </c>
      <c r="W117">
        <v>331</v>
      </c>
      <c r="X117">
        <v>2591</v>
      </c>
      <c r="Y117">
        <v>0</v>
      </c>
      <c r="Z117">
        <v>5</v>
      </c>
      <c r="AA117">
        <v>57.756552934646614</v>
      </c>
    </row>
  </sheetData>
  <autoFilter ref="A1:AA117" xr:uid="{00000000-0001-0000-0000-000000000000}">
    <filterColumn colId="0">
      <filters>
        <filter val="64"/>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topLeftCell="A10" workbookViewId="0">
      <selection activeCell="F40" sqref="F40"/>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644</v>
      </c>
      <c r="B1" s="11"/>
      <c r="C1" s="11"/>
      <c r="D1" s="11"/>
    </row>
    <row r="3" spans="1:4" ht="15.75" x14ac:dyDescent="0.25">
      <c r="A3" s="6" t="s">
        <v>645</v>
      </c>
    </row>
    <row r="4" spans="1:4" x14ac:dyDescent="0.25">
      <c r="A4" t="s">
        <v>9</v>
      </c>
      <c r="B4" s="3">
        <f>AVERAGE('Detaillierte Ergebnisse'!J2:J117)</f>
        <v>0.63211653182094607</v>
      </c>
    </row>
    <row r="5" spans="1:4" x14ac:dyDescent="0.25">
      <c r="A5" t="s">
        <v>10</v>
      </c>
      <c r="B5" s="3">
        <f>AVERAGE('Detaillierte Ergebnisse'!K2:K117)</f>
        <v>0.66497844827586206</v>
      </c>
    </row>
    <row r="6" spans="1:4" x14ac:dyDescent="0.25">
      <c r="A6" t="s">
        <v>11</v>
      </c>
      <c r="B6" s="3">
        <f>AVERAGE('Detaillierte Ergebnisse'!L2:L117)</f>
        <v>0.63939176242366613</v>
      </c>
    </row>
    <row r="7" spans="1:4" x14ac:dyDescent="0.25">
      <c r="A7" t="s">
        <v>12</v>
      </c>
      <c r="B7" s="3">
        <f>AVERAGE('Detaillierte Ergebnisse'!M2:M117)</f>
        <v>0.75045523110845136</v>
      </c>
    </row>
    <row r="8" spans="1:4" x14ac:dyDescent="0.25">
      <c r="A8" t="s">
        <v>13</v>
      </c>
      <c r="B8" s="9">
        <f>AVERAGE('Detaillierte Ergebnisse'!N2:N117)</f>
        <v>0.29335765558362398</v>
      </c>
    </row>
    <row r="9" spans="1:4" x14ac:dyDescent="0.25">
      <c r="A9" t="s">
        <v>14</v>
      </c>
      <c r="B9" s="9">
        <f>AVERAGE('Detaillierte Ergebnisse'!O2:O117)</f>
        <v>0.56451631836000116</v>
      </c>
    </row>
    <row r="10" spans="1:4" x14ac:dyDescent="0.25">
      <c r="A10" t="s">
        <v>646</v>
      </c>
      <c r="B10" s="9">
        <f>AVERAGE('Detaillierte Ergebnisse'!P2:P117)</f>
        <v>0.24253652708861848</v>
      </c>
    </row>
    <row r="11" spans="1:4" x14ac:dyDescent="0.25">
      <c r="A11" t="s">
        <v>647</v>
      </c>
      <c r="B11" s="9">
        <f>AVERAGE('Detaillierte Ergebnisse'!Q2:Q117)</f>
        <v>0.19350583292142456</v>
      </c>
    </row>
    <row r="12" spans="1:4" x14ac:dyDescent="0.25">
      <c r="A12" t="s">
        <v>648</v>
      </c>
      <c r="B12" s="9">
        <f>AVERAGE('Detaillierte Ergebnisse'!R2:R117)</f>
        <v>0.29250681530363087</v>
      </c>
    </row>
    <row r="13" spans="1:4" x14ac:dyDescent="0.25">
      <c r="A13" t="s">
        <v>649</v>
      </c>
      <c r="B13" s="9">
        <f>AVERAGE('Detaillierte Ergebnisse'!S2:S117)</f>
        <v>0.37514367816091959</v>
      </c>
    </row>
    <row r="14" spans="1:4" x14ac:dyDescent="0.25">
      <c r="A14" t="s">
        <v>650</v>
      </c>
      <c r="B14" s="9">
        <f>AVERAGE('Detaillierte Ergebnisse'!T2:T117)</f>
        <v>0.51724137931034486</v>
      </c>
    </row>
    <row r="15" spans="1:4" x14ac:dyDescent="0.25">
      <c r="A15" t="s">
        <v>20</v>
      </c>
      <c r="B15" s="7">
        <f>AVERAGE('Detaillierte Ergebnisse'!U2:U117)</f>
        <v>17.643617911585444</v>
      </c>
    </row>
    <row r="16" spans="1:4" x14ac:dyDescent="0.25">
      <c r="A16" t="s">
        <v>651</v>
      </c>
      <c r="B16" s="7">
        <f>AVERAGE('Detaillierte Ergebnisse'!V2:V117)</f>
        <v>2232</v>
      </c>
    </row>
    <row r="17" spans="1:17" x14ac:dyDescent="0.25">
      <c r="A17" t="s">
        <v>652</v>
      </c>
      <c r="B17" s="7">
        <f>AVERAGE('Detaillierte Ergebnisse'!W2:W117)</f>
        <v>217.83620689655172</v>
      </c>
    </row>
    <row r="18" spans="1:17" x14ac:dyDescent="0.25">
      <c r="A18" t="s">
        <v>653</v>
      </c>
      <c r="B18" s="7">
        <f>AVERAGE('Detaillierte Ergebnisse'!X2:X117)</f>
        <v>2449.8362068965516</v>
      </c>
    </row>
    <row r="19" spans="1:17" x14ac:dyDescent="0.25">
      <c r="A19" t="s">
        <v>654</v>
      </c>
      <c r="B19" s="7">
        <f>AVERAGE('Detaillierte Ergebnisse'!Y2:Y117)</f>
        <v>0</v>
      </c>
    </row>
    <row r="22" spans="1:17" ht="15.75" x14ac:dyDescent="0.25">
      <c r="A22" s="6" t="s">
        <v>655</v>
      </c>
    </row>
    <row r="23" spans="1:17" x14ac:dyDescent="0.25">
      <c r="A23" s="8" t="s">
        <v>656</v>
      </c>
      <c r="B23" s="8" t="s">
        <v>657</v>
      </c>
      <c r="C23" s="8" t="s">
        <v>658</v>
      </c>
      <c r="D23" s="8" t="s">
        <v>659</v>
      </c>
      <c r="E23" s="8" t="s">
        <v>660</v>
      </c>
      <c r="F23" s="8" t="s">
        <v>661</v>
      </c>
      <c r="G23" s="8" t="s">
        <v>662</v>
      </c>
      <c r="H23" s="8" t="s">
        <v>646</v>
      </c>
      <c r="I23" s="8" t="s">
        <v>647</v>
      </c>
      <c r="J23" s="8" t="s">
        <v>648</v>
      </c>
      <c r="K23" s="8" t="s">
        <v>649</v>
      </c>
      <c r="L23" s="8" t="s">
        <v>650</v>
      </c>
      <c r="M23" s="8" t="s">
        <v>663</v>
      </c>
      <c r="N23" s="8" t="s">
        <v>664</v>
      </c>
      <c r="O23" s="8" t="s">
        <v>665</v>
      </c>
      <c r="P23" s="8" t="s">
        <v>666</v>
      </c>
      <c r="Q23" s="8" t="s">
        <v>667</v>
      </c>
    </row>
    <row r="24" spans="1:17" x14ac:dyDescent="0.25">
      <c r="A24" t="s">
        <v>27</v>
      </c>
      <c r="B24" s="7">
        <f>AVERAGEIFS('Detaillierte Ergebnisse'!J2:J117,'Detaillierte Ergebnisse'!$B$2:$B$117, $A$24)</f>
        <v>0.60863259833848071</v>
      </c>
      <c r="C24" s="7">
        <f>AVERAGEIFS('Detaillierte Ergebnisse'!$K$2:$K$117,'Detaillierte Ergebnisse'!$B$2:$B$117, $A24)</f>
        <v>0.64583333333333326</v>
      </c>
      <c r="D24" s="7">
        <f>AVERAGEIFS('Detaillierte Ergebnisse'!$L$2:$L$117,'Detaillierte Ergebnisse'!$B$2:$B$117, $A24)</f>
        <v>0.48055555553050927</v>
      </c>
      <c r="E24" s="7">
        <f>AVERAGEIFS('Detaillierte Ergebnisse'!$M$2:$M$117,'Detaillierte Ergebnisse'!$B$2:$B$117, $A24)</f>
        <v>0.69754108859527031</v>
      </c>
      <c r="F24" s="7">
        <f>AVERAGEIFS('Detaillierte Ergebnisse'!$N2:$N117,'Detaillierte Ergebnisse'!$B$2:$B$117, $A24)</f>
        <v>0.21595568679961696</v>
      </c>
      <c r="G24" s="7">
        <f>AVERAGEIFS('Detaillierte Ergebnisse'!$O$2:$O$117,'Detaillierte Ergebnisse'!$B$2:$B$117, $A24)</f>
        <v>0.73625964854951664</v>
      </c>
      <c r="H24" s="7">
        <f>AVERAGEIFS('Detaillierte Ergebnisse'!$P$2:$P$117,'Detaillierte Ergebnisse'!$B$2:$B$117, $A24)</f>
        <v>0.18658249732106924</v>
      </c>
      <c r="I24" s="7">
        <f>AVERAGEIFS('Detaillierte Ergebnisse'!$Q$2:$Q$117,'Detaillierte Ergebnisse'!$B$2:$B$117, $A24)</f>
        <v>0.11867641316105922</v>
      </c>
      <c r="J24" s="7">
        <f>AVERAGEIFS('Detaillierte Ergebnisse'!$R$2:$R$117,'Detaillierte Ergebnisse'!$B$2:$B$117, $A24)</f>
        <v>0.2544126994907856</v>
      </c>
      <c r="K24" s="7">
        <f>AVERAGEIFS('Detaillierte Ergebnisse'!$S$2:$S$117,'Detaillierte Ergebnisse'!$B$2:$B$117, $A24)</f>
        <v>0.29444444444444445</v>
      </c>
      <c r="L24" s="7">
        <f>AVERAGEIFS('Detaillierte Ergebnisse'!$T$2:$T$117,'Detaillierte Ergebnisse'!$B$2:$B$117, $A24)</f>
        <v>0.41666666666666669</v>
      </c>
      <c r="M24" s="7">
        <f>AVERAGEIFS('Detaillierte Ergebnisse'!$U$2:$U$117,'Detaillierte Ergebnisse'!$B$2:$B$117, $A24)</f>
        <v>14.264949798583984</v>
      </c>
      <c r="N24" s="12">
        <f>AVERAGEIFS('Detaillierte Ergebnisse'!$V$2:$V$117,'Detaillierte Ergebnisse'!$B$2:$B$117, $A24)</f>
        <v>2239.1666666666665</v>
      </c>
      <c r="O24" s="12">
        <f>AVERAGEIFS('Detaillierte Ergebnisse'!$W$2:$W$117,'Detaillierte Ergebnisse'!$B$2:$B$117, $A24)</f>
        <v>250.25</v>
      </c>
      <c r="P24" s="12">
        <f>AVERAGEIFS('Detaillierte Ergebnisse'!$X$2:$X$117,'Detaillierte Ergebnisse'!$B$2:$B$117, $A24)</f>
        <v>2489.4166666666665</v>
      </c>
      <c r="Q24" s="12">
        <f>AVERAGEIFS('Detaillierte Ergebnisse'!$Y$2:$Y$117,'Detaillierte Ergebnisse'!$B$2:$B$117, $A24)</f>
        <v>0</v>
      </c>
    </row>
    <row r="25" spans="1:17" x14ac:dyDescent="0.25">
      <c r="A25" t="s">
        <v>116</v>
      </c>
      <c r="B25" s="7">
        <f>AVERAGEIFS('Detaillierte Ergebnisse'!$J$2:$J$117,'Detaillierte Ergebnisse'!$B$2:$B$117, A25)</f>
        <v>0.62205387205387208</v>
      </c>
      <c r="C25" s="7">
        <f>AVERAGEIFS('Detaillierte Ergebnisse'!$K$2:$K$117,'Detaillierte Ergebnisse'!$B$2:$B$117, $A25)</f>
        <v>0.61111111111111116</v>
      </c>
      <c r="D25" s="7">
        <f>AVERAGEIFS('Detaillierte Ergebnisse'!$L$2:$L$117,'Detaillierte Ergebnisse'!$B$2:$B$117, $A25)</f>
        <v>0.83395061724846709</v>
      </c>
      <c r="E25" s="7">
        <f>AVERAGEIFS('Detaillierte Ergebnisse'!$M$2:$M$117,'Detaillierte Ergebnisse'!$B$2:$B$117, $A25)</f>
        <v>0.79912316535782812</v>
      </c>
      <c r="F25" s="7">
        <f>AVERAGEIFS('Detaillierte Ergebnisse'!$N3:$N118,'Detaillierte Ergebnisse'!$B$2:$B$117, $A25)</f>
        <v>0.44373897529861711</v>
      </c>
      <c r="G25" s="7">
        <f>AVERAGEIFS('Detaillierte Ergebnisse'!$O$2:$O$117,'Detaillierte Ergebnisse'!$B$2:$B$117, $A25)</f>
        <v>0.48043169281050369</v>
      </c>
      <c r="H25" s="7">
        <f>AVERAGEIFS('Detaillierte Ergebnisse'!$P$2:$P$117,'Detaillierte Ergebnisse'!$B$2:$B$117, $A25)</f>
        <v>0.29462825134396553</v>
      </c>
      <c r="I25" s="7">
        <f>AVERAGEIFS('Detaillierte Ergebnisse'!$Q$2:$Q$117,'Detaillierte Ergebnisse'!$B$2:$B$117, $A25)</f>
        <v>0.16181530741353831</v>
      </c>
      <c r="J25" s="7">
        <f>AVERAGEIFS('Detaillierte Ergebnisse'!$R$2:$R$117,'Detaillierte Ergebnisse'!$B$2:$B$117, $A25)</f>
        <v>0.43275304014484089</v>
      </c>
      <c r="K25" s="7">
        <f>AVERAGEIFS('Detaillierte Ergebnisse'!$S$2:$S$117,'Detaillierte Ergebnisse'!$B$2:$B$117, $A25)</f>
        <v>0.53703703703703698</v>
      </c>
      <c r="L25" s="7">
        <f>AVERAGEIFS('Detaillierte Ergebnisse'!$T$2:$T$117,'Detaillierte Ergebnisse'!$B$2:$B$117, $A25)</f>
        <v>0.77777777777777779</v>
      </c>
      <c r="M25" s="7">
        <f>AVERAGEIFS('Detaillierte Ergebnisse'!$U$2:$U$117,'Detaillierte Ergebnisse'!$B$2:$B$117, $A25)</f>
        <v>12.337716049618191</v>
      </c>
      <c r="N25" s="12">
        <f>AVERAGEIFS('Detaillierte Ergebnisse'!$V$2:$V$117,'Detaillierte Ergebnisse'!$B$2:$B$117, $A25)</f>
        <v>2255.8888888888887</v>
      </c>
      <c r="O25" s="12">
        <f>AVERAGEIFS('Detaillierte Ergebnisse'!$W$2:$W$117,'Detaillierte Ergebnisse'!$B$2:$B$117, $A25)</f>
        <v>220.33333333333334</v>
      </c>
      <c r="P25" s="12">
        <f>AVERAGEIFS('Detaillierte Ergebnisse'!$X$2:$X$117,'Detaillierte Ergebnisse'!$B$2:$B$117, $A25)</f>
        <v>2476.2222222222222</v>
      </c>
      <c r="Q25" s="12">
        <f>AVERAGEIFS('Detaillierte Ergebnisse'!$Y$2:$Y$117,'Detaillierte Ergebnisse'!$B$2:$B$117, $A25)</f>
        <v>0</v>
      </c>
    </row>
    <row r="26" spans="1:17" x14ac:dyDescent="0.25">
      <c r="A26" t="s">
        <v>326</v>
      </c>
      <c r="B26" s="7">
        <f>AVERAGEIFS('Detaillierte Ergebnisse'!$J$2:$J$117,'Detaillierte Ergebnisse'!$B$2:$B$117, A26)</f>
        <v>0.60869747899159665</v>
      </c>
      <c r="C26" s="7">
        <f>AVERAGEIFS('Detaillierte Ergebnisse'!$K$2:$K$117,'Detaillierte Ergebnisse'!$B$2:$B$117, $A26)</f>
        <v>0.77250000000000008</v>
      </c>
      <c r="D26" s="7">
        <f>AVERAGEIFS('Detaillierte Ergebnisse'!$L$2:$L$117,'Detaillierte Ergebnisse'!$B$2:$B$117, $A26)</f>
        <v>0.66861111107360405</v>
      </c>
      <c r="E26" s="7">
        <f>AVERAGEIFS('Detaillierte Ergebnisse'!$M$2:$M$117,'Detaillierte Ergebnisse'!$B$2:$B$117, $A26)</f>
        <v>0.74507862724218077</v>
      </c>
      <c r="F26" s="7">
        <f>AVERAGEIFS('Detaillierte Ergebnisse'!$N4:$N119,'Detaillierte Ergebnisse'!$B$2:$B$117, $A26)</f>
        <v>0.42772988458504285</v>
      </c>
      <c r="G26" s="7">
        <f>AVERAGEIFS('Detaillierte Ergebnisse'!$O$2:$O$117,'Detaillierte Ergebnisse'!$B$2:$B$117, $A26)</f>
        <v>0.35253426985730385</v>
      </c>
      <c r="H26" s="7">
        <f>AVERAGEIFS('Detaillierte Ergebnisse'!$P$2:$P$117,'Detaillierte Ergebnisse'!$B$2:$B$117, $A26)</f>
        <v>0.20519892337421577</v>
      </c>
      <c r="I26" s="7">
        <f>AVERAGEIFS('Detaillierte Ergebnisse'!$Q$2:$Q$117,'Detaillierte Ergebnisse'!$B$2:$B$117, $A26)</f>
        <v>0.24296539065738518</v>
      </c>
      <c r="J26" s="7">
        <f>AVERAGEIFS('Detaillierte Ergebnisse'!$R$2:$R$117,'Detaillierte Ergebnisse'!$B$2:$B$117, $A26)</f>
        <v>0.16603837230553228</v>
      </c>
      <c r="K26" s="7">
        <f>AVERAGEIFS('Detaillierte Ergebnisse'!$S$2:$S$117,'Detaillierte Ergebnisse'!$B$2:$B$117, $A26)</f>
        <v>0.53333333333333333</v>
      </c>
      <c r="L26" s="7">
        <f>AVERAGEIFS('Detaillierte Ergebnisse'!$T$2:$T$117,'Detaillierte Ergebnisse'!$B$2:$B$117, $A26)</f>
        <v>0.73333333333333328</v>
      </c>
      <c r="M26" s="7">
        <f>AVERAGEIFS('Detaillierte Ergebnisse'!$U$2:$U$117,'Detaillierte Ergebnisse'!$B$2:$B$117, $A26)</f>
        <v>11.971522792180378</v>
      </c>
      <c r="N26" s="12">
        <f>AVERAGEIFS('Detaillierte Ergebnisse'!$V$2:$V$117,'Detaillierte Ergebnisse'!$B$2:$B$117, $A26)</f>
        <v>2242.8000000000002</v>
      </c>
      <c r="O26" s="12">
        <f>AVERAGEIFS('Detaillierte Ergebnisse'!$W$2:$W$117,'Detaillierte Ergebnisse'!$B$2:$B$117, $A26)</f>
        <v>191.6</v>
      </c>
      <c r="P26" s="12">
        <f>AVERAGEIFS('Detaillierte Ergebnisse'!$X$2:$X$117,'Detaillierte Ergebnisse'!$B$2:$B$117, $A26)</f>
        <v>2434.4</v>
      </c>
      <c r="Q26" s="12">
        <f>AVERAGEIFS('Detaillierte Ergebnisse'!$Y$2:$Y$117,'Detaillierte Ergebnisse'!$B$2:$B$117, $A26)</f>
        <v>0</v>
      </c>
    </row>
    <row r="27" spans="1:17" x14ac:dyDescent="0.25">
      <c r="A27" t="s">
        <v>284</v>
      </c>
      <c r="B27" s="7">
        <f>AVERAGEIFS('Detaillierte Ergebnisse'!$J$2:$J$117,'Detaillierte Ergebnisse'!$B$2:$B$117, A27)</f>
        <v>0.71333333333333326</v>
      </c>
      <c r="C27" s="7">
        <f>AVERAGEIFS('Detaillierte Ergebnisse'!$K$2:$K$117,'Detaillierte Ergebnisse'!$B$2:$B$117, $A27)</f>
        <v>0.8</v>
      </c>
      <c r="D27" s="7">
        <f>AVERAGEIFS('Detaillierte Ergebnisse'!$L$2:$L$117,'Detaillierte Ergebnisse'!$B$2:$B$117, $A27)</f>
        <v>0.65499999998299996</v>
      </c>
      <c r="E27" s="7">
        <f>AVERAGEIFS('Detaillierte Ergebnisse'!$M$2:$M$117,'Detaillierte Ergebnisse'!$B$2:$B$117, $A27)</f>
        <v>0.83526563955471578</v>
      </c>
      <c r="F27" s="7">
        <f>AVERAGEIFS('Detaillierte Ergebnisse'!$N5:$N120,'Detaillierte Ergebnisse'!$B$2:$B$117, $A27)</f>
        <v>0.34212184839568122</v>
      </c>
      <c r="G27" s="7">
        <f>AVERAGEIFS('Detaillierte Ergebnisse'!$O$2:$O$117,'Detaillierte Ergebnisse'!$B$2:$B$117, $A27)</f>
        <v>0.56401433780760435</v>
      </c>
      <c r="H27" s="7">
        <f>AVERAGEIFS('Detaillierte Ergebnisse'!$P$2:$P$117,'Detaillierte Ergebnisse'!$B$2:$B$117, $A27)</f>
        <v>0.27526261806488039</v>
      </c>
      <c r="I27" s="7">
        <f>AVERAGEIFS('Detaillierte Ergebnisse'!$Q$2:$Q$117,'Detaillierte Ergebnisse'!$B$2:$B$117, $A27)</f>
        <v>0.22943276464939116</v>
      </c>
      <c r="J27" s="7">
        <f>AVERAGEIFS('Detaillierte Ergebnisse'!$R$2:$R$117,'Detaillierte Ergebnisse'!$B$2:$B$117, $A27)</f>
        <v>0.31920036077499392</v>
      </c>
      <c r="K27" s="7">
        <f>AVERAGEIFS('Detaillierte Ergebnisse'!$S$2:$S$117,'Detaillierte Ergebnisse'!$B$2:$B$117, $A27)</f>
        <v>0.11666666666666665</v>
      </c>
      <c r="L27" s="7">
        <f>AVERAGEIFS('Detaillierte Ergebnisse'!$T$2:$T$117,'Detaillierte Ergebnisse'!$B$2:$B$117, $A27)</f>
        <v>0.4</v>
      </c>
      <c r="M27" s="7">
        <f>AVERAGEIFS('Detaillierte Ergebnisse'!$U$2:$U$117,'Detaillierte Ergebnisse'!$B$2:$B$117, $A27)</f>
        <v>12.608369922637939</v>
      </c>
      <c r="N27" s="12">
        <f>AVERAGEIFS('Detaillierte Ergebnisse'!$V$2:$V$117,'Detaillierte Ergebnisse'!$B$2:$B$117, $A27)</f>
        <v>2123.4</v>
      </c>
      <c r="O27" s="12">
        <f>AVERAGEIFS('Detaillierte Ergebnisse'!$W$2:$W$117,'Detaillierte Ergebnisse'!$B$2:$B$117, $A27)</f>
        <v>245.8</v>
      </c>
      <c r="P27" s="12">
        <f>AVERAGEIFS('Detaillierte Ergebnisse'!$X$2:$X$117,'Detaillierte Ergebnisse'!$B$2:$B$117, $A27)</f>
        <v>2369.1999999999998</v>
      </c>
      <c r="Q27" s="12">
        <f>AVERAGEIFS('Detaillierte Ergebnisse'!$Y$2:$Y$117,'Detaillierte Ergebnisse'!$B$2:$B$117, $A27)</f>
        <v>0</v>
      </c>
    </row>
    <row r="28" spans="1:17" x14ac:dyDescent="0.25">
      <c r="A28" t="s">
        <v>162</v>
      </c>
      <c r="B28" s="7">
        <f>AVERAGEIFS('Detaillierte Ergebnisse'!$J$2:$J$117,'Detaillierte Ergebnisse'!$B$2:$B$117, A28)</f>
        <v>0.76296296296296295</v>
      </c>
      <c r="C28" s="7">
        <f>AVERAGEIFS('Detaillierte Ergebnisse'!$K$2:$K$117,'Detaillierte Ergebnisse'!$B$2:$B$117, $A28)</f>
        <v>0.66666666666666663</v>
      </c>
      <c r="D28" s="7">
        <f>AVERAGEIFS('Detaillierte Ergebnisse'!$L$2:$L$117,'Detaillierte Ergebnisse'!$B$2:$B$117, $A28)</f>
        <v>0.61111111108499994</v>
      </c>
      <c r="E28" s="7">
        <f>AVERAGEIFS('Detaillierte Ergebnisse'!$M$2:$M$117,'Detaillierte Ergebnisse'!$B$2:$B$117, $A28)</f>
        <v>0.80106204579354456</v>
      </c>
      <c r="F28" s="7">
        <f>AVERAGEIFS('Detaillierte Ergebnisse'!$N6:$N121,'Detaillierte Ergebnisse'!$B$2:$B$117, $A28)</f>
        <v>0.70833333050347225</v>
      </c>
      <c r="G28" s="7">
        <f>AVERAGEIFS('Detaillierte Ergebnisse'!$O$2:$O$117,'Detaillierte Ergebnisse'!$B$2:$B$117, $A28)</f>
        <v>0.6079103217714269</v>
      </c>
      <c r="H28" s="7">
        <f>AVERAGEIFS('Detaillierte Ergebnisse'!$P$2:$P$117,'Detaillierte Ergebnisse'!$B$2:$B$117, $A28)</f>
        <v>0.38469555974006653</v>
      </c>
      <c r="I28" s="7">
        <f>AVERAGEIFS('Detaillierte Ergebnisse'!$Q$2:$Q$117,'Detaillierte Ergebnisse'!$B$2:$B$117, $A28)</f>
        <v>0.20829821129639944</v>
      </c>
      <c r="J28" s="7">
        <f>AVERAGEIFS('Detaillierte Ergebnisse'!$R$2:$R$117,'Detaillierte Ergebnisse'!$B$2:$B$117, $A28)</f>
        <v>0.57061947385470069</v>
      </c>
      <c r="K28" s="7">
        <f>AVERAGEIFS('Detaillierte Ergebnisse'!$S$2:$S$117,'Detaillierte Ergebnisse'!$B$2:$B$117, $A28)</f>
        <v>0.16666666666666666</v>
      </c>
      <c r="L28" s="7">
        <f>AVERAGEIFS('Detaillierte Ergebnisse'!$T$2:$T$117,'Detaillierte Ergebnisse'!$B$2:$B$117, $A28)</f>
        <v>0.33333333333333331</v>
      </c>
      <c r="M28" s="7">
        <f>AVERAGEIFS('Detaillierte Ergebnisse'!$U$2:$U$117,'Detaillierte Ergebnisse'!$B$2:$B$117, $A28)</f>
        <v>13.052873531977335</v>
      </c>
      <c r="N28" s="12">
        <f>AVERAGEIFS('Detaillierte Ergebnisse'!$V$2:$V$117,'Detaillierte Ergebnisse'!$B$2:$B$117, $A28)</f>
        <v>2262.3333333333335</v>
      </c>
      <c r="O28" s="12">
        <f>AVERAGEIFS('Detaillierte Ergebnisse'!$W$2:$W$117,'Detaillierte Ergebnisse'!$B$2:$B$117, $A28)</f>
        <v>234.66666666666666</v>
      </c>
      <c r="P28" s="12">
        <f>AVERAGEIFS('Detaillierte Ergebnisse'!$X$2:$X$117,'Detaillierte Ergebnisse'!$B$2:$B$117, $A28)</f>
        <v>2497</v>
      </c>
      <c r="Q28" s="12">
        <f>AVERAGEIFS('Detaillierte Ergebnisse'!$Y$2:$Y$117,'Detaillierte Ergebnisse'!$B$2:$B$117, $A28)</f>
        <v>0</v>
      </c>
    </row>
    <row r="29" spans="1:17" x14ac:dyDescent="0.25">
      <c r="A29" t="s">
        <v>75</v>
      </c>
      <c r="B29" s="7">
        <f>AVERAGEIFS('Detaillierte Ergebnisse'!$J$2:$J$117,'Detaillierte Ergebnisse'!$B$2:$B$117, A29)</f>
        <v>0.53809523809523807</v>
      </c>
      <c r="C29" s="7">
        <f>AVERAGEIFS('Detaillierte Ergebnisse'!$K$2:$K$117,'Detaillierte Ergebnisse'!$B$2:$B$117, $A29)</f>
        <v>0.5714285714285714</v>
      </c>
      <c r="D29" s="7">
        <f>AVERAGEIFS('Detaillierte Ergebnisse'!$L$2:$L$117,'Detaillierte Ergebnisse'!$B$2:$B$117, $A29)</f>
        <v>0.57142857141214287</v>
      </c>
      <c r="E29" s="7">
        <f>AVERAGEIFS('Detaillierte Ergebnisse'!$M$2:$M$117,'Detaillierte Ergebnisse'!$B$2:$B$117, $A29)</f>
        <v>0.72308437342987564</v>
      </c>
      <c r="F29" s="7">
        <f>AVERAGEIFS('Detaillierte Ergebnisse'!$N7:$N122,'Detaillierte Ergebnisse'!$B$2:$B$117, $A29)</f>
        <v>0.30680272057646579</v>
      </c>
      <c r="G29" s="7">
        <f>AVERAGEIFS('Detaillierte Ergebnisse'!$O$2:$O$117,'Detaillierte Ergebnisse'!$B$2:$B$117, $A29)</f>
        <v>0.73787719677513153</v>
      </c>
      <c r="H29" s="7">
        <f>AVERAGEIFS('Detaillierte Ergebnisse'!$P$2:$P$117,'Detaillierte Ergebnisse'!$B$2:$B$117, $A29)</f>
        <v>0.33955189904996325</v>
      </c>
      <c r="I29" s="7">
        <f>AVERAGEIFS('Detaillierte Ergebnisse'!$Q$2:$Q$117,'Detaillierte Ergebnisse'!$B$2:$B$117, $A29)</f>
        <v>0.30572483262845446</v>
      </c>
      <c r="J29" s="7">
        <f>AVERAGEIFS('Detaillierte Ergebnisse'!$R$2:$R$117,'Detaillierte Ergebnisse'!$B$2:$B$117, $A29)</f>
        <v>0.37629838713577818</v>
      </c>
      <c r="K29" s="7">
        <f>AVERAGEIFS('Detaillierte Ergebnisse'!$S$2:$S$117,'Detaillierte Ergebnisse'!$B$2:$B$117, $A29)</f>
        <v>7.1428571428571425E-2</v>
      </c>
      <c r="L29" s="7">
        <f>AVERAGEIFS('Detaillierte Ergebnisse'!$T$2:$T$117,'Detaillierte Ergebnisse'!$B$2:$B$117, $A29)</f>
        <v>0.14285714285714285</v>
      </c>
      <c r="M29" s="7">
        <f>AVERAGEIFS('Detaillierte Ergebnisse'!$U$2:$U$117,'Detaillierte Ergebnisse'!$B$2:$B$117, $A29)</f>
        <v>10.479121003832136</v>
      </c>
      <c r="N29" s="12">
        <f>AVERAGEIFS('Detaillierte Ergebnisse'!$V$2:$V$117,'Detaillierte Ergebnisse'!$B$2:$B$117, $A29)</f>
        <v>2308.1428571428573</v>
      </c>
      <c r="O29" s="12">
        <f>AVERAGEIFS('Detaillierte Ergebnisse'!$W$2:$W$117,'Detaillierte Ergebnisse'!$B$2:$B$117, $A29)</f>
        <v>127.71428571428571</v>
      </c>
      <c r="P29" s="12">
        <f>AVERAGEIFS('Detaillierte Ergebnisse'!$X$2:$X$117,'Detaillierte Ergebnisse'!$B$2:$B$117, $A29)</f>
        <v>2435.8571428571427</v>
      </c>
      <c r="Q29" s="12">
        <f>AVERAGEIFS('Detaillierte Ergebnisse'!$Y$2:$Y$117,'Detaillierte Ergebnisse'!$B$2:$B$117, $A29)</f>
        <v>0</v>
      </c>
    </row>
    <row r="30" spans="1:17" x14ac:dyDescent="0.25">
      <c r="A30" t="s">
        <v>480</v>
      </c>
      <c r="B30" s="7">
        <f>AVERAGEIFS('Detaillierte Ergebnisse'!$J$2:$J$117,'Detaillierte Ergebnisse'!$B$2:$B$117, A30)</f>
        <v>0.55734670878585346</v>
      </c>
      <c r="C30" s="7">
        <f>AVERAGEIFS('Detaillierte Ergebnisse'!$K$2:$K$117,'Detaillierte Ergebnisse'!$B$2:$B$117, $A30)</f>
        <v>0.68281250000000004</v>
      </c>
      <c r="D30" s="7">
        <f>AVERAGEIFS('Detaillierte Ergebnisse'!$L$2:$L$117,'Detaillierte Ergebnisse'!$B$2:$B$117, $A30)</f>
        <v>0.68224826385484172</v>
      </c>
      <c r="E30" s="7">
        <f>AVERAGEIFS('Detaillierte Ergebnisse'!$M$2:$M$117,'Detaillierte Ergebnisse'!$B$2:$B$117, $A30)</f>
        <v>0.76100782714698179</v>
      </c>
      <c r="F30" s="7">
        <f>AVERAGEIFS('Detaillierte Ergebnisse'!$N8:$N123,'Detaillierte Ergebnisse'!$B$2:$B$117, $A30)</f>
        <v>0.19313036560427005</v>
      </c>
      <c r="G30" s="7">
        <f>AVERAGEIFS('Detaillierte Ergebnisse'!$O$2:$O$117,'Detaillierte Ergebnisse'!$B$2:$B$117, $A30)</f>
        <v>0.55399103797668914</v>
      </c>
      <c r="H30" s="7">
        <f>AVERAGEIFS('Detaillierte Ergebnisse'!$P$2:$P$117,'Detaillierte Ergebnisse'!$B$2:$B$117, $A30)</f>
        <v>0.23516970552736893</v>
      </c>
      <c r="I30" s="7">
        <f>AVERAGEIFS('Detaillierte Ergebnisse'!$Q$2:$Q$117,'Detaillierte Ergebnisse'!$B$2:$B$117, $A30)</f>
        <v>0.16690123913576826</v>
      </c>
      <c r="J30" s="7">
        <f>AVERAGEIFS('Detaillierte Ergebnisse'!$R$2:$R$117,'Detaillierte Ergebnisse'!$B$2:$B$117, $A30)</f>
        <v>0.30460523252259009</v>
      </c>
      <c r="K30" s="7">
        <f>AVERAGEIFS('Detaillierte Ergebnisse'!$S$2:$S$117,'Detaillierte Ergebnisse'!$B$2:$B$117, $A30)</f>
        <v>0.42291666666666666</v>
      </c>
      <c r="L30" s="7">
        <f>AVERAGEIFS('Detaillierte Ergebnisse'!$T$2:$T$117,'Detaillierte Ergebnisse'!$B$2:$B$117, $A30)</f>
        <v>0.5</v>
      </c>
      <c r="M30" s="7">
        <f>AVERAGEIFS('Detaillierte Ergebnisse'!$U$2:$U$117,'Detaillierte Ergebnisse'!$B$2:$B$117, $A30)</f>
        <v>30.818417280912399</v>
      </c>
      <c r="N30" s="12">
        <f>AVERAGEIFS('Detaillierte Ergebnisse'!$V$2:$V$117,'Detaillierte Ergebnisse'!$B$2:$B$117, $A30)</f>
        <v>2264.0625</v>
      </c>
      <c r="O30" s="12">
        <f>AVERAGEIFS('Detaillierte Ergebnisse'!$W$2:$W$117,'Detaillierte Ergebnisse'!$B$2:$B$117, $A30)</f>
        <v>240.375</v>
      </c>
      <c r="P30" s="12">
        <f>AVERAGEIFS('Detaillierte Ergebnisse'!$X$2:$X$117,'Detaillierte Ergebnisse'!$B$2:$B$117, $A30)</f>
        <v>2504.4375</v>
      </c>
      <c r="Q30" s="12">
        <f>AVERAGEIFS('Detaillierte Ergebnisse'!$Y$2:$Y$117,'Detaillierte Ergebnisse'!$B$2:$B$117, $A30)</f>
        <v>0</v>
      </c>
    </row>
    <row r="31" spans="1:17" x14ac:dyDescent="0.25">
      <c r="A31" t="s">
        <v>135</v>
      </c>
      <c r="B31" s="7">
        <f>AVERAGEIFS('Detaillierte Ergebnisse'!$J$2:$J$117,'Detaillierte Ergebnisse'!$B$2:$B$117, A31)</f>
        <v>0.75689390588771377</v>
      </c>
      <c r="C31" s="7">
        <f>AVERAGEIFS('Detaillierte Ergebnisse'!$K$2:$K$117,'Detaillierte Ergebnisse'!$B$2:$B$117, $A31)</f>
        <v>0.74561403508771928</v>
      </c>
      <c r="D31" s="7">
        <f>AVERAGEIFS('Detaillierte Ergebnisse'!$L$2:$L$117,'Detaillierte Ergebnisse'!$B$2:$B$117, $A31)</f>
        <v>0.74239766079360858</v>
      </c>
      <c r="E31" s="7">
        <f>AVERAGEIFS('Detaillierte Ergebnisse'!$M$2:$M$117,'Detaillierte Ergebnisse'!$B$2:$B$117, $A31)</f>
        <v>0.73555899691070648</v>
      </c>
      <c r="F31" s="7">
        <f>AVERAGEIFS('Detaillierte Ergebnisse'!$N9:$N124,'Detaillierte Ergebnisse'!$B$2:$B$117, $A31)</f>
        <v>0.21690784251076881</v>
      </c>
      <c r="G31" s="7">
        <f>AVERAGEIFS('Detaillierte Ergebnisse'!$O$2:$O$117,'Detaillierte Ergebnisse'!$B$2:$B$117, $A31)</f>
        <v>0.5277307016401217</v>
      </c>
      <c r="H31" s="7">
        <f>AVERAGEIFS('Detaillierte Ergebnisse'!$P$2:$P$117,'Detaillierte Ergebnisse'!$B$2:$B$117, $A31)</f>
        <v>0.2552056037085621</v>
      </c>
      <c r="I31" s="7">
        <f>AVERAGEIFS('Detaillierte Ergebnisse'!$Q$2:$Q$117,'Detaillierte Ergebnisse'!$B$2:$B$117, $A31)</f>
        <v>0.2535895697380367</v>
      </c>
      <c r="J31" s="7">
        <f>AVERAGEIFS('Detaillierte Ergebnisse'!$R$2:$R$117,'Detaillierte Ergebnisse'!$B$2:$B$117, $A31)</f>
        <v>0.25760387884158836</v>
      </c>
      <c r="K31" s="7">
        <f>AVERAGEIFS('Detaillierte Ergebnisse'!$S$2:$S$117,'Detaillierte Ergebnisse'!$B$2:$B$117, $A31)</f>
        <v>0.48421052631578954</v>
      </c>
      <c r="L31" s="7">
        <f>AVERAGEIFS('Detaillierte Ergebnisse'!$T$2:$T$117,'Detaillierte Ergebnisse'!$B$2:$B$117, $A31)</f>
        <v>0.68421052631578949</v>
      </c>
      <c r="M31" s="7">
        <f>AVERAGEIFS('Detaillierte Ergebnisse'!$U$2:$U$117,'Detaillierte Ergebnisse'!$B$2:$B$117, $A31)</f>
        <v>11.852340873919035</v>
      </c>
      <c r="N31" s="12">
        <f>AVERAGEIFS('Detaillierte Ergebnisse'!$V$2:$V$117,'Detaillierte Ergebnisse'!$B$2:$B$117, $A31)</f>
        <v>2201</v>
      </c>
      <c r="O31" s="12">
        <f>AVERAGEIFS('Detaillierte Ergebnisse'!$W$2:$W$117,'Detaillierte Ergebnisse'!$B$2:$B$117, $A31)</f>
        <v>189</v>
      </c>
      <c r="P31" s="12">
        <f>AVERAGEIFS('Detaillierte Ergebnisse'!$X$2:$X$117,'Detaillierte Ergebnisse'!$B$2:$B$117, $A31)</f>
        <v>2390</v>
      </c>
      <c r="Q31" s="12">
        <f>AVERAGEIFS('Detaillierte Ergebnisse'!$Y$2:$Y$117,'Detaillierte Ergebnisse'!$B$2:$B$117, $A31)</f>
        <v>0</v>
      </c>
    </row>
    <row r="32" spans="1:17" x14ac:dyDescent="0.25">
      <c r="A32" t="s">
        <v>199</v>
      </c>
      <c r="B32" s="7">
        <f>AVERAGEIFS('Detaillierte Ergebnisse'!$J$2:$J$117,'Detaillierte Ergebnisse'!$B$2:$B$117, A32)</f>
        <v>0.67533416875522134</v>
      </c>
      <c r="C32" s="7">
        <f>AVERAGEIFS('Detaillierte Ergebnisse'!$K$2:$K$117,'Detaillierte Ergebnisse'!$B$2:$B$117, $A32)</f>
        <v>0.44880952380952382</v>
      </c>
      <c r="D32" s="7">
        <f>AVERAGEIFS('Detaillierte Ergebnisse'!$L$2:$L$117,'Detaillierte Ergebnisse'!$B$2:$B$117, $A32)</f>
        <v>0.41587301585359787</v>
      </c>
      <c r="E32" s="7">
        <f>AVERAGEIFS('Detaillierte Ergebnisse'!$M$2:$M$117,'Detaillierte Ergebnisse'!$B$2:$B$117, $A32)</f>
        <v>0.73893210638669427</v>
      </c>
      <c r="F32" s="7">
        <f>AVERAGEIFS('Detaillierte Ergebnisse'!$N10:$N125,'Detaillierte Ergebnisse'!$B$2:$B$117, $A32)</f>
        <v>0.26593329883846178</v>
      </c>
      <c r="G32" s="7">
        <f>AVERAGEIFS('Detaillierte Ergebnisse'!$O$2:$O$117,'Detaillierte Ergebnisse'!$B$2:$B$117, $A32)</f>
        <v>0.67666702041551896</v>
      </c>
      <c r="H32" s="7">
        <f>AVERAGEIFS('Detaillierte Ergebnisse'!$P$2:$P$117,'Detaillierte Ergebnisse'!$B$2:$B$117, $A32)</f>
        <v>0.20600063939179694</v>
      </c>
      <c r="I32" s="7">
        <f>AVERAGEIFS('Detaillierte Ergebnisse'!$Q$2:$Q$117,'Detaillierte Ergebnisse'!$B$2:$B$117, $A32)</f>
        <v>0.13218337653337844</v>
      </c>
      <c r="J32" s="7">
        <f>AVERAGEIFS('Detaillierte Ergebnisse'!$R$2:$R$117,'Detaillierte Ergebnisse'!$B$2:$B$117, $A32)</f>
        <v>0.27919251152447294</v>
      </c>
      <c r="K32" s="7">
        <f>AVERAGEIFS('Detaillierte Ergebnisse'!$S$2:$S$117,'Detaillierte Ergebnisse'!$B$2:$B$117, $A32)</f>
        <v>0.20238095238095236</v>
      </c>
      <c r="L32" s="7">
        <f>AVERAGEIFS('Detaillierte Ergebnisse'!$T$2:$T$117,'Detaillierte Ergebnisse'!$B$2:$B$117, $A32)</f>
        <v>0.2857142857142857</v>
      </c>
      <c r="M32" s="7">
        <f>AVERAGEIFS('Detaillierte Ergebnisse'!$U$2:$U$117,'Detaillierte Ergebnisse'!$B$2:$B$117, $A32)</f>
        <v>14.137846214430672</v>
      </c>
      <c r="N32" s="12">
        <f>AVERAGEIFS('Detaillierte Ergebnisse'!$V$2:$V$117,'Detaillierte Ergebnisse'!$B$2:$B$117, $A32)</f>
        <v>2161.9285714285716</v>
      </c>
      <c r="O32" s="12">
        <f>AVERAGEIFS('Detaillierte Ergebnisse'!$W$2:$W$117,'Detaillierte Ergebnisse'!$B$2:$B$117, $A32)</f>
        <v>235.64285714285714</v>
      </c>
      <c r="P32" s="12">
        <f>AVERAGEIFS('Detaillierte Ergebnisse'!$X$2:$X$117,'Detaillierte Ergebnisse'!$B$2:$B$117, $A32)</f>
        <v>2397.5714285714284</v>
      </c>
      <c r="Q32" s="12">
        <f>AVERAGEIFS('Detaillierte Ergebnisse'!$Y$2:$Y$117,'Detaillierte Ergebnisse'!$B$2:$B$117, $A32)</f>
        <v>0</v>
      </c>
    </row>
    <row r="35" spans="1:17" ht="15.75" x14ac:dyDescent="0.25">
      <c r="A35" s="6" t="s">
        <v>668</v>
      </c>
    </row>
    <row r="36" spans="1:17" x14ac:dyDescent="0.25">
      <c r="A36" s="8" t="s">
        <v>669</v>
      </c>
      <c r="B36" s="8" t="s">
        <v>657</v>
      </c>
      <c r="C36" s="8" t="s">
        <v>658</v>
      </c>
      <c r="D36" s="8" t="s">
        <v>659</v>
      </c>
      <c r="E36" s="8" t="s">
        <v>660</v>
      </c>
      <c r="F36" s="8" t="s">
        <v>661</v>
      </c>
      <c r="G36" s="8" t="s">
        <v>662</v>
      </c>
      <c r="H36" s="8" t="s">
        <v>646</v>
      </c>
      <c r="I36" s="8" t="s">
        <v>647</v>
      </c>
      <c r="J36" s="8" t="s">
        <v>648</v>
      </c>
      <c r="K36" s="8" t="s">
        <v>649</v>
      </c>
      <c r="L36" s="8" t="s">
        <v>650</v>
      </c>
      <c r="M36" s="8" t="s">
        <v>663</v>
      </c>
      <c r="N36" s="8" t="s">
        <v>664</v>
      </c>
      <c r="O36" s="8" t="s">
        <v>665</v>
      </c>
      <c r="P36" s="8" t="s">
        <v>666</v>
      </c>
      <c r="Q36" s="8" t="s">
        <v>667</v>
      </c>
    </row>
    <row r="37" spans="1:17" x14ac:dyDescent="0.25">
      <c r="A37" t="s">
        <v>670</v>
      </c>
      <c r="B37" s="7">
        <f>AVERAGEIFS('Detaillierte Ergebnisse'!$J$2:$J$117,'Detaillierte Ergebnisse'!$C$2:$C$117, A37)</f>
        <v>0.63182546970425757</v>
      </c>
      <c r="C37" s="7">
        <f>AVERAGEIFS('Detaillierte Ergebnisse'!$K$2:$K$117,'Detaillierte Ergebnisse'!$C$2:$C$117, $A37)</f>
        <v>0.70454545454545459</v>
      </c>
      <c r="D37" s="7">
        <f>AVERAGEIFS('Detaillierte Ergebnisse'!$L$2:$L$117,'Detaillierte Ergebnisse'!$C$2:$C$117, $A37)</f>
        <v>0.60248316496151344</v>
      </c>
      <c r="E37" s="7">
        <f>AVERAGEIFS('Detaillierte Ergebnisse'!$M$2:$M$117,'Detaillierte Ergebnisse'!$C$2:$C$117, $A37)</f>
        <v>0.73505179577207003</v>
      </c>
      <c r="F37" s="7">
        <f>AVERAGEIFS('Detaillierte Ergebnisse'!$N15:$N130,'Detaillierte Ergebnisse'!$C$2:$C$117, $A37)</f>
        <v>0.37363360894432057</v>
      </c>
      <c r="G37" s="7">
        <f>AVERAGEIFS('Detaillierte Ergebnisse'!$O$2:$O$117,'Detaillierte Ergebnisse'!$C$2:$C$117, $A37)</f>
        <v>0.58642720644195923</v>
      </c>
      <c r="H37" s="7">
        <f>AVERAGEIFS('Detaillierte Ergebnisse'!$P$2:$P$117,'Detaillierte Ergebnisse'!$C$2:$C$117, $A37)</f>
        <v>0.32378444036073756</v>
      </c>
      <c r="I37" s="7">
        <f>AVERAGEIFS('Detaillierte Ergebnisse'!$Q$2:$Q$117,'Detaillierte Ergebnisse'!$C$2:$C$117, $A37)</f>
        <v>0.21186667172746224</v>
      </c>
      <c r="J37" s="7">
        <f>AVERAGEIFS('Detaillierte Ergebnisse'!$R$2:$R$117,'Detaillierte Ergebnisse'!$C$2:$C$117, $A37)</f>
        <v>0.44060324634792225</v>
      </c>
      <c r="K37" s="7">
        <f>AVERAGEIFS('Detaillierte Ergebnisse'!$S$2:$S$117,'Detaillierte Ergebnisse'!$C$2:$C$117, $A37)</f>
        <v>0.25454545454545457</v>
      </c>
      <c r="L37" s="7">
        <f>AVERAGEIFS('Detaillierte Ergebnisse'!$T$2:$T$117,'Detaillierte Ergebnisse'!$C$2:$C$117, $A37)</f>
        <v>0.42424242424242425</v>
      </c>
      <c r="M37" s="7">
        <f>AVERAGEIFS('Detaillierte Ergebnisse'!$U$2:$U$117,'Detaillierte Ergebnisse'!$C$2:$C$117, $A37)</f>
        <v>13.124968138608066</v>
      </c>
      <c r="N37" s="12">
        <f>AVERAGEIFS('Detaillierte Ergebnisse'!$V$2:$V$117,'Detaillierte Ergebnisse'!$C$2:$C$117, $A37)</f>
        <v>2225.3333333333335</v>
      </c>
      <c r="O37" s="12">
        <f>AVERAGEIFS('Detaillierte Ergebnisse'!$W$2:$W$117,'Detaillierte Ergebnisse'!$C$2:$C$117, $A37)</f>
        <v>179.42424242424244</v>
      </c>
      <c r="P37" s="12">
        <f>AVERAGEIFS('Detaillierte Ergebnisse'!$X$2:$X$117,'Detaillierte Ergebnisse'!$C$2:$C$117, $A37)</f>
        <v>2404.757575757576</v>
      </c>
      <c r="Q37" s="12">
        <f>AVERAGEIFS('Detaillierte Ergebnisse'!$Y$2:$Y$117,'Detaillierte Ergebnisse'!$C$2:$C$117, $A37)</f>
        <v>0</v>
      </c>
    </row>
    <row r="38" spans="1:17" x14ac:dyDescent="0.25">
      <c r="A38" t="s">
        <v>671</v>
      </c>
      <c r="B38" s="7">
        <f>AVERAGEIFS('Detaillierte Ergebnisse'!$J$2:$J$117,'Detaillierte Ergebnisse'!$C$2:$C$117, A38)</f>
        <v>0.66190029088699331</v>
      </c>
      <c r="C38" s="7">
        <f>AVERAGEIFS('Detaillierte Ergebnisse'!$K$2:$K$117,'Detaillierte Ergebnisse'!$C$2:$C$117, $A38)</f>
        <v>0.69972677595628396</v>
      </c>
      <c r="D38" s="7">
        <f>AVERAGEIFS('Detaillierte Ergebnisse'!$L$2:$L$117,'Detaillierte Ergebnisse'!$C$2:$C$117, $A38)</f>
        <v>0.66773679413740539</v>
      </c>
      <c r="E38" s="7">
        <f>AVERAGEIFS('Detaillierte Ergebnisse'!$M$2:$M$117,'Detaillierte Ergebnisse'!$C$2:$C$117, $A38)</f>
        <v>0.75907799284231614</v>
      </c>
      <c r="F38" s="7">
        <f>AVERAGEIFS('Detaillierte Ergebnisse'!$N16:$N131,'Detaillierte Ergebnisse'!$C$2:$C$117, $A38)</f>
        <v>0.28099214537777939</v>
      </c>
      <c r="G38" s="7">
        <f>AVERAGEIFS('Detaillierte Ergebnisse'!$O$2:$O$117,'Detaillierte Ergebnisse'!$C$2:$C$117, $A38)</f>
        <v>0.5505084218506805</v>
      </c>
      <c r="H38" s="7">
        <f>AVERAGEIFS('Detaillierte Ergebnisse'!$P$2:$P$117,'Detaillierte Ergebnisse'!$C$2:$C$117, $A38)</f>
        <v>0.23051211604329405</v>
      </c>
      <c r="I38" s="7">
        <f>AVERAGEIFS('Detaillierte Ergebnisse'!$Q$2:$Q$117,'Detaillierte Ergebnisse'!$C$2:$C$117, $A38)</f>
        <v>0.19576816925717916</v>
      </c>
      <c r="J38" s="7">
        <f>AVERAGEIFS('Detaillierte Ergebnisse'!$R$2:$R$117,'Detaillierte Ergebnisse'!$C$2:$C$117, $A38)</f>
        <v>0.26501811712552781</v>
      </c>
      <c r="K38" s="7">
        <f>AVERAGEIFS('Detaillierte Ergebnisse'!$S$2:$S$117,'Detaillierte Ergebnisse'!$C$2:$C$117, $A38)</f>
        <v>0.4609289617486339</v>
      </c>
      <c r="L38" s="7">
        <f>AVERAGEIFS('Detaillierte Ergebnisse'!$T$2:$T$117,'Detaillierte Ergebnisse'!$C$2:$C$117, $A38)</f>
        <v>0.62295081967213117</v>
      </c>
      <c r="M38" s="7">
        <f>AVERAGEIFS('Detaillierte Ergebnisse'!$U$2:$U$117,'Detaillierte Ergebnisse'!$C$2:$C$117, $A38)</f>
        <v>19.073630454110319</v>
      </c>
      <c r="N38" s="12">
        <f>AVERAGEIFS('Detaillierte Ergebnisse'!$V$2:$V$117,'Detaillierte Ergebnisse'!$C$2:$C$117, $A38)</f>
        <v>2243.032786885246</v>
      </c>
      <c r="O38" s="12">
        <f>AVERAGEIFS('Detaillierte Ergebnisse'!$W$2:$W$117,'Detaillierte Ergebnisse'!$C$2:$C$117, $A38)</f>
        <v>232.47540983606558</v>
      </c>
      <c r="P38" s="12">
        <f>AVERAGEIFS('Detaillierte Ergebnisse'!$X$2:$X$117,'Detaillierte Ergebnisse'!$C$2:$C$117, $A38)</f>
        <v>2475.5081967213114</v>
      </c>
      <c r="Q38" s="12">
        <f>AVERAGEIFS('Detaillierte Ergebnisse'!$Y$2:$Y$117,'Detaillierte Ergebnisse'!$C$2:$C$117, $A38)</f>
        <v>0</v>
      </c>
    </row>
    <row r="39" spans="1:17" x14ac:dyDescent="0.25">
      <c r="A39" t="s">
        <v>672</v>
      </c>
      <c r="B39" s="7">
        <f>AVERAGEIFS('Detaillierte Ergebnisse'!$J$2:$J$117,'Detaillierte Ergebnisse'!$C$2:$C$117, A39)</f>
        <v>0.54997088394921212</v>
      </c>
      <c r="C39" s="7">
        <f>AVERAGEIFS('Detaillierte Ergebnisse'!$K$2:$K$117,'Detaillierte Ergebnisse'!$C$2:$C$117, $A39)</f>
        <v>0.50928030303030303</v>
      </c>
      <c r="D39" s="7">
        <f>AVERAGEIFS('Detaillierte Ergebnisse'!$L$2:$L$117,'Detaillierte Ergebnisse'!$C$2:$C$117, $A39)</f>
        <v>0.61616161613788922</v>
      </c>
      <c r="E39" s="7">
        <f>AVERAGEIFS('Detaillierte Ergebnisse'!$M$2:$M$117,'Detaillierte Ergebnisse'!$C$2:$C$117, $A39)</f>
        <v>0.74965181748730503</v>
      </c>
      <c r="F39" s="7">
        <f>AVERAGEIFS('Detaillierte Ergebnisse'!$N17:$N132,'Detaillierte Ergebnisse'!$C$2:$C$117, $A39)</f>
        <v>0.24439775864468302</v>
      </c>
      <c r="G39" s="7">
        <f>AVERAGEIFS('Detaillierte Ergebnisse'!$O$2:$O$117,'Detaillierte Ergebnisse'!$C$2:$C$117, $A39)</f>
        <v>0.57049006292199878</v>
      </c>
      <c r="H39" s="7">
        <f>AVERAGEIFS('Detaillierte Ergebnisse'!$P$2:$P$117,'Detaillierte Ergebnisse'!$C$2:$C$117, $A39)</f>
        <v>0.15400506962429394</v>
      </c>
      <c r="I39" s="7">
        <f>AVERAGEIFS('Detaillierte Ergebnisse'!$Q$2:$Q$117,'Detaillierte Ergebnisse'!$C$2:$C$117, $A39)</f>
        <v>0.15969173305413939</v>
      </c>
      <c r="J39" s="7">
        <f>AVERAGEIFS('Detaillierte Ergebnisse'!$R$2:$R$117,'Detaillierte Ergebnisse'!$C$2:$C$117, $A39)</f>
        <v>0.14658083186738871</v>
      </c>
      <c r="K39" s="7">
        <f>AVERAGEIFS('Detaillierte Ergebnisse'!$S$2:$S$117,'Detaillierte Ergebnisse'!$C$2:$C$117, $A39)</f>
        <v>0.31818181818181818</v>
      </c>
      <c r="L39" s="7">
        <f>AVERAGEIFS('Detaillierte Ergebnisse'!$T$2:$T$117,'Detaillierte Ergebnisse'!$C$2:$C$117, $A39)</f>
        <v>0.36363636363636365</v>
      </c>
      <c r="M39" s="7">
        <f>AVERAGEIFS('Detaillierte Ergebnisse'!$U$2:$U$117,'Detaillierte Ergebnisse'!$C$2:$C$117, $A39)</f>
        <v>20.456557794050738</v>
      </c>
      <c r="N39" s="12">
        <f>AVERAGEIFS('Detaillierte Ergebnisse'!$V$2:$V$117,'Detaillierte Ergebnisse'!$C$2:$C$117, $A39)</f>
        <v>2211.409090909091</v>
      </c>
      <c r="O39" s="12">
        <f>AVERAGEIFS('Detaillierte Ergebnisse'!$W$2:$W$117,'Detaillierte Ergebnisse'!$C$2:$C$117, $A39)</f>
        <v>234.86363636363637</v>
      </c>
      <c r="P39" s="12">
        <f>AVERAGEIFS('Detaillierte Ergebnisse'!$X$2:$X$117,'Detaillierte Ergebnisse'!$C$2:$C$117, $A39)</f>
        <v>2446.2727272727275</v>
      </c>
      <c r="Q39" s="12">
        <f>AVERAGEIFS('Detaillierte Ergebnisse'!$Y$2:$Y$117,'Detaillierte Ergebnisse'!$C$2:$C$117, $A39)</f>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2026-01-25T16:36:49Z</dcterms:created>
  <dcterms:modified xsi:type="dcterms:W3CDTF">2026-01-27T15:29:12Z</dcterms:modified>
</cp:coreProperties>
</file>