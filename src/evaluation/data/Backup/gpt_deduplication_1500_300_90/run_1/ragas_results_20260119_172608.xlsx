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Backup\gpt_deduplication_1500_300_90\run_1\"/>
    </mc:Choice>
  </mc:AlternateContent>
  <xr:revisionPtr revIDLastSave="0" documentId="13_ncr:1_{9B286963-46BE-4A6A-ACC3-5F6C8208ACE7}"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2" l="1"/>
  <c r="C13" i="2"/>
  <c r="S90" i="1"/>
</calcChain>
</file>

<file path=xl/sharedStrings.xml><?xml version="1.0" encoding="utf-8"?>
<sst xmlns="http://schemas.openxmlformats.org/spreadsheetml/2006/main" count="1019" uniqueCount="667">
  <si>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</si>
  <si>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</si>
  <si>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</si>
  <si>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</si>
  <si>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</si>
  <si>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</si>
  <si>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</si>
  <si>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</si>
  <si>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</si>
  <si>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</si>
  <si>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</si>
  <si>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</si>
  <si>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</si>
  <si>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</si>
  <si>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</si>
  <si>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</si>
  <si>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</si>
  <si>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</si>
  <si>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</si>
  <si>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</si>
  <si>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</si>
  <si>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</si>
  <si>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</si>
  <si>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</si>
  <si>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</si>
  <si>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</si>
  <si>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</si>
  <si>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</si>
  <si>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</si>
  <si>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</si>
  <si>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</si>
  <si>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</si>
  <si>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</si>
  <si>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</si>
  <si>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</si>
  <si>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Welche Kosten fallen für reguläre Studienprogramme der WiSo-Fakultät an?</t>
  </si>
  <si>
    <t>Die Kosten für reguläre Studienprogramme der WiSo-Fakultät an der Universität zu Köln variieren je nach Studiengang und Art des Studiums (Bachelor oder Master). Hier sind einige allgemeine Informationen:  * Die Studiengebühren für das Bachelor-Studium an der WiSo-Fakultät betragen derzeit 0 Euro pro Semester. Das bedeutet, dass du als Student der Universität zu Köln keine Studiengebühren zahlen musst. * Für das Master-Studium gelten ähnliche Regeln wie für das Bachelor-Studium. Die Studiengebühren betragen ebenfalls 0 Euro pro Semester.  Es ist jedoch wichtig zu beachten, dass du als Student der Universität zu Köln auch andere Kosten haben wirst, wie zum Beispiel:  * Semesterbeitrag: Der Semesterbeitrag beträgt derzeit 302,50 Euro pro Semester. Dieser Beitrag wird für die Nutzung von Einrichtungen und Dienstleistungen an der Universität verwendet. * Studienmaterialien: Du musst auch für Studienmaterialien wie Bücher, Zeitschriften usw. aufkommen.  Es ist ratsam, sich direkt an die Universität zu wenden oder die Homepage der WiSo-Fakultät zu besuchen, um aktuelle Informationen über die Kosten und Anrechnungsmodalitäten zu erhalten.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</si>
  <si>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</si>
  <si>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</si>
  <si>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'file://D:/Uni-Köln/Masterarbeit/Software/uzk-masterarbeit/data/pdf_cache/__wiso.uni-koeln.de_sites_fakultaet_dokumente_downloads_master_UEbersicht_MA_WiMathe_po2015.pdf', 'file://D:/Uni-Köln/Masterarbeit/Software/uzk-masterarbeit/data/pdf_cache/__wiso.uni-koeln.de_sites_fakultaet_dokumente_downloads_bachelor_b_mhb_po15_winfo.pdf']</t>
  </si>
  <si>
    <t>['html', 'pdf', 'pdf', 'pdf', 'pdf']</t>
  </si>
  <si>
    <t>Wie wird die Qualität der WiSo-Absolvent:innen in Rankings und durch Arbeitgebereinschätzungen beschrieben?</t>
  </si>
  <si>
    <t>Die Qualität der WiSo-Absolvent:innen wird in Rankings und durch Arbeitgeberbewertungen wie folgt beschrieben:  * In den Financial Times European Business Schools 2024 Ranking belegt die WiSo-Fakultät einen Spitzenplatz in Deutschland (weltweit Platz 4) im Bereich "Career-Rank". * Die WiSo-Fakultät erreicht Platz 1 in Deutschland (weltweit Rang 12) im Bereich "International Opportunities", der den „International course experience rank“ umfasst. * In der Rubrik “Management” des Financial Times Masters in Management Ranking belegt die WiSo-Fakultät mit der LMU München den 2. Platz deutschlandweit.  Diese Ergebnisse zeigen, dass die WiSo-Absolvent:innen eine hohe Qualität aufweisen und von Arbeitgeber:innen geschätzt werden.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</si>
  <si>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</si>
  <si>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'Wirtschafts- und Sozialwissenschaftli- che Fakultät im Fachbereich “Management” mit der LMU München den 2.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</si>
  <si>
    <t>['https://wiso.uni-koeln.de/en/services/rankings/financial-times', 'https://wiso.uni-koeln.de/de/service/rankings/', 'https://wiso.uni-koeln.de/de/services/rankings/financial-times', 'file://D:/Uni-Köln/Masterarbeit/Software/uzk-masterarbeit/data/pdf_cache/__wiso.uni-koeln.de_sites_fakultaet_dokumente_studium_bachelor_Broschuere-Bachelor_VWL-WiSo_Fakultaet-Uni-Koeln.pdf', 'https://wiso.uni-koeln.de/de/studium/bewerbung/studium-an-der-wiso-fakultaet']</t>
  </si>
  <si>
    <t>['html', 'html', 'html', 'pdf', 'html']</t>
  </si>
  <si>
    <t>Wie ist die internationale Ausrichtung der WiSo-Fakultät beschrieben?</t>
  </si>
  <si>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</si>
  <si>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</si>
  <si>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</si>
  <si>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</si>
  <si>
    <t>['html', 'html', 'html', 'html', 'html']</t>
  </si>
  <si>
    <t>Welches Ziel verfolgen die Lehrinnovationen an der WiSo-Fakultät?</t>
  </si>
  <si>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</si>
  <si>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</si>
  <si>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</si>
  <si>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</si>
  <si>
    <t>['html', 'pdf', 'html', 'html', 'html']</t>
  </si>
  <si>
    <t>Worum geht es beim Lehrprojekt E-PLUS?</t>
  </si>
  <si>
    <t>Das Lehrprojekt E-PLUS ist ein Teil des Studiengangs Wirtschaftspädagogik/Lehramt an Berufskollegs an der Universität zu Köln. Es handelt sich um ein Ergänzungsbereich, der im Master of Education angeboten wird.  Im Rahmen des Lehrprojekts E-PLUS entwickeln die Studierenden Anwendungsszenarien und/oder Prototypen für neue Herausforderungen in der Wirtschaftspädagogik. Das Projekt wird von Univ.-Prof. Dr. Christoph Rosenkranz betreut.  Das Lehrprojekt ist Teil des Studiengangs Wirtschaftspädagogik/Lehramt an Berufskollegs und bietet den Studierenden die Möglichkeit, ihre Kenntnisse und Fähigkeiten in der Wirtschaftspädagogik zu vertiefen.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</si>
  <si>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</si>
  <si>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Christoph Rosenkranz 10 Sonstige Informationen a) Die Vorlesung findet in einem projektbez ogenen Stil statt. Die St udierenden entwickeln Anwendungsszenarien und / oder Prototypen für aufkommende elektronische Geschäfte, implementieren sie und präsentieren sie in der Klas se. b) Der Kurs wird in einem projektbezogenen Format durchgeführt. c) Erforderliche Literatur wird zu Beginn des Semesters bekannt gegeben. --- Page 66 --- BUSINESS ANALYTICS &amp; ECONOMETRICS - MASTER OF SCIENCE 62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Englisch 2 Inhalte des Moduls a) Artificial Int']</t>
  </si>
  <si>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'file://D:/Uni-Köln/Masterarbeit/Software/uzk-masterarbeit/data/pdf_cache/__wiso.uni-koeln.de_sites_fakultaet_dokumente_downloads_Modulhandbuecher_Studienjahr_22-23_MHB_PO2021_m_mhb_po2021_business_analytics.pdf']</t>
  </si>
  <si>
    <t>['pdf', 'pdf', 'pdf', 'pdf', 'pdf']</t>
  </si>
  <si>
    <t>Wie wird E-PLUS organisiert?</t>
  </si>
  <si>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</si>
  <si>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</si>
  <si>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</si>
  <si>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</si>
  <si>
    <t>hard</t>
  </si>
  <si>
    <t>Welchen Vorteil bietet das Projekt E-PLUS?</t>
  </si>
  <si>
    <t>Das Projekt E-PLUS bietet mehrere Vorteile, darunter:  * Eine höhere Motivation der Studierenden durch die Möglichkeit, Bonuspunkte zu sammeln und ihre Leistung in den Modulen zu verbessern. * Eine geringere Anzahl von Fehlern und Abbrüchen durch die Verwendung eines elektronischen Arbeitsblatt-Tools. * Eine bessere Projektplanung und -durchführung durch die Anwendung moderner Methoden wie agiler oder help-basierter Projektmanagement-Systeme. * Eine verbesserte Bewertung der Projekte durch die Berücksichtigung von Unsicherheiten, Komplexität und menschlichem Verhalten.  Es ist jedoch zu beachten, dass diese Informationen aus der Universitäts-Wissensdatenbank stammen und möglicherweise nicht auf das spezifische Projekt E-PLUS bezogen sind.</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</si>
  <si>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</si>
  <si>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</si>
  <si>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'file://D:/Uni-Köln/Masterarbeit/Software/uzk-masterarbeit/data/pdf_cache/__wiso.uni-koeln.de_sites_fakultaet_dokumente_downloads_Modulhandbuecher_Master_MHB_aktuelles_Studienjahr_m_module_catalogue_ba_accounting_po2021.pdf']</t>
  </si>
  <si>
    <t>Modulhandbuch/PO</t>
  </si>
  <si>
    <t>Welche Art von Dokumenten finden Studierende allgemein bezüglich Modulhandbücher und Prüfungsordnungen?</t>
  </si>
  <si>
    <t>Studierende finden allgemein folgende Arten von Dokumenten bezüglich Modulhandbücher und Prüfungsordnungen:  *   Gültige Modulhandbücher und Prüfungsordnungen des aktuell laufenden Studienjahres *   Modulhandbuch-Archiv für vergangene Studienjahre *   Prüfungsordnung (PO) 2021  Diese Dokumente sind im Internet verfügbar und können auf der Universitäts-Website abgerufen werden.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</si>
  <si>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</si>
  <si>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t>
  </si>
  <si>
    <t>['https://wiso.uni-koeln.de/de/studium/modulhandbuecher-und-pruefungsordnungen', 'https://wiso.uni-koeln.de/de/studium/bachelor/bachelor-vwl/studienaufbau',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'file://D:/Uni-Köln/Masterarbeit/Software/uzk-masterarbeit/data/pdf_cache/__wiso.uni-koeln.de_sites_fakultaet_dokumente_downloads_Modulhandbuecher_Bachelor_MHB_aktuelles_Studienjahr_b_module_catalogue_management_economics_social_sciences_po2021.pdf']</t>
  </si>
  <si>
    <t>['html', 'html', 'pdf', 'pdf', 'pdf']</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</si>
  <si>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</si>
  <si>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</si>
  <si>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</si>
  <si>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</si>
  <si>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</si>
  <si>
    <t>Welche Bachelorstudiengänge der WiSo-Fakultät haben ein eigenes Modulhandbuch unter PO 2021?</t>
  </si>
  <si>
    <t>Basierend auf den Suchergebnissen können folgende Bachelorstudiengänge der WiSo-Fakultät ein eigenes Modulhandbuch unter PO 2021 haben:  * Betriebswirtschaftslehre (BWL)  Bitte beachten Sie, dass die Informationen in der Universitäts-Wissensdatenbank aktuell sein sollten. Es ist immer ratsam, direkt bei der Universität oder der Fakultät nachzufragen, falls Zweifel bestehen.</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</si>
  <si>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</si>
  <si>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</si>
  <si>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'file://D:/Uni-Köln/Masterarbeit/Software/uzk-masterarbeit/data/pdf_cache/__wiso.uni-koeln.de_sites_fakultaet_dokumente_downloads_bachelor_b_mhb_po2021_winfo.pdf']</t>
  </si>
  <si>
    <t>['html', 'html', 'pdf', 'html', 'pdf']</t>
  </si>
  <si>
    <t>Wo finden Bachelorstudierende die zugehörigen Prüfungsordnungen der PO 2021?</t>
  </si>
  <si>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</si>
  <si>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</si>
  <si>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</si>
  <si>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</si>
  <si>
    <t>['html', 'pdf', 'html', 'pdf', 'html']</t>
  </si>
  <si>
    <t>Für wen gelten die Dokumente zur Master-Prüfungsordnung (PO) 2021?</t>
  </si>
  <si>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</si>
  <si>
    <t>Die Dokumente zur Master PO 2021 gelten für Studierende, die nach der Prüfungsordnung 2021 studieren und sich ab dem Wintersemester 2021/22 eingeschrieben haben.</t>
  </si>
  <si>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</si>
  <si>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</si>
  <si>
    <t>Für welche Masterstudiengänge werden im Rahmen der Master Prüfungsordnung PO 2021 Modulhandbücher bereitgestellt?</t>
  </si>
  <si>
    <t>Die Universitäts-Wissensdatenbank enthält Informationen zu den Masterstudiengängen mit Modulhandbüchern PO 2021. Die folgenden Masterstudiengänge haben gültige Modulhandbücher und Prüfungsordnungen der PO 2021:  * Betriebswirtschaftslehre (BWL) * Volkswirtschaftslehre * Gesundheitsökonomie  Diese Informationen sind ab dem Studienjahr 2021/22 gültig. Es ist wichtig, sich auf die aktuelle Prüfungsordnung und das entsprechende Modulhandbuch zu beziehen.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</si>
  <si>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</si>
  <si>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 Studierende der PO 2021 (Einschreibung ab WiSe 2021/22) MODULHANDBUCH - GESUNDHEITSÖKONOMIE - BACHELOR OF SCIENCE 9 --- Page 14 --- Gültig für Studierende der PO 2021 (Einschreibung ab WiSe 2021/22) MODULHANDBUCH - GESUNDHEITSÖKONOMIE - BACHELOR OF SCIENCE 10 Studies Abroad in Management IBasismodul Gesundheitsökonomie IIB.Sc. Gesundheitsökonomie (inkl. Auslandssemester -Start WiSe )1. Semester 3. Semester 2. Semester BachelorarbeitLP 30 30 30 30 P 1282BMGES1Basismodul Grundlagen der Volkswirtschaftslehre 12 LP P 1289BBGVL1 Basismodul Entscheidungstheorie 6 LP P 1282BBEDT1Basismodul Gesundheitssysteme I 6 LPBasismodul Terminologie 6 LP P 1282BBTER1 Basismodul Gesundheitssysteme II 6 LPBasismodul Kasuistik A 6 LP P 1282BBKAS1Basismodul Statistik (SoWi ): Sozialwissenschaftliche Datenauswertung 6 LP P 1320BBSSD1 Basis/ Aufbau Schwerpunkt Ergänzung Bereiche4. Semester 30 306. Semester Studium IntegraleBasismodul Gesundheitsökonomie III 9 LP P 1282BBGOE3 12 LPStudies Abroad in Health Care Management I 6 LP WPStudies Abroad in Health Care Management II 6 LP WP Schwerpunktbereich Seminar (2/2) 6 LP WPBasismodul Management im Gesundheitswesen 9 LPP 1282BBMMG1 P 1282BBGOE2 Basismodul Grundlagen der Betriebswirtschaftslehre 12 LP P 1230BBGDB1 Basismodul Kasuistik B 6 LP P 1282BBKAS2Basismodul Gesundheitsökonomie I 6 LP P 1282BBGOE1 Basismodul Gesundheitsökonomie IV 6 LP P 1282BBGOE4Wirtschaftswissen - schaftliche Methoden (2/2) 6 LP WP Studium Integrale 6 LP P WP Schwerpunktmodul 6']</t>
  </si>
  <si>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t>
  </si>
  <si>
    <t>Wo finden Masterstudierende die Masterprüfungsordnung für die WiSo-Studiengänge?</t>
  </si>
  <si>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</si>
  <si>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</si>
  <si>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</si>
  <si>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</si>
  <si>
    <t>['html', 'html', 'pdf', 'html', 'html']</t>
  </si>
  <si>
    <t>Bachelor-Studium</t>
  </si>
  <si>
    <t>Welche Möglichkeiten schafft mir ein Bachelorabschlusses an der WiSo-Fakultät?</t>
  </si>
  <si>
    <t>Ein Bachelorabschluss an der WiSo-Fakultät bietet Ihnen viele Möglichkeiten für Ihre weitere Karriere. Hier sind einige der wichtigsten:  1.  **Direkte Einstellung**: Ein wirtschafts- oder sozialwissenschaftlicher Bachelor-Abschluss bereitet Sie direkt auf den Beruf vor und ermöglicht eine schnelle Einstellung in Ihrem gewünschten Bereich. 2.  **Trainee-Programme**: Viele Unternehmen bieten Trainee-Programme an, die Ihnen die Möglichkeit geben, Ihre Fähigkeiten in einem realen Umfeld zu erproben und sich auf Ihre zukünftige Karriere vorzubereiten. 3.  **Weiterführende Masterstudiengänge**: Ein Bachelorabschluss ist oft eine Voraussetzung für einen Masterstudiengang, der Ihnen die Möglichkeit bietet, tiefer in ein bestimmtes Fachgebiet einzusteigen und sich auf eine akademische Karriere vorzubereiten. 4.  **Wissenschaftliche Karriere**: Ein Bachelorabschluss kann auch als Ausgangspunkt für eine wissenschaftliche Karriere dienen, indem Sie sich auf einen Master- oder Doktoranden-Studiengang vorbereiten.  Die WiSo-Fakultät bietet Ihnen eine breite Palette an Möglichkeiten, um Ihre Ziele zu erreichen.</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</si>
  <si>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</si>
  <si>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</si>
  <si>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</si>
  <si>
    <t>Welche Bachelorstudiengänge bietet WiSo-Fakultät allgemein an?</t>
  </si>
  <si>
    <t>Die WiSo-Fakultät der Universität zu Köln bietet folgende Bachelorstudiengänge an:  * Wirtschaftsinformatik * Wirtschaftswissenschaften (BWL) * Volkswirtschaftslehre * Soziologie * Psychologie * Politikwissenschaft * Philosophie  Bitte beachten Sie, dass die Angebote und Bedingungen je nach Studiengang variieren können. Es ist immer ratsam, sich direkt an der Universität oder bei der Studienberatung zu informieren, um die aktuellsten Informationen zu erhalten.</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</si>
  <si>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</si>
  <si>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</si>
  <si>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</si>
  <si>
    <t>Was macht den Standort Köln attraktiv?</t>
  </si>
  <si>
    <t>Köln ist ein attraktiver Standort für Studierende aufgrund seiner vielfältigen Angebote. Die Universität zu Köln bietet eine breite Palette an Studiengängen und Forschungsmöglichkeiten, die sich gut in das wirtschaftliche und kulturelle Umfeld der Stadt integrieren lassen.  Die Nähe zur Wirtschaft und Industrie ermöglicht es Studierenden, praktische Erfahrungen zu sammeln und Kontakte zu knüpfen. Die Stadt Köln selbst bietet eine reiche Kultur- und Freizeitangebote, von Museen bis hin zu historischen Bauwerken und Naturgebieten.  Darüber hinaus gibt es viele Möglichkeiten für Studierende, sich in die Stadt zu verlieben und aktiv an der Gemeinschaft teilzunehmen. Die Universität selbst bietet Unterstützung im Bereich Management- &amp; Führungskompetenz für wissenschaftliche Leitungskräfte und speziell für Neuberufene.  Insgesamt bietet Köln eine einzigartige Mischung aus Bildung, Kultur und Unterhaltung, die es Studierenden ermöglicht, sich optimal zu entwickeln und ihre Ziele zu erreichen.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</si>
  <si>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</si>
  <si>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</si>
  <si>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</si>
  <si>
    <t>['pdf', 'pdf', 'html', 'html', 'pdf']</t>
  </si>
  <si>
    <t>Services/Info</t>
  </si>
  <si>
    <t>Was ist „Chat with Paco“?</t>
  </si>
  <si>
    <t>Es tut mir leid, aber ich konnte keine relevanten Informationen über "Chat with Paco" finden. Es ist möglich, dass es sich um ein neues Programm oder eine neue Funktion handelt, die noch nicht in der Universitäts-Wissensdatenbank enthalten ist.  Wenn du möchtest, kann ich versuchen, dir mehr allgemeine Informationen über die WiSo-Fakultät der Universität zu Köln oder andere Fragen zu beantworten.</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</si>
  <si>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</si>
  <si>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'Arbeitswelt von Sozialwissenschaftler:innen und ermöglicht die Reflexion und Anwendung der im Studium erworbenen analytischen Fähigkeiten.\n\nzum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ausgeprägtes Interesse an gesellschaftlichen und politischen Fragestellungen\n- abstraktes und konzeptionelles Denkvermögen\n- gute analytische Fähigkeiten und mathematisches Grundverständnis\n-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Sozialwissenschaften und zum Studierendenleben an der Un',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</si>
  <si>
    <t>['https://wiso.uni-koeln.de/de/services/wiso-student-service-point/studieninteressierte', 'https://wiso.uni-koeln.de/de/studium/bachelor/bachelor-wirtschaftsinformatik', 'https://wiso.uni-koeln.de/en/services/service-and-advice-wiso-faculty/prospective-students', 'https://wiso.uni-koeln.de/de/studium/bachelor/bachelor-sozialwissenschaften', 'https://wiso.uni-koeln.de/de/studium/bachelor/bachelor-management-economics-social-sciences']</t>
  </si>
  <si>
    <t>Welche Bachelor-Verbundstudiengänge mit WiSo-Beteiligung werden angeboten?</t>
  </si>
  <si>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Informationen benötigen oder spezifische Fragen haben,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</si>
  <si>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</si>
  <si>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</si>
  <si>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</si>
  <si>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Welche Nebenfächer im Rahmen des Bachelorstudiums Geographie werden von der WiSo-Fakultät angeboten?</t>
  </si>
  <si>
    <t>Basierend auf den Suchergebnissen kann ich dir sagen, dass die WiSo-Fakultät folgende Nebenfächer im Rahmen des Bachelorstudiums Geographie anbietet:  - Betriebswirtschaftslehre - Volkswirtschaftslehre - Sozialwissenschaften  Bitte beachte, dass du dich für diese Nebenfächer entscheiden musst und sie Teil deines Studienplans werden. Wenn du weitere Fragen hast oder mehr Informationen benötigst, stehe ich gerne zur Verfügung!</t>
  </si>
  <si>
    <t>Im Bachelorstudiengang Geographie bietet die WiSo-Fakultät in folgenden Bereichen Angebote für die Nebenfächer an: Betriebswirtschaftslehre, Volkswirtschaftslehre und Sozialwissenschaften</t>
  </si>
  <si>
    <t>[]</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</si>
  <si>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</si>
  <si>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 zum ersten Fachsemester jeweils zum Wintersemester erfolgt. Die Bewerbungsanträge für das erste Fachsemester müssen bis zum 15. Juni eines Jahres eingereicht werden (Ausschlussfristen).  Die Bachelorstudiengänge der WiSo-Fakultät, die auch im Sommersemester angeboten werden, sind:  * Betriebswirtschaftslehre * Volkswirtschaftslehre</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</si>
  <si>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</si>
  <si>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</si>
  <si>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</si>
  <si>
    <t>Für welche Bachelorstudiengänge der WiSo-Fakultät ist ein Studienstart auch im Sommersemester möglich?</t>
  </si>
  <si>
    <t>Basierend auf den Suchergebnissen kann ich folgern:  **Bachelorstudiengänge der WiSo-Fakultät, bei denen ein Studienstart auch im Sommersemester möglich ist:**  * Betriebs- und Volkswirtschaftslehre  Die anderen Bachelorstudiengänge der WiSo-Fakultät starten nur zum Wintersemester.</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</si>
  <si>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</si>
  <si>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</si>
  <si>
    <t>['https://wiso.uni-koeln.de/de/studium/studienorganisation/faq/bachelor', 'https://wiso.uni-koeln.de/de/studium/bewerbung/bachelor', 'https://wiso.uni-koeln.de/de/studium/bachelor', 'https://wiso.uni-koeln.de/en/studies/organising-your-studies/faq/bachelor', 'https://wiso.uni-koeln.de/de/studium/studienorganisation/faq/allgemeine-fragen']</t>
  </si>
  <si>
    <t>Master-Studium</t>
  </si>
  <si>
    <t>Wann beginnen die angebotenen Masterprogramme?</t>
  </si>
  <si>
    <t>Die Masterprogramme an der Universität zu Köln beginnen nur zum Wintersemester, also im September jeden Jahres. Die Bewerbung erfolgt online über KLIPS und die Bewerbungsfristen variieren je nach Studiengang. Es ist ratsam, sich auf der Seite des Masterbewerbungsverfahrens umfassend zu informieren.  Wenn du weitere Fragen hast oder spezifische Informationen benötigst, stehe ich gerne zur Verfügung!</t>
  </si>
  <si>
    <t>Die angebotenen Masterprogramme starten zum Wintersemester. Die Bewerbung erfolgt bis Mitte des Jahres.</t>
  </si>
  <si>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</si>
  <si>
    <t>['https://wiso.uni-koeln.de/de/studium/bachelor/bachelor-vwl', 'https://wiso.uni-koeln.de/de/studium/studienorganisation/faq/allgemeine-fragen',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t>
  </si>
  <si>
    <t>Was ist für eine Bewerbung in ein höheres Fachsemester eines Bachelorstudiengangs an der WiSo-Fakultät erforderlich?</t>
  </si>
  <si>
    <t>Um auf ein höheres Fachsemester an der WiSo-Fakultät zu bewerben, benötigen Sie:  * Eine Bescheinigung über den Quereinstieg (falls Ihr bisheriger Studiengang nicht identisch ist mit dem an der WiSo-Fakultät gewünschten) * Eine Fachsemestereinstufung (falls Sie als Quereinsteiger/in eingestuft werden)  Diese Unterlagen müssen im Rahmen der Bewerbung beim Studierendensekretariat/International Office eingereicht werden. Nach erfolgter Immatrikulation müssen Sie im Prüfungsamt einen abschließenden Antrag auf Anerkennung einreichen.  Es ist wichtig, dass Sie sich über die Bewerbungsfristen und das Bewerbungsverfahren informieren, da dies je nach Studiengang variieren kann. Es empfiehlt sich, sich direkt an das Studierendensekretariat/International Office der Universität zu Köln zu wenden, um alle notwendigen Informationen zu erhalten.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</si>
  <si>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</si>
  <si>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</si>
  <si>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</si>
  <si>
    <t>Unter welchen Voraussetzungen ist ein Studium an der WiSo-Fakultät auch ohne Abitur möglich?</t>
  </si>
  <si>
    <t>Es tut mir leid, aber ich konnte keine Informationen finden, die besagen, dass ein Studium an der WiSo-Fakultät ohne Abitur möglich ist. Die Universität zu Köln erfordert in der Regel ein Abitur für den Zugang zum Bachelor-Studiengang.  Wenn Sie jedoch bereits einen gleichwertigen Studiengang oder eine Prüfung abgeschlossen haben, können Sie möglicherweise ein Studium an der WiSo-Fakultät aufnehmen. In diesem Fall sollten Sie sich direkt an die Studienberatung wenden, um Ihre individuellen Umstände zu besprechen.  Es ist auch möglich, dass bestimmte Studiengänge oder Master-Studiengänge an der WiSo-Fakultät ohne Abitur zugänglich sind. Hierfür empfehle ich Ihnen, sich direkt an die Studienberatung der Universität zu wenden, um Ihre Fragen und Bedenken zu besprechen.  Ich hoffe, diese Informationen helfen Ihnen weiter. Wenn Sie weitere Fragen haben, stehe ich Ihnen gerne zur Verfügung.</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</si>
  <si>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</si>
  <si>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</si>
  <si>
    <t>['https://wiso.uni-koeln.de/de/studium/master', 'https://wiso.uni-koeln.de/de/studium/studienorganisation/faq/allgemeine-fragen', 'https://wiso.uni-koeln.de/de/studium/studieren-nach-pruefungsordnung-2007-2008/bachelor-po-2007/studienaufbau-bachelor-lehramt-po-2007', 'https://wiso.uni-koeln.de/de/studium/international/international-options-for-wiso-students', 'https://wiso.uni-koeln.de/en/studium/international/international-options-for-wiso-students']</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</si>
  <si>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</si>
  <si>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Die Studienberater*Innen bieten eine persönliche Beratung im WiSo Student Service Point (WiSSPo) an, um Ihnen bei Ihrer Studienwahl und -organisation zu helfen. Sie sind auch für Fragen zur Bewerbung und Zulassung verantwortlich.  Sie können sich auch auf den folgenden Seiten informieren:  * Bachelorstudium: FAQ * Masterbewerbung an der WiSo-Fakultät * Weitere Informationen und Kontakt  Die Studienberatung ist immer erreichbar, um Ihnen bei Ihren Fragen zu helfen.</t>
  </si>
  <si>
    <t>Bei offenen Fragen zu den Studiengängen und zum Bewerbungsverfahren können sich Studieninteressierte an den WiSo Student Service Point wenden – entweder in einem persönlichen Gespräch, telefonisch oder über ein Anfragenformular.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</si>
  <si>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</si>
  <si>
    <t>['https://wiso.uni-koeln.de/de/studium/studienorganisation/faq/bachelor', 'https://wiso.uni-koeln.de/de/studium/master/master-business-administration/corporate-development', 'https://wiso.uni-koeln.de/en/services/wiso-student-service-point/study-guidance-at-wiso', 'https://wiso.uni-koeln.de/de/studium/bachelor/bachelor-lehramt/studienaufbau', 'https://wiso.uni-koeln.de/de/studium/bachelor/bachelor-lehramt/studienaufbau']</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</si>
  <si>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</si>
  <si>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</si>
  <si>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</si>
  <si>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</si>
  <si>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</si>
  <si>
    <t>Was genau ist der „Master-Virtuelle Infotag“ der WiSo-Fakultät?</t>
  </si>
  <si>
    <t>Der "Master-Virtuelle Infotag" der WiSo-Fakultät ist ein Online-Event, bei dem Interessierte an Masterstudiengängen in Management, Wirtschafts- und Sozialwissenschaften an der Universität zu Köln teilnehmen können. Dabei haben sie die Möglichkeit, mehr über die WiSo-Fakultät, die Studienprogramme und die Karriereperspektiven nach dem Abschluss zu erfahren. Es werden auch Vertreter aus verschiedenen Bereichen wie Student Service Point, Career Office, International Office und Zulassungsbüro vorstellen. Der Infotag bietet eine gute Gelegenheit, Fragen zu stellen und sich über die Masterprogramme zu informieren.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</si>
  <si>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</si>
  <si>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'WiSo-Fakultät\n- Master Information Systems der WiSo-Fakultät\n- Master Business Analytics &amp; Econometrics der WiSo-Fakultät\n\nZurück\n\n#### Social-Media-Kanäle der WiSo-Fakultät\n\n[ follow us! ]\n\nHI\n\nzum Seitenanfang']</t>
  </si>
  <si>
    <t>['https://wiso.uni-koeln.de/de/services/wiso-student-service-point/studieninteressierte/virtueller-infotag', 'https://wiso.uni-koeln.de/de/studium/master', 'https://wiso.uni-koeln.de/de/services/wiso-student-service-point/studieninteressierte/virtueller-infotag', 'https://wiso.uni-koeln.de/de/studium/master/master-information-systems', 'https://wiso.uni-koeln.de/de/aktuelles-und-neuigkeiten/news-einzelansicht/wiso-erneut-fuehrend-im-ranking-der-wirtschaftsinformatik']</t>
  </si>
  <si>
    <t>Wo finden internationale Studieninteressierte Informationen zum Bewerbungsverfahren für einen WiSo-Bachelor?</t>
  </si>
  <si>
    <t>Die internationale Studieninteressierten finden Informationen zum Bewerbungsverfahren für einen WiSo-Bachelor auf der Universitäts-Website unter folgenden Links:  * Bachelor's programme * Master's programme  Hier können sie sich über die verschiedenen Studiengänge und das Bewerbungsverfahren informieren. Es ist auch möglich, dass sie sich direkt an den WiSo Student Service Point wenden, um individuelle Beratung zu erhalten.  Darüber hinaus finden sie auf der Website Antworten auf häufig gestellte Fragen (FAQ) zum Bachelorstudium, einschließlich Informationen über die Aufnahme eines Studiums, Voraussetzungen für ein Studium und Aspekte während des Studiums.</t>
  </si>
  <si>
    <t>Internationale Studieninteressierte sollen sich vor der Bewerbung beim International Office der Universität zu Köln über das Bewerbungsverfahren informieren. Der Link zum International Office ist auf der WiSo-Bachelor-Bewerbungsseite hinterlegt.</t>
  </si>
  <si>
    <t>["offered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</si>
  <si>
    <t>['https://wiso.uni-koeln.de/en/studies/application/studying-at-the-wiso-faculty', 'https://wiso.uni-koeln.de/de/studium/bachelor/bachelor-vwl', 'https://wiso.uni-koeln.de/en/studies/bachelor/information-systems', 'https://wiso.uni-koeln.de/de/studium/master/master-business-administration/corporate-development', 'https://wiso.uni-koeln.de/de/studium/studienorganisation/faq/bachelor']</t>
  </si>
  <si>
    <t>Studiengang spezifisch</t>
  </si>
  <si>
    <t>Welche Eckdaten (Abschluss, Dauer, Credits, Sprache, Internationales) zum Master Information Systems kannst du mir nennen?</t>
  </si>
  <si>
    <t>Ich entschuldige mich für die unklare Antwort. Basierend auf den Suchergebnissen kann ich dir folgende Eckdaten zum Master Information Systems der Universität zu Köln nennen:  * Abschluss: Master of Science (M.Sc.) * Dauer: 2 Jahre * Credits: 120 ECTS-Credits * Sprache: Deutsch (mit englischen Modulen möglich) * Internationales: Es gibt Möglichkeiten, internationale Module und Auslandssemester zu absolvieren.  Bitte beachte, dass diese Informationen sich ändern können. Ich empfehle dir, direkt mit der Universität oder der Studienberatung Kontakt aufzunehmen, um die aktuellsten Informationen zu erhalten.</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</si>
  <si>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</si>
  <si>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</si>
  <si>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'file://D:/Uni-Köln/Masterarbeit/Software/uzk-masterarbeit/data/pdf_cache/__wiso.uni-koeln.de_sites_fakultaet_dokumente_downloads_master_Studienjahr_24-25_m_mhb_po2021_e_ba_scm.pdf']</t>
  </si>
  <si>
    <t>Worum geht es inhaltlich im Studiengang Master Information Systems?</t>
  </si>
  <si>
    <t>Basierend auf den Suchergebnissen kann ich sagen, dass der Master-Studiengang "Information Systems" an der Universität zu Köln ein interdisziplinärer Studiengang ist, der sich mit der Gestaltung und dem Management von Informations- und Kommunikationssystemen beschäftigt. Der Studiengang bietet eine doppelte Qualifikation in Wirtschaftswissenschaften und Informatik.  Der Master-Studiengang umfasst verschiedene Module, darunter:  * Seminar Information Systems I * Advanced Seminar Collaborative Innovation Networks * Advanced Seminar Information Systems for Sustainable Society * Advanced Seminar Information Systems and Digital Technology  Außerdem gibt es die Möglichkeit, sich auf einen der folgenden Profile zu spezialisieren:  * Business Analytics und Data Science * Digital Innovation und Entrepreneurship * Digitale Nachhaltige Gesellschaft  Der Master-Studiengang endet mit einer Masterarbeit.</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</si>
  <si>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</si>
  <si>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</si>
  <si>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</si>
  <si>
    <t>['html', 'pdf', 'pdf', 'html', 'pdf']</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</si>
  <si>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</si>
  <si>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</si>
  <si>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</si>
  <si>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</si>
  <si>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</si>
  <si>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</si>
  <si>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</si>
  <si>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</si>
  <si>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</si>
  <si>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</si>
  <si>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</si>
  <si>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</si>
  <si>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</si>
  <si>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</si>
  <si>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</si>
  <si>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</si>
  <si>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</si>
  <si>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</si>
  <si>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</si>
  <si>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</si>
  <si>
    <t>Wie beschreibt die WiSo-Fakultät den Praxisbezug im Masterstudiengang Information Systems?</t>
  </si>
  <si>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</si>
  <si>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</si>
  <si>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</si>
  <si>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</si>
  <si>
    <t>['html', 'pdf', 'pdf', 'pdf', 'html']</t>
  </si>
  <si>
    <t>Welche Beratungsangebote für Studieninteressierte werden im Zusammenhang mit dem Master Information Systems angeboten und wer koordiniert sie?</t>
  </si>
  <si>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</si>
  <si>
    <t>Studieninteressierte werden auf Orientierungs- und Beratungsangebote hingewiesen, die vom WiSo Student Service Point koordiniert werden und eine individuelle, auf die Bedürfnisse der Interessierten zugeschnittene Beratung bieten.</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</si>
  <si>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</si>
  <si>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</si>
  <si>
    <t>['html', 'html', 'html', 'pdf', 'pdf']</t>
  </si>
  <si>
    <t>Wie unterstützt der WiSo-Career-Service Studierende?</t>
  </si>
  <si>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bietet der WiSo-Career-Service gemeinsam mit den fakultäts- und universitätsinternen Partnern bei der Berufsfindungsphase Unterstützung und gezielte Hilfestellung an.  Für weitere Informationen oder um einen Termin zu vereinbaren, können Sie sich an den WiSo Career Service wenden.</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</si>
  <si>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</si>
  <si>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</si>
  <si>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'https://wiso.uni-koeln.de/en/studies/master/master-sociology/master-social-research']</t>
  </si>
  <si>
    <t>['pdf', 'pdf', 'pdf', 'html', 'html']</t>
  </si>
  <si>
    <t>Welche Unterlagen muss ich meiner Verifikationsagentur geben, damit sie meinen Abschluss prüfen lassen kann?</t>
  </si>
  <si>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</si>
  <si>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</si>
  <si>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</si>
  <si>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</si>
  <si>
    <t>In welchem Dateiformat müssen die Unterlagen für eine Verifikationsanfrage eingereicht werden? Reicht ein Foto als JPG oder PNG?</t>
  </si>
  <si>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</si>
  <si>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</si>
  <si>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</si>
  <si>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</si>
  <si>
    <t>Wie lange kann die Bearbeitung von Verifikationsanfragen zur Verifikation von Abschlüssen an der WiSo-Fakultät dauern und was gilt für Nachfragen in den ersten drei Wochen nach Versand der Unterlagen?</t>
  </si>
  <si>
    <t>Die Bearbeitung von Verifikationsanfragen zur Verifikation von Abschlüssen an der WiSo-Fakultät kann mehrere Wochen in Anspruch nehmen. Nachfragen innerhalb der ersten drei Wochen nach Versand der Unterlagen werden empfohlen, um eine schnelle Bearbeitung zu gewährleisten.  Es ist ratsam, die Vorlage "Einwilligungserklärung zur Verifikation von Abschlüssen" (pdf) zu nutzen und die notwendigen Unterlagen vollständig einzureichen. Wenn alle Unterlagen vorliegen, wird das Verfahren wie folgt ablaufen:  1. Überprüfung der Vollständigkeit der Unterlagen 2. Prüfung der Anerkennung von Referenzen aus dem bisherigen Studiengang  Wenn Sie weitere Fragen haben oder Hilfe benötigen, können Sie sich gerne an die WiSo-Studienberatungsstelle wenden.</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</si>
  <si>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</si>
  <si>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</si>
  <si>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'https://wiso.uni-koeln.de/de/studium/studienorganisation/faq/master']</t>
  </si>
  <si>
    <t>Was ist mit einer Verifikationsanfrage gemeint?</t>
  </si>
  <si>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Es wird empfohlen, eine Vorlage für die Einwilligungserklärung zur Verifikation von Abschlüssen (pdf) zu verwenden. Die Bearbeitung dieser Anfragen kann mehrere Wochen in Anspruch nehmen, daher wird gebeten, von Nachfragen innerhalb der ersten drei Wochen nach Versand der Unterlagen abzusehen.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</si>
  <si>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</si>
  <si>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</si>
  <si>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'file://D:/Uni-Köln/Masterarbeit/Software/uzk-masterarbeit/data/pdf_cache/__wiso.uni-koeln.de_sites_fakultaet_dokumente_PA_formulare_abschlussunterlagen.pdf']</t>
  </si>
  <si>
    <t>An welche Stellen kann ich mich wenden, wenn ich Probleme oder Beschwerden zu meinem Studium habe?</t>
  </si>
  <si>
    <t>Wenn Sie Probleme oder Beschwerden zu Ihrem Studium haben, können Sie sich an folgende Stellen wenden:  1. WiSSPo (WiSo Student Service Point): Sie können persönlich, per E-Mail oder telefonisch Kontakt aufnehmen und Ihr Anliegen einbringen. 2. Beschwerdemanagement: Die Wiso-Fakultät hat ein organisiertes System für die Entgegennahme von Beschwerden und Problemen von Studierenden.  Es ist wichtig zu beachten, dass alle Anliegen diskret und anonym behandelt werden können. Wenn das Feedback die Beratung und den Service des WiSo Student Service Point selbst betrifft, sollten Sie sich direkt an das WiSSPo-Kontaktformular wenden.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</si>
  <si>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</si>
  <si>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</si>
  <si>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</si>
  <si>
    <t>['pdf', 'html', 'pdf', 'html', 'html']</t>
  </si>
  <si>
    <t>Was passiert, nachdem ich ein Problem beim WiSSPo gemeldet habe?</t>
  </si>
  <si>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</si>
  <si>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</si>
  <si>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</si>
  <si>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</si>
  <si>
    <t>Wie sieht der Prozess des Beschwerdemanagements an der WiSo-Fakultät aus?</t>
  </si>
  <si>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</si>
  <si>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</si>
  <si>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</si>
  <si>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</si>
  <si>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International</t>
  </si>
  <si>
    <t>Welche Möglichkeiten habe ich als WiSo-Student:in grundsätzlich, um ins Ausland zu gehen?</t>
  </si>
  <si>
    <t>Als WiSo-Student:in hast du verschiedene Möglichkeiten, ins Ausland zu gehen:  1. **Study Abroad Programme (STAP)**: Ein Austauschprogramm, das es dir ermöglicht, für einen Semester an einer der Partneruniversitäten der WiSo-Fakultät zu studieren. Du kannst zwischen ERASMUS-Austauschen und anderen Möglichkeiten wählen. 2. **Tuition-free single-term exchanges (STAP Bachelor/ STAP Master)**: Ein Austauschprogramm, das es dir ermöglicht, für einen Semester an einer der Partneruniversitäten der WiSo-Fakultät zu studieren, ohne dass du Studiengebühren zahlen musst. 3. **Selbstfinanzierte Auslandsaufenthalte**: Du kannst auch selbst finanziert ins Ausland gehen und an einer Universität studieren, die nicht Teil des STAP-Programms ist.  Es lohnt sich, dich bei der Studienberatung zu informieren, um alle Möglichkeiten und Anforderungen kennenzulernen.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</si>
  <si>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</si>
  <si>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</si>
  <si>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</si>
  <si>
    <t>['pdf', 'html', 'html', 'pdf', 'pdf']</t>
  </si>
  <si>
    <t>Welche weiteren Finanzierungsmöglichkeiten für Auslandsstudium, Forschungsaufenthalte und Praktika gibt es neben ERASMUS?</t>
  </si>
  <si>
    <t>Es gibt verschiedene Finanzierungsmöglichkeiten für Auslandsstudium, Forschungsaufenthalte und Praktika neben ERASMUS. Einige Beispiele sind:  *   Der Study Abroad Programme (STAP) der Universität zu Köln, der einen einsemestrigen Austausch an einer renommierten Partnerhochschule ermöglicht. *   Das Double Master's Programm mit der Universität Groningen, das eine Finanzierung für den Studienaufenthalt bietet. *   Die Möglichkeit, bei Unternehmen oder Organisationen ein Praktikum zu absolvieren und hierfür finanzielle Unterstützung zu erhalten.  Es ist ratsam, sich an die International Relations Center (ZIB) der Universität zu Köln oder das Central International Office wenden, um weitere Informationen über Finanzierungsmöglichkeiten für Auslandsstudium, Forschungsaufenthalte und Praktika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</si>
  <si>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</si>
  <si>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'nt, living expenses and learning materials must be paid by the student.\n\nFinancing and funding\n\nYou can find information on financing your studies here.\n\nStudents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Sociology: Social Research and choose the option "I would like to apply for a Double Master\'s Programme".\n\nYou have further questions on the application and admission procedure? You find a detailed description on the process and how to file and application as well as FAQs here.\n\nHI\n\nzum Seitenanfang']</t>
  </si>
  <si>
    <t>['https://wiso.uni-koeln.de/de/studium/international/international-options-for-wiso-students/erasmus-funding',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'https://wiso.uni-koeln.de/de/studium/bewerbung/master/double-masters-programme-in-demography-and-social-inequality']</t>
  </si>
  <si>
    <t>Was ist das „STAP Master Term Abroad“ und welche Vorteile habe ich dadurch?</t>
  </si>
  <si>
    <t>Das "STAP Master Term Abroad" ist ein Austauschprogramm der Wirtschafts- und Sozialwissenschaftlichen Fakultät (WiSo) der Universität zu Köln. Durch dieses Programm kannst du einen Teil deines Studiums an einer Partneruniversität im Ausland verbringen.  Die Vorteile des STAP Master Term Abroad sind:  * Du kannst ein Jahr lang an einer internationalen Universität studieren und somit deine Sprach- und Kulturkenntnisse verbessern. * Du hast die Möglichkeit, neue Menschen kennenzulernen und Kontakte zu knüpfen, die dir in deiner beruflichen Zukunft helfen können. * Du kannst deine Fähigkeiten und Kenntnisse im internationalen Umfeld erweitern und dich somit besser auf den globalen Arbeitsmarkt vorbereiten. * Du hast Zugang zu einer Vielzahl von Partneruniversitäten weltweit, darunter auch in Asien, Ozeanien, Europa und Nordamerika. * Wenn du an einem ERASMUS+-Partneruniversität studierst, erhältst du zusätzliches Mobilitätsfonds ohne separate Antragstellung.  Es ist jedoch wichtig zu beachten, dass die Auswahl der Partneruniversitäten je nach Master-Studiengang variiert. Du kannst die möglichen Optionen in der WiSo EXchange (WEX) International Outgoings Portal auflisten und weitere Informationen über jede Universität erhalten.  Zusätzlich hast du als STAP-Absolvent direkten Kontakt und organisatorischen Support an der Partneruniversität und bist von den dortigen Studiengebühren befreit.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</si>
  <si>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</si>
  <si>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t>
  </si>
  <si>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</si>
  <si>
    <t>Nach welchen Kriterien wird im STAP Master Term Abroad entschieden, wer einen Platz erhält?</t>
  </si>
  <si>
    <t>Basierend auf den Suchergebnissen kann ich sagen, dass die Auswahlkriterien für den STAP Master Term Abroad wie folgt sind:  * Für 1. MSc-Term-Studierende:  + 61% Abschlussnote im Bachelor  + 9% Zulassungstest  + 30% Bewertung von CV (Praktika, außerschulische Aktivitäten, Motivationsschreiben/ Studienplan) * Für 2. MSc-Term-Studierende:  + 61% aktuelle Master-Note  + 9% Zulassungstest  + 30% Bewertung von CV (Praktika, außerschulische Aktivitäten, Motivationsschreiben/ Studienplan)  Es ist wichtig zu beachten, dass die Auswahlkriterien je nach Anwendungsrunde variieren können. Es wird empfohlen, sich an der Universität zu informieren, um die aktuellsten Informationen zu erhalten.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</si>
  <si>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</si>
  <si>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
  </si>
  <si>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</si>
  <si>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</si>
  <si>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</si>
  <si>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</si>
  <si>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</si>
  <si>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</si>
  <si>
    <t>['pdf', 'pdf', 'pdf', 'html', 'pdf']</t>
  </si>
  <si>
    <t>Wie lautet die Besuchsadresse des International Relations Center (ZIB WiSo)?</t>
  </si>
  <si>
    <t>Die Besuchsadresse des International Relations Center (ZIB WiSo) ist:  Aachener Str. 209, 5. und 6. Stock (Eingang: Richard-Strauss-Str. 1) 50931 Köln  Diese Informationen stammen aus der Universitäts-Wissensdatenbank.</t>
  </si>
  <si>
    <t>Die Besuchsadresse des International Relations Center (ZIB WiSo) ist: Aachener Str. 209, 5. und 6. Etage, Eingang über die Richard-Strauss-Str. 1, 50931 Köln.</t>
  </si>
  <si>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</si>
  <si>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'https://wiso.uni-koeln.de/de/studium/international/international-relations-center-contact', 'file://D:/Uni-Köln/Masterarbeit/Software/uzk-masterarbeit/data/pdf_cache/__wiso.uni-koeln.de_sites_international-wiso_Outgoing_Short_programmes_Utrecht_Info_Fall_2024.pdf']</t>
  </si>
  <si>
    <t>['pdf', 'html', 'html', 'html', 'pdf']</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</si>
  <si>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</si>
  <si>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</si>
  <si>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</si>
  <si>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</si>
  <si>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</si>
  <si>
    <t>Welche Aufgaben hat das International Relations Center (ZIB WiSo) an der WiSo-Fakultät?</t>
  </si>
  <si>
    <t>Das International Relations Center (ZIB WiSo) an der WiSo-Fakultät hat folgende Aufgaben:  * Koordination internationaler Aktivitäten für die WiSo Fakultät * Verwaltung von Austauschprogrammen und Entwicklung neuer Strategien zur Internationalisierung * Unterstützung von ausländischen Studierenden, die an der WiSo-Fakultät studieren * Vorbereitung von Auslandssemestern bzw. -studiums für Kölner Studierende * Organisation von Summerschools und Kurzprogrammen * Anbietung von Wirtschaftsenglischkursen  Das ZIB ist der richtige Ansprechpartner für Fragen zu internationalen Aktivitäten an der WiSo-Fakultät.</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</si>
  <si>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</si>
  <si>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</si>
  <si>
    <t>['https://wiso.uni-koeln.de/en/faculty/managing-board/central-faculty-administration',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'file://D:/Uni-Köln/Masterarbeit/Software/uzk-masterarbeit/data/pdf_cache/__wiso.uni-koeln.de_sites_fakultaet_dokumente_downloads_Modulhandbuecher_Studienjahr_22-23_MHB_PO2021_m_mhb_po2021_ba_marketing.pdf']</t>
  </si>
  <si>
    <t>FAQ</t>
  </si>
  <si>
    <t>Ich würde gerne an der WiSo-Fakultät studieren. Welche Fristen habe ich zu beachten und wie funktioniert das Bewerbungsverfahren?</t>
  </si>
  <si>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</si>
  <si>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</si>
  <si>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Welche Bachelorstudiengänge kann ich an der WiSo-Fakultät studieren?</t>
  </si>
  <si>
    <t>Basierend auf den Suchergebnissen kann ich dir sagen, dass es an der WiSo-Fakultät der Universität zu Köln folgende Bachelorstudiengänge gibt:  * Wirtschaftsinformatik * Wirtschaftswissenschaften (BWL) * Sozialwissenschaften * Volkswirtschaftslehre  Es ist auch möglich, dass es weitere Studiengänge mit WiSo-Beteiligung gibt. Ich empfehle dir, direkt auf der Website der Universität zu Köln nachzuschauen oder sich an die Studienberatung zu wenden, um genauere Informationen zu erhalten.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</si>
  <si>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</si>
  <si>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</si>
  <si>
    <t>['https://wiso.uni-koeln.de/de/studium/studienorganisation/faq/bachelor', 'https://wiso.uni-koeln.de/en/studies/organising-your-studies/faq/bachelor', 'https://wiso.uni-koeln.de/de/studium/bachelor', 'https://wiso.uni-koeln.de/de/studium/bachelor', 'https://wiso.uni-koeln.de/de/studium/bachelor/bachelor-wirtschaftsinformatik']</t>
  </si>
  <si>
    <t>Welche Masterstudiengänge können an der WiSo-Fakultät studiert werden?</t>
  </si>
  <si>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</si>
  <si>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</si>
  <si>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</si>
  <si>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</si>
  <si>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</si>
  <si>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</si>
  <si>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</si>
  <si>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</si>
  <si>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</si>
  <si>
    <t>Was zeichnet das Studium an der Wiso Fakultät aus?</t>
  </si>
  <si>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</si>
  <si>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</si>
  <si>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</si>
  <si>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</si>
  <si>
    <t>Kann ich an der WiSo-Fakultät ein Studium aufnehmen, wenn ich einen gleichwertigen Studiengang oder eine dort verortete Prüfung endgültig nicht bestanden habe?</t>
  </si>
  <si>
    <t>Es tut mir leid, aber ich konnte keine klare Antwort finden. Es ist jedoch möglich, dass du an der WiSo-Fakultät ein Studium aufnehmen kannst, wenn du einen gleichwertigen Studiengang bzw. eine dort verortete Prüfung endgültig nicht bestanden hast.  Es ist ratsam, sich direkt an das Examination Office der WiSo-Fakultät zu wenden und um eine Überprüfung deiner Voraussetzungen zu bitten. Sie können dir dann sagen, ob du für ein Studium bei ihnen zugelassen bist oder nicht.  Wenn du also noch Fragen hast oder mehr wissen möchtest, stehe ich gerne zur Verfügung!</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</si>
  <si>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</si>
  <si>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</si>
  <si>
    <t>['https://wiso.uni-koeln.de/de/studium/studienorganisation/faq/allgemeine-fragen', 'https://wiso.uni-koeln.de/en/studies/organising-your-studies/faq/general-questions', 'https://wiso.uni-koeln.de/de/studium/studienorganisation/faq/bachelor/studienwahl-und-bewerbung', 'https://wiso.uni-koeln.de/de/fakultaet/dekanat/pruefungsamt/po-2015-po-2021/rund-ums-studium/anerkennung-und-anrechnung-von-pruefungsleistungen', 'https://wiso.uni-koeln.de/de/studium/studienorganisation/faq/bachelor']</t>
  </si>
  <si>
    <t>Sind Pflichtpraktika an der Wiso-Fakultät vorgesehen?</t>
  </si>
  <si>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</si>
  <si>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</si>
  <si>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</si>
  <si>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</si>
  <si>
    <t>Wann erhalte ich mein Zeugnis?</t>
  </si>
  <si>
    <t>Entschuldigung, aber ich konnte keine genauen Informationen über den Termin für das Erhalt des Zeugnisses finden. Es ist jedoch empfehlenswert, sich direkt an die Universität zu wenden oder die Studienberatung zu kontaktieren, um genauere Informationen zu erhalten.  Die Universitäts-Wissensdatenbank enthält einige Hinweise auf den Prozess der Zeugnisabgabe und die damit verbundenen Fristen. Es scheint jedoch nicht möglich zu sein, einen genauen Termin für das Erhalt des Zeugnisses abzuleiten.  Ich empfehle Ihnen, sich direkt an die Universität zu wenden oder die Studienberatung zu kontaktieren, um genauere Informationen zu erhalten. Sie können auch versuchen, weitere Informationen auf der Website der Universität zu finden oder sich an das zuständige Büro zu wenden.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</si>
  <si>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</si>
  <si>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</si>
  <si>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</si>
  <si>
    <t>Welche Gründe kann es für eine Exmatrikulation geben?</t>
  </si>
  <si>
    <t>Es tut mir leid, aber die Suchergebnisse beziehen sich nicht auf Gründe für Exmatrikulation. Ich kann Ihnen jedoch allgemeine Informationen über Exmatrikulation an der Universität zu Köln geben.  Exmatrikulation ist ein Verfahren, bei dem ein Studierender seine Immatrikulation (Studienplatz) beenden möchte. Die Gründe für eine Exmatrikulation können sehr vielfältig sein und umfassen zum Beispiel:  * Wechsel des Studiengangs oder der Universität * Beendigung des Studiums aufgrund von persönlichen oder familiären Gründen * Nichterfüllung der Zulassungsbedingungen * Nichtbezahlung der Semestergebühren  Wenn Sie sich für Exmatrikulation entscheiden, sollten Sie sich an die zuständige Fakultät oder das Studierendensekretariat wenden. Dort erhalten Sie weitere Informationen und Unterstützung bei dem Verfahren.  Ich bitte um Entschuldigung, dass ich keine spezifischen Gründe für Exmatrikulation in den Suchergebnissen finden konnte. Wenn Sie weitere Fragen haben, stehe ich Ihnen gerne zur Verfügung.</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</si>
  <si>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</si>
  <si>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['eise f ür die gesamtwirtschaft- liche Allokation • Ursachen von Inflation, Finanzkrisen, Arbeitslosigkeit und konjunkturellen Schwankungen im Zu- sammenhang mit Friktionen auf G üter-, Kredit -, und Arbeitsm ärkten • Kurz- und mittelfristiger Einfluss von Geld -, Währungs - und Fiskalpolitik und anderen wirtschafts- politischen Ma ßnahmen • Empirische Fakten und theoretische Ans ätze zur Erkl ärung langfristiger wirtschaftlicher Entwick- lung und strukt urellen Wandels • Langfristige Trends und j üngere Entwicklungen makro ökonomischer Aggregate wie Einkommen, Ersparnis und Investitionen. Ein besonderer Fokus liegt auf der Rolle der Akkumulation von physi- schem Kapital und Humankapital, technologischem For tschritt sowie fundamentalen Wachstumsde- terminanten 3 Lernziele des Moduls Die Studierenden... … kennen und verstehen die relevanten Methoden und Theorien zu den zuvor unter „Inhalte des Mo- duls“ genannten Punkten. ... setzen Methoden aus dem Bereich Makro ökonomik in vorstrukturierten Kontexten l ösungsorien- tiert ein. ... kennen und verstehen grundlegende Theorien aus dem Bereich Makro ökonomik. ... diskutieren Ergebnisse mit Lehrenden und anderen Studierenden. ... entwickeln ein Verst ändnis f ür die Auswirkung von Entscheidungen unter Beachtung ökologischer, ökonomischer, sozialer und/oder ethischer Kriterien. 4 Lehr - und L ernformen Vorlesung Übung Tutorium 5 Modulvoraussetzungen keine 6 Form der Modulabschlusspr üfung Schriftliche Pr üfung: KL (90) 7 Voraussetzu', 'velopment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54 --- valid for students of the E', 'arch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259 --- valid for students of the ER 2015 (enrolment for winter semester 2020/21 at the lates',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 and external reflection and identify development potentials. ... know and understand the relevant methods and theories for the points mentione d above under "Module content". 4 Teaching and Learning Methods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'r Stagnation • Vergleich verschiedener Erkl ärungsans ätze der Ursachen der Industriellen Revolution, der Great Divergence, sowie Darstellung der Ver änderung institutioneller Rahmenbedingungen im Übergang zum ununter brochenen Wachstum 3 Lernziele des Moduls Die Studierenden... … kennen und verstehen die relevanten Methoden und Theorien zu den zuvor unter „Inhalte des Mo- duls“ genannten Punkten. ... setzen Theorien in vorstrukturierten Kontexten (z.B. Fallstudien) l ösungsorientiert ein. ... diskutieren Ergebnisse mit Lehrenden und anderen Studierenden. ... entwickeln ein Verst ändnis f ür die Auswirkung von Entscheidungen unter Beachtung ökologischer, ökonomischer, historischer, sozialer und/oder ethischer Kriterien. 4 Lehr - und Lernformen Vorlesung Übung 5 Modulvoraussetzungen Empfehlung: Entweder BM Statistik und AM Statistik und Ökonometrie oder BM und AM Statistik (SoWi) oder BM Introduction to Statistics und BM Data Analysis and Econometrics 6 Form der Modulabschlusspr üfung Schriftliche Pr üfung: KL (60) 7 Voraussetzungen f ür die Vergabe von Leistungspunkten Bestehen der Modulabschlusspr üfung in der Veranstaltung a) oder b). 8 Verwendung des Moduls (in anderen Studieng ängen) Bachelor of Science Management, Economics and Social Sciences: Schwerpunktbereich Management, Economics and Social Sciences Bachelor of Science Mathematik: Nebenfach VWL Bachelor of Science Wirtschaftsmathematik: Nebenfach VWL Bachelor of Arts Regionalstudien China - Volkswirtschaftslehre: Er']</t>
  </si>
  <si>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'file://D:/Uni-Köln/Masterarbeit/Software/uzk-masterarbeit/data/pdf_cache/__wiso.uni-koeln.de_sites_fakultaet_dokumente_downloads_Modulhandbuecher_Studienjahr_23-24_b_mhb_po2021_bwl.pdf']</t>
  </si>
  <si>
    <t>Mein Abiturschnitt erfüllt nicht den NC vom letzten Bewerbungsverfahren für einen WiSo-Bachelorstudiengang. Macht eine Bewerbung trotzdem Sinn?</t>
  </si>
  <si>
    <t>Es tut mir leid, aber ich kann keine Antwort finden, die direkt auf deine Frage antwortet.  Ich kann jedoch einige allgemeine Informationen geben:  *   Es ist immer ratsam, sich zu bewerben, auch wenn man nicht sicher ist, ob man die Anforderungen erfüllt. *   Die Universität zu Köln bietet eine Studienberatung an, bei der man sich über die Anforderungen und Möglichkeiten informieren kann.  Ich empfehle dir, dich direkt an die Studienberatung der Universität zu wenden, um mehr Informationen zu erhalten.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</si>
  <si>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</si>
  <si>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</si>
  <si>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</si>
  <si>
    <t>Ich studiere im Bachelor woanders und möchte an die WiSo Köln wechseln. Was muss ich tun?</t>
  </si>
  <si>
    <t>Um als Bachelor-Studierender an die WiSo-Fakultät der Universität zu Köln zu wechseln, müssen Sie sich für das 2. Fachsemester bewerben. Dazu müssen Sie sich über hochschulstart.de und das Online-Portal KLIPS 2.0 der Universität zu Köln anmelden.  Es ist wichtig zu beachten, dass die Bachelorstudiengänge an der WiSo-Fakultät zulassungsbeschränkt sind. Der Numerus Clausus (NC) variiert je nach Studiengang und Bewerbungsjahr. Es lohnt sich, vorher den NC des letzten Bewerbungsverfahrens zu überprüfen.  Wenn Sie sich für einen Wechsel entscheiden, sollten Sie sicherstellen, dass Ihr Abiturschnitt den erforderlichen Anforderungen entspricht. Wenn der Abiturschnitt nicht ausreicht, um die Zulassung zu erhalten, kann eine Bewerbung trotzdem Sinn ergeben, wenn Sie sich auf ein Studium an der Universität zu Köln freuen und bereit sind, Ihre Chancen zu verbessern.  Es ist ratsam, vorher die offiziellen Informationen der Universität zu Köln zu überprüfen, um sicherzustellen, dass Sie alle Anforderungen erfüllen.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</si>
  <si>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</si>
  <si>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</si>
  <si>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'https://wiso.uni-koeln.de/de/studium/bachelor']</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</si>
  <si>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</si>
  <si>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</si>
  <si>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</si>
  <si>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</si>
  <si>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</si>
  <si>
    <t>Kann ich ein Modul im Masterstudium mehrfach absolvieren?</t>
  </si>
  <si>
    <t>Es tut mir leid, aber es ist nicht möglich, ein Modul im Masterstudium mehrfach zu absolvieren. Nach der Prüfungsordnung kann ein Modul nur einmal absolviert werden. Wenn eine Prüfung in einem Modul zum zweiten Mal nicht bestanden wird, ist ein Wechsel des Moduls ausgeschlossen. Es gibt jedoch Möglichkeiten, um weitere Kurse belegen zu dürfen, wie das Extracurriculare Angebot, bei dem Sie auch Kurse aus anderen Fachbereichen belegen können.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</si>
  <si>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</si>
  <si>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</si>
  <si>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</si>
  <si>
    <t>Kann ich während meines Masters Sprachkurse an der Universität zu Köln absolvieren?</t>
  </si>
  <si>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</si>
  <si>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</si>
  <si>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</si>
  <si>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</si>
  <si>
    <t>Wann und wie kann ich ein Auslandssemester in meinem Master absolvieren?</t>
  </si>
  <si>
    <t>Es tut mir leid, aber ich konnte keine relevanten Informationen finden, um deine Frage zu beantworten. Wenn du möchtest, kann ich mich an die Studienberatung wenden und nachfragen, wie man ein Auslandssemester in einem Master-Studiengang der WiSo-Fakultät absolvieren kann.  Wenn du möchtest, kann ich auch versuchen, dir weitere Informationen zu geben, indem ich mich an die Universitäts-Wissensdatenbank wende.</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</si>
  <si>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</si>
  <si>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</si>
  <si>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</si>
  <si>
    <t>Wie funktioniert das Studienabschlussdarlehen der Studierendenwerke (DAKA) genau?</t>
  </si>
  <si>
    <t>Das Studienabschlussdarlehen der DAKA ist ein Finanzierungsinstrument für Studierende, die ihr Studium erfolgreich abschließen möchten. Hier sind die wichtigsten Informationen:  *   Die DAKA bietet ein Darlehen an, das nicht zurückgezahlt werden muss. *   Um ein Darlehen zu erhalten, müssen Sie sich bewerben und Ihre Notlage nachweisen können. *   Ein Antrag auf ein Studienabschlussdarlehen muss gestellt werden, in dem die geschilderte Notlage deutlich hervorgeht. *   Die Bestätigung Ihrer Examensvorbereitung (Examensanmeldung ist nicht erforderlich) sowie eine Bürgschaftserklärung Dritter (in Ausnahmefällen reicht auch eine Bankbürgschaft) sind erforderlich.  Es ist wichtig, sich direkt an die DAKA zu wenden und sich über die genauen Bedingungen und Voraussetzungen zu informieren.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</si>
  <si>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</si>
  <si>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'ums wird ein Di p- loma Supplement ausgehändigt, das über den individuellen Studienverlauf, die wä hrend des Studiengangs erbrachten Leistungen und deren Bewertungen (Leistungspunkte un d Ben otung) und über das fachliche Profil des absolvierten Studiengangs informiert, sofern diese nicht e i- 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informiert über die Wirtschafts - und Sozialwissenschaftliche Fakultät . (4) Prüflinge, die die Universität zu Köln ohne Absc hluss dieser Masterprüfung verlassen oder die Masterprüfung endgültig nicht bestanden haben , erhalten auf Antrag eine Beschein i- gung über die insgesamt erbrachten Prüfungsleistungen und Leistungs - und Malus punkte. II. SCHLUSSBESTIMMUNGEN § 19 Studienorganisation 1Die Fakultät organisiert den Studienverlauf so, dass das Studium in der Regelstudienzeit a b- geschlossen werden kann. 2Die Fakultät stellt unter anderem durch eine studiengangspezif i- sche Studienber atung und durch Maßnahmen zur Evaluation und Sicherung der Qualität der Lehre eine angemessene Unterstützung ihrer Studierenden bei der Organisation ihres S tudi- ums sicher. § 20 Ungültigkeit der Master prüfung (1) Hat ein Prüfling das Ergebnis einer Prüfungsleistung durch Täuschung oder Benutzung nicht zugelassener Hil',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</si>
  <si>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'file://D:/Uni-Köln/Masterarbeit/Software/uzk-masterarbeit/data/pdf_cache/__wiso.uni-koeln.de_sites_fakultaet_dokumente_PA_po_po_m_soziologie_empirische_sozialforschung.pdf', 'https://wiso.uni-koeln.de/de/studium/bewerbung/master/master-gesundheitsoekonomie']</t>
  </si>
  <si>
    <t>['html', 'html', 'pdf', 'pdf', 'html']</t>
  </si>
  <si>
    <t>Welche Unterstützung gibt es in einer akuten finanziellen Notlage?</t>
  </si>
  <si>
    <t>Es tut mir leid, aber ich konnte keine relevanten Informationen zu Unterstützung in akuter finanzieller Notlage finden. Es ist jedoch ratsam, sich an die Studienberatung oder das Kölner Studierendenwerk zu wenden, um weitere Informationen und mögliche Unterstütmöglichkeiten zu erhalten.  Wenn du möchtest, kann ich dir auch einige allgemeine Tipps geben, wie du in einer akuten finanziellen Notlage vorgehen kannst:  1.  Kontaktiere die Studienberatung oder das Kölner Studierendenwerk, um Unterstützung und Beratung zu erhalten. 2.  Überprüfe deine Finanzierungsmöglichkeiten, wie z.B. BAföG oder andere Förderprogramme. 3.  Erstelle einen Haushaltsplan, um deine Ausgaben besser zu überblicken und Kosten zu reduzieren.  Ich hoffe, diese Informationen helfen dir weiter. Wenn du weitere Fragen hast, stehe ich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</si>
  <si>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</si>
  <si>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</si>
  <si>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</si>
  <si>
    <t>Ich bewerbe mich für ein Praktikum und die Firma möchte eine Praktikumsförderlichkeitsbescheinigung. Bekomme ich so etwas von der WiSo-Fakultät – und wie?</t>
  </si>
  <si>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</si>
  <si>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</si>
  <si>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</si>
  <si>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</si>
  <si>
    <t>Ich würde gern ein Urlaubssemester für ein Praktikum nehmen. Welche Voraussetzungen muss ich dafür erfüllen?</t>
  </si>
  <si>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</si>
  <si>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</si>
  <si>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</si>
  <si>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</si>
  <si>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</si>
  <si>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Ich entschuldige mich, aber es scheint, dass die Suchergebnisse nicht direkt auf deine Frage "Wie läuft der Antrag auf ein Urlaubssemester wegen Praktikum genau ab und bis wann muss ich die Unterlagen einreichen?" eingehen. Ich werde versuchen, eine Antwort zu geben, basierend auf den verfügbaren Informationen.  Es scheint, dass du einen Antrag auf Urlaubssemester stellen möchtest, um ein Praktikum zu absolvieren. Die Fakultät unterstützt die Aufnahme studienergänzender Praktika während der vorlesungsfreien Zeit und stellt eine Praktikumsförderlichkeitsbescheinigung aus.  Um den Antrag auf Urlaubssemester abzugeben, benötigst du das Formblatt als PDF-Anhang über das Kontaktformular. Bitte geben Sie an, ob Sie das Formblatt persönlich im WiSSPo abholen kommen oder Ihnen die digitale Zusendung an Ihre S-Mailadresse ausreicht.  Die Unterlagen sollten vollständig mit allen erforderlichen Dokumenten als eine PDF-Dokument per Kontaktformular eingereicht werden. Es ist jedoch nicht klar, bis wann diese Unterlagen eingereicht werden müssen.  Ich empfehle Ihnen, sich direkt an das Studierendensekretariat oder den WiSo Student Service Point zu wenden, um weitere Informationen und Anweisungen zu erhalten. Sie können auch versuchen, die Universitäts-Wissensdatenbank weiter zu durchsuchen, um mehr über den Antrag auf Urlaubssemester wegen Praktikum zu erfahren.  Es tut mir leid, dass ich nicht direkt eine Antwort auf deine Frage geben konnte. Ich hoffe, diese Informationen helfen Ihnen weiter.</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</si>
  <si>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</si>
  <si>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t>
  </si>
  <si>
    <t>['https://wiso.uni-koeln.de/de/studium/studienorganisation/faq/allgemeine-fragen', 'https://wiso.uni-koeln.de/de/studium/studienorganisation/bescheinigungen', 'https://wiso.uni-koeln.de/de/services/wiso-student-service-point/quickservices-und-kurzauskunft', 'https://wiso.uni-koeln.de/de/studium/studienorganisation/faq/allgemeine-fragen', 'file://D:/Uni-Köln/Masterarbeit/Software/uzk-masterarbeit/data/pdf_cache/__wiso.uni-koeln.de_sites_wiso_career_pdf_Allgemeines_UEbergreifendes_Bewerbungshilfen_Kurzinfo_Auslandspraktikum__1_.pdf']</t>
  </si>
  <si>
    <t>Ich brauche für eine Bewerbung ein Professorengutachten bzw. einen Letter of Evaluation. Was muss ich dafür konkret tun und wie lange dauert das?</t>
  </si>
  <si>
    <t>Es tut mir leid, aber ich konnte keine genauen Informationen zu den Zeiträumen finden. Es ist jedoch bekannt, dass das Erhalten eines Professorengutachtens bzw. eines Letters of Evaluation mindestens zwei bis drei Wochen dauern kann.  Wenn Sie weitere Fragen haben oder mehr über den Bewerbungsprozess erfahren möchten, stehe ich Ihnen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</si>
  <si>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</si>
  <si>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</si>
  <si>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</si>
  <si>
    <t>Ich habe gehört, es gibt ein BWL-Forschungsranking der WirtschaftsWoche. Was wird da genau gemessen?</t>
  </si>
  <si>
    <t>Das BWL-Forschungsranking der WirtschaftsWoche misst die Forschungskapazität und -leistung von Wirtschaftswissenschaftlichen Fakultäten an deutschen Universitäten. Dazu gehören verschiedene Kriterien wie:  * Die Anzahl der veröffentlichten Artikel in renommierten wissenschaftlichen Zeitschriften * Die Qualität der Veröffentlichungen (z.B. durch Impact-Faktor) * Die Anzahl der Forschungsprojekte und -finanzierungen * Die Zahl der promovierten Wissenschaftler  Die Rangliste soll eine Vorstellung davon geben, welche Fakultäten in Deutschland für ihre wissenschaftliche Leistung besonders hervorragen.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</si>
  <si>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</si>
  <si>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</si>
  <si>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</si>
  <si>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Wie ist das BWL-Forschungsranking Ranking aufgebaut? Welche Kategorien gibt es und welcher Zeitraum wird betrachtet?</t>
  </si>
  <si>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</si>
  <si>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</si>
  <si>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</si>
  <si>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</si>
  <si>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</si>
  <si>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Wolfgang Ketter: Platz 13 * Dirk Sliwka: Platz 73 * Ulrich Thonemann: Platz 81 * Anne Burmeister (u40): Platz 69  In der Kategorie „Lebenswerk“ (Top 200) belegen die folgenden Kölner BWL-Professor:innen:  * Ulrich Thonemann: Platz 35 * Dirk Sliwka: Platz 46 * Werner Reinartz: Platz 61 * Wolfgang Ketter: Platz 78 * Christoph Rosenkranz: Platz 84 * Detlef Schoder: Platz 115 * Franziska Völckner: Platz 150 * Alexander Kempf: Platz 167 * Marc Fischer: Platz 170 * Bernd Irlenbusch: Platz 195</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</si>
  <si>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</si>
  <si>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</si>
  <si>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'https://wiso.uni-koeln.de/de/services/rankings/bwl-forschungsranking', 'https://wiso.uni-koeln.de/de/services/rankings/ergebnisse-in-tabellarischer-uebersicht']</t>
  </si>
  <si>
    <t>Wie lange dauert der Master Corporate Development, wie viele Credits hat er und in welcher Sprache wird unterrichtet?</t>
  </si>
  <si>
    <t>Der Master Corporate Development hat eine Dauer von zwei Jahren und umfasst insgesamt 120 Credits. Die Lehrsprache ist Deutsch.  Die genauen Informationen findest du auf der Website der Universität zu Köln unter [www.wiso.uni-koeln.de](http://www.wiso.uni-koeln.de).</t>
  </si>
  <si>
    <t>Der Master Business Administration – Corporate Development dauert vier Semester und umfasst insgesamt 120 ECTS-Credits. Die Unterrichtssprache ist Englisch.</t>
  </si>
  <si>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t>
  </si>
  <si>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'file://D:/Uni-Köln/Masterarbeit/Software/uzk-masterarbeit/data/pdf_cache/__wiso.uni-koeln.de_sites_fakultaet_dokumente_downloads_Modulhandbuecher_Studienjahr_22-23_MHB_PO2015_m_mhb_po2015_e_ba_scm.pdf']</t>
  </si>
  <si>
    <t>Für wen ist der Master Corporate Development gedacht – was sollte ich mitbringen?</t>
  </si>
  <si>
    <t>Der Master Corporate Development ist für Personen gedacht, die sich mit der Entwicklung und Gestaltung von Unternehmen beschäftigen möchten. Dazu gehören unter anderem:  * Führungskräfte, die ihre Kenntnisse in strategischem Management, Entrepreneurship und Personalwesen erweitern möchten. * Berater und Consultant, die fundierte Entscheidungen auf Basis ethischer und wirtschaftlicher Kriterien treffen möchten. * Unternehmen, die sich für eine Weiterbildung ihrer Mitarbeiter im Bereich Corporate Development interessieren.  Um erfolgreich am Master Corporate Development teilzunehmen, sollten Sie folgende Fähigkeiten mitbringen:  * Eine fundierte Ausbildung in Wirtschaftswissenschaften oder einer verwandten Disziplin * Erfahrung in der Unternehmensentwicklung oder einem damit verbundenen Bereich * Gute Kenntnisse in strategischem Management, Entrepreneurship und Personalwesen * Fähigkeit, komplexe Probleme zu analysieren und Lösungen zu entwickeln * Kommunikationsfähigkeiten, um Ihre Ergebnisse effektiv darzustellen  Es ist auch ratsam, dass Sie sich vorher über die Inhalte des Masterprogramms informieren und sicherstellen, dass es Ihren Zielen und Interessen entspricht.</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</si>
  <si>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</si>
  <si>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</si>
  <si>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</si>
  <si>
    <t>Was ist das Besondere am Master Information Systems und welche Vorteile habe ich dadurch?</t>
  </si>
  <si>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</si>
  <si>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</si>
  <si>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</si>
  <si>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</si>
  <si>
    <t>Wie international ist der Studiengang Master Information Systems und welche Auslandsoptionen habe ich?</t>
  </si>
  <si>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</si>
  <si>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</si>
  <si>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</si>
  <si>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</si>
  <si>
    <t>Welche Karrierechancen habe ich mit dem Master Information Systems – in welche Jobs kann ich später gehen?</t>
  </si>
  <si>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</si>
  <si>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</si>
  <si>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</si>
  <si>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</si>
  <si>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</si>
  <si>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 ist eine gute Basis für die Anstellung in Unternehmen oder für die Aufnahme eines Ph.D.-Programms. 4.  **Interdisziplinäre Ansätze**: Die WiSo-Fakultät bietet Ihnen die Möglichkeit, sich mit anderen Disziplinen auseinanderzusetzen und ein umfassendes Verständnis von Unternehmensentwicklung zu erlangen.  Ich hoffe, diese Informationen helfen Ihnen bei Ihrer Entscheidung. Wenn Sie weitere Fragen haben, stehe ich Ihnen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</si>
  <si>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</si>
  <si>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</si>
  <si>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</si>
  <si>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</si>
  <si>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</si>
  <si>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Basierend auf den Suchergebnissen aus der Universitäts-Wissensdatenbank, müssen Sie im Bewerbungsformular für die Masterarbeit im Finance Area zu Ihren präferierten Themenbereichen folgende Angaben machen:  1.  **Präferierte Themenbereiche**: Wählen Sie mindestens einen Themenbereich von jedem Lehrstuhl aus. 2.  **Rang**: Ordnen Sie Ihre Themenbereiche nach Ihrem Interesse an.  Bitte beachten Sie, dass die genauen Anforderungen je nach Studiengang und Universität variieren können. Es ist immer ratsam, sich direkt an die zuständigen Personen oder die Studienberatung zu wenden, um sicherzustellen, dass Sie alle notwendigen Informationen bereitstellen.  Wenn Sie weitere Fragen haben, stehe ich Ihnen gerne zur Verfügung!</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</si>
  <si>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</si>
  <si>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</si>
  <si>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</si>
  <si>
    <t>['html', 'pdf', 'html', 'pdf', 'pdf']</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</si>
  <si>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</si>
  <si>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</si>
  <si>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</si>
  <si>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</si>
  <si>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</si>
  <si>
    <t>Wie wird die Gesamtnote im Bachelor Volkswirtschaftslehre berechnet?</t>
  </si>
  <si>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</si>
  <si>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</si>
  <si>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</si>
  <si>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</si>
  <si>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</si>
  <si>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</si>
  <si>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</si>
  <si>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</si>
  <si>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</si>
  <si>
    <t>Wie viele Studenten starten jährlich im Bachelor Studiengang Wirtschaftsinformatik und seit wann gibt es ihn?</t>
  </si>
  <si>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oder den WiSo Student Service Point zu wenden. Sie können auch auf der Website der Universität zu Köln nach weiteren Informationen suchen.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</si>
  <si>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</si>
  <si>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</si>
  <si>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</si>
  <si>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</si>
  <si>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</si>
  <si>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</si>
  <si>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</si>
  <si>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</si>
  <si>
    <t>['html', 'pdf', 'html', 'html', 'pdf']</t>
  </si>
  <si>
    <t>Ich plane den M.Sc. International Management (CEMS) in Köln zu studieren. Wie unterscheiden sich das reguläre MIM-Programm und das CEMS-Curriculum konkret im Aufbau und bei den Anforderungen?</t>
  </si>
  <si>
    <t>Das reguläre M.Sc. International Management (MIM) Programm und das CEMS-Curriculum an der Universität zu Köln unterscheiden sich in folgenden Aspekten:  1.  **Kernmodule**: Das CEMS-Curriculum bietet eine integrierte, internationale Bildung mit einem Schwerpunkt auf Global Citizenship und Business Projects. 2.  **Wahlmodule**: Das CEMS-Curriculum bietet eine Vielfalt an Wahlmodulen aus verschiedenen Fachbereichen wie Betriebswirtschaftslehre, Volkswirtschaftslehre, Politikwissenschaft, Psychologie und Soziologie. 3.  **Praktika und Auslandsaufenthalte**: Das CEMS-Curriculum beinhaltet ein internationales Praktikum und ein Auslandssemester an einer der CEMS-Partnerhochschulen. 4.  **Sprachanforderungen**: Um sich für das CEMS-Curriculum zu bewerben, müssen Studierende in Englisch das Sprachniveau C1 und das Niveau B1 in einer zweiten CEMS-Sprache nachweisen. 5.  **Karriereaussichten**: Das CEMS-Curriculum bietet hervorragende internationale Karriereaussichten, da es von der Universität zu Köln als eine der besten Hochschulen für Wirtschaftswissenschaften weltweit anerkannt ist.  Insgesamt bietet das CEMS-Curriculum ein umfassendes und international ausgerichtetes Studienprogramm mit einer Vielfalt an Wahlmodulen, Praktika und Auslandsaufenthalten.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</si>
  <si>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</si>
  <si>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</si>
  <si>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</si>
  <si>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</si>
  <si>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</si>
  <si>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</si>
  <si>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</si>
  <si>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</si>
  <si>
    <t>Welche fachlichen ECTS-Voraussetzungen muss ich für eine Bewerbung im Master Economics erfüllen?</t>
  </si>
  <si>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</si>
  <si>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</si>
  <si>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</si>
  <si>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</si>
  <si>
    <t>Werden reine Software-Anwendungskurse (z. B. R, SPSS oder Python ohne mathematischen Inhalt) für die Statistik-/Mathematik-ECTS anerkannt?</t>
  </si>
  <si>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</si>
  <si>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</si>
  <si>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</si>
  <si>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</si>
  <si>
    <t>Welche sprachlichen und fachlichen Voraussetzungen brauche ich für eine Bewerbung im Bachelorstudiengang Gesundheitsökonomie – Management, Ökonomie &amp; Medizin an der WiSo-Fakultät?</t>
  </si>
  <si>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</si>
  <si>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</si>
  <si>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</si>
  <si>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</si>
  <si>
    <t>['pdf', 'pdf', 'pdf', 'pdf', 'html']</t>
  </si>
  <si>
    <t>Wie ist der Bachelorstudiengang Gesundheitsökonomie – Management, Ökonomie &amp; Medizin inhaltlich aufgebaut?</t>
  </si>
  <si>
    <t>Der Bachelorstudiengang Gesundheitsökonomie – Management, Ökonomie &amp; Medizin ist inhaltlich aufgebaut wie folgt:  * Basis- und Aufbaubereich: Im Basis- und Aufbaubereich müssen die Prüfungskandidaten grundlegende Kenntnisse in medizinischen und gesundheitsökonomischen Aspekten erwerben. * Hauptfach - Gesundheitsökonomie (PO 2007): Hier werden sowohl betriebswirtschaftliche als auch medizinische Grundmodule angeboten. Die Studierenden müssen eine große Anzahl der Module dieses Studiengangs nur in jedem zweiten Semester lesen. * Schwerpunktbereich: Der Schwerpunktbereich ermöglicht es den Studierenden, sich auf bestimmte Bereiche der Gesundheitsökonomie zu konzentrieren. * Bachelorarbeit: Die Bachelorarbeit ist ein wichtiger Bestandteil des Studiengangs und ermöglicht es den Studierenden, ihre Fähigkeiten in der Lösung von gesundheitsoekonomischen Fragestellungen unter Beweis zu stellen.  Es ist wichtig zu beachten, dass die genauen Inhalte und Studienziele des Studiengangs je nach Prüfungsordnung (PO) variieren können. In diesem Fall wird die PO 2007 verwendet.</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</si>
  <si>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</si>
  <si>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</si>
  <si>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</si>
  <si>
    <t>['pdf', 'html', 'pdf', 'pdf', 'html']</t>
  </si>
  <si>
    <t>Was umfasst das Modul „Studies Abroad in Economics III“ im M.Sc. Economics und wie funktioniert die Anerkennung der im Ausland erbrachten Leistungen?</t>
  </si>
  <si>
    <t>Das Modul "Studies Abroad in Economics III" im M.Sc. Economics umfasst eine Vielzahl von Themen und Fächern, die über das reguläre Curriculum des Studiengangs hinausgehen. Durch das Ablegen von Prüfungen an ausländischen Hochschulen erwerben die Studierenden eine Breite an Kenntnissen und Fähigkeiten außerhalb der Modulstruktur des Curriculums des jeweiligen Studiengangs.  Die Anerkennung der im Ausland erbrachten Leistungen erfolgt durch die Universität zu Köln. Die Studierenden müssen ihre Prüfungsleistungen an der ausländischen Hochschule nachweisen und diese bei der Universität zu Köln anmelden. Die Anerkennung wird dann auf Basis der Modulvoraussetzungen und der Form der Modulabschlussprüfung erfolgt.  Es ist wichtig zu beachten, dass die individuellen Lerninhalte nur Bestandteile eines der Module Studies Abroad sein können. Die Lehr- und Lernformen sowie die Voraussetzungen für die Veranlagung von Leistungen aus dem Ausland variieren je nach Kurswahl.  Wenn du weitere Fragen hast, stehe ich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</si>
  <si>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</si>
  <si>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</si>
  <si>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</si>
  <si>
    <t>Was sind die Lerninhalte und die Prüfungsmodalitäten des Moduls „SuM Seminar Economics“ im Masterstudiengang Economics?</t>
  </si>
  <si>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der guten wissenschaftlichen Praxis  Die Prüfungsmodalitäten sind wie folgt:  * Kombinierte Prüfung: PRES, TP (Präsentation und schriftliche Arbeit) * Voraussetzungen für die Zuteilung von Leistungspunkten: Bestehen der Modulprüfung * Empfehlungen: SuM Energy and Climate Change I  Bitte beachten Sie, dass diese Informationen auf der Grundlage der Suchergebnisse basieren und möglicherweise nicht vollständig oder aktuell sind. Es ist immer ratsam, direkt bei der Universität nachzufragen,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</si>
  <si>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</si>
  <si>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</si>
  <si>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</si>
  <si>
    <t>Welche Voraussetzungen muss ich laut Modulhandbuch (PO 2015) erfüllen, um den Masterstudiengang Sociology and Social Research an der Universität zu Köln studieren zu können?</t>
  </si>
  <si>
    <t>Basierend auf den Suchergebnissen laut Modulhandbuch (PO 2015) für den Masterstudiengang Sociology and Social Research an der Universität zu Köln, um den Studiengang studieren zu können, müssen folgende Voraussetzungen erfüllt werden:  1.  Ein erster berufsqualifizierender Abschluss in einem fachlich einschlägigen Bachelorstudiengang im Umfang von mindestens sechs Semestern mit mindestens 180 Leistungspunkten oder ein gleichwertiges erfolgreich abgeschlossenes Studium mit einer Abschlussnote von 2,7 oder besser. 2.  Englischkenntnisse auf dem Niveau B2.  Es ist wichtig zu beachten, dass diese Informationen basierend auf den Suchergebnissen sind und es immer ratsam ist, direkt bei der Universität oder der Studienberatung nachzufragen, um sicherzustellen, dass alle Anforderungen erfüllt sind.</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</si>
  <si>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</si>
  <si>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</si>
  <si>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</si>
  <si>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</si>
  <si>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Die Module sind wie folgt aufgeteilt:  + Fachbereich Soziologie: 30 LP  + Fachbereich Empirische Sozialforschung: 30 LP  + Ergänzungsbereich: 10 LP  + Extracurriculare Angebote: 5 LP  + Masterarbeit: 45 LP  Die genauen Module und ihre Leistungspunkte können im Modulhandbuch der Universität zu Köln nachgelesen werden.  Es ist wichtig zu beachten, dass die Aufteilung der Leistungspunkte je nach Semester und Wahlmöglichkeiten variieren kann. Es wird empfohlen, sich direkt an der Universität zu wenden oder das Modulhandbuch zu konsultieren, um die aktuelle und genaue Information zu erhalten.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</si>
  <si>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</si>
  <si>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</si>
  <si>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</si>
  <si>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</si>
  <si>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</si>
  <si>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</si>
  <si>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</si>
  <si>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</si>
  <si>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</si>
  <si>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Die Absolventen sollen in der Lage sein, komplexe Probleme im Gesundheitswesen zu verstehen und zu lösen. Sie werden befähigt sein, Entscheidungen aus verschiedenen Perspektiven zu analysieren und kritisch zu bewerten.  Der Studiengang qualifiziert die Studierenden für verschiedene Berufsfelder, wie:  * Consulting in der Gesundheitsbranche * Organisation und Kommunikation in Krankenhäusern oder anderen Gesundheitseinrichtungen * Kostenkontrolle und -planung in Gesundheitseinrichtungen * Prävention und Rehabilitation in der Gesundheitsbranche * Sport, Fitness und Bildungsbereich * Soziale Institutionen und Sozialversicherungsbehörden  Insgesamt bietet der Bachelorstudiengang Health Economics eine fundierte Ausbildung in den Bereichen Gesundheitseconomics, Medizin und Wirtschaftswissenschaften.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</si>
  <si>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</si>
  <si>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</si>
  <si>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</si>
  <si>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</si>
  <si>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nicht explizit im Suchergebnis. Allerdings wird erwähnt, dass die Ausgaben online abrufbar sind und sich an der Universität zu finden sind.  Beiträge müssen spätestens bis zum 15. Januar 2026 eingereicht werden.</t>
  </si>
  <si>
    <t>Die Ausgabe 10 des PUMA WiSo 2026 erscheint am Dienstag, den 19.05.2026. Beiträge musst du spätestens bis zum Redaktionsschluss am 13.05.2026 einreichen.</t>
  </si>
  <si>
    <t>['ispresentation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'9 December 2024 --- Page 10 --- Application Documents - Bachelor 10 1.Personal data •Letter of motivation •CV in English •English certificate –min. B2 (TOEFL, IELTS, Cambridge Certificate, WiSo Business English course, FILTERtest ) 2.Study Details •Current ToR from UoC STAP Bachelor Application Manual December 2024 --- Page 11 --- Application Documents - Master 11 1.Personal data •Letter of motivation •CV in English •English certificate –min B2 ( TOEFL, IELTS, Cambridge Certificate, WiSo Business English course, FILTERtest , Bachelor degree in English) 2.Study Details •Bachelor’s degree certificate •Certificate of enrolment 3.Professional Data •Records of internships, extracurricular activities…STAP Master Application Manual December 2024 --- Page 12 --- Application Steps 12 Application portal open since 01 December 2024 •Enter your personal data •Start your application •Select “Short Programme Sociology” and “Utrecht University” •Start uploading your application documents •Submit application when complete \uf0e0Once submitted: no alterations possible! Deadline for final submission: 31 January 2025 December 2024 --- Page 13 --- ANY QUESTIONS LEFT? 13 December 2024 --- Page 14 --- Contact 14 Your main contact at the International Relations Center (ZIB): Veronika Langenberg E-mail: veronika.langenberg@uni -koeln.de (in case of out -of-office reply: wiso.outgoings@uni -koeln.de ) Tel.: +49 221 470 7065 Advising hours on site (Advising Area, Room 0.303, WiSo Building) and online: book']</t>
  </si>
  <si>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'https://wiso.uni-koeln.de/de/studium/international/international-options-for-wiso-students/wisoacademic-short-programmes', 'file://D:/Uni-Köln/Masterarbeit/Software/uzk-masterarbeit/data/pdf_cache/__wiso.uni-koeln.de_sites_international-wiso_Outgoing_Short_programmes_Utrecht_Info_Fall_2024.pdf']</t>
  </si>
  <si>
    <t>Welche Ausgaben des PUMA WiSo 2026 erscheinen im Juli 2026 und wann sind die jeweiligen Redaktionsschlüsse?</t>
  </si>
  <si>
    <t>Basierend auf den Suchergebnissen, können die Ausgaben des PUMA WiSo 2026 im Juli 2026 wie folgt sein:  * Ausgabe 14 erscheint am 30.06.26 * Ausgabe 15 erscheint am 28.07.26  Die Redaktionsschlüsse für diese Ausgaben sind:  * Ausgabe 14: 25.06.26 * Ausgabe 15: 23.07.26</t>
  </si>
  <si>
    <t>Im Juli 2026 erscheinen zwei Ausgaben des PUMA WiSo 2026. Ausgabe 14 kommt am 14.07.2026 heraus, der Redaktionsschluss ist am 09.07.2026. Ausgabe 15 erscheint am 28.07.2026, mit Redaktionsschluss am 23.07.2026.</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</si>
  <si>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</si>
  <si>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erfolgen. *   Die WiSo-Fakultät hat Partnerschaften mit bestimmten Universitäten und akzeptiert nur Studenten von diesen Partnern. *   Austauschstudenten müssen ihre Studienpläne im Vorfeld mit der WiSo-Fakultät abstimmen, um sicherzustellen, dass sie die erforderlichen Kurse belegen können.  Es ist wichtig, sich vorher über die Regeln und Anforderungen zu informieren, bevor man sich für einen Austausch an der WiSo-Fakultät entscheidet.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</si>
  <si>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</si>
  <si>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MANAGEMENT, ECONOMICS AND SOCIAL SCIENCES – BACHELOR OF SCIENCE 4 MES Exchange Details: Students should start planning their exchange in the third semester. o The MES selection round takes place once a year. Students apply for the term abroad during their third semester for a term abroad in the fifth semester. They will be informed on the application deadlines and selection procedure in the end of their second semester by the ZIB. Further information surrounding the application process is provided on the faculty`s website . Credit Transfer Options: The WiSo -faculty encourages students to gain international experience, Credits studied abroad can be eas']</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</si>
  <si>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'https://wiso.uni-koeln.de/de/studium/international/incoming-exchange-at-wiso/semester-exchange', 'file://D:/Uni-Köln/Masterarbeit/Software/uzk-masterarbeit/data/pdf_cache/__wiso.uni-koeln.de_sites_fakultaet_dokumente_downloads_Modulhandbuecher_Bachelor_MHB_aktuelles_Studienjahr_b_module_catalogue_management_economics_social_sciences_po2021.pdf']</t>
  </si>
  <si>
    <t>Ich muss mein Austauschsemester Mitte Dezember als Early leaver beenden. Was bedeutet 'Early leaver option' und wie finde ich passende Kurse?</t>
  </si>
  <si>
    <t>Die Early Leaver Option ermöglicht es dir, dein Austauschsemester Mitte Dezember zu beenden, wenn du aufgrund der akademischen Kalenderkonflikte (keine Ausnahme für Praktika) deine Heimatuniversität benachrichtigst.   Um passende Kurse zu finden, besuche bitte die Website der Universität zu Köln und klicke auf "Downloads" unter dem Abschnitt "Early Leaver Option". Dort findest du eine Liste mit Kursen, die für die Early Leaver Option geeignet sind.  Es ist wichtig zu beachten, dass du nur dann teilnehmen kannst, wenn deine Heimatuniversität dich benachrichtigt hat und du nicht an Praktika teilnimmst.</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</si>
  <si>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</si>
  <si>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</si>
  <si>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</si>
  <si>
    <t>Ich bin für längere Zeit krank und kann meine Abschlussarbeit nicht normal bearbeiten. Muss mein Attest direkt einen sehr langen Zeitraum abdecken oder kann ich mehrere Atteste nacheinander einreichen?</t>
  </si>
  <si>
    <t>Ich verstehe deine Frage besser jetzt.  Basierend auf den Suchergebnissen kann ich dir sagen:  Ja, du kannst mehrere Atteste nacheinander einreichen, um deine Prüfungsunfähigkeit nachzuweisen. Es gibt jedoch einige Einschränkungen und Bedingungen, die beachtet werden müssen.  * Wenn das Attest eine Einschränkung der Leistungsfähigkeit für mehr als 14 Tage nach der letzten Untersuchung bescheinigt, muss auf der Rückseite ausführlich dargelegt werden, auf Grund welcher Untersuchungsergebnisse ein solch langer Zeitraum prognostiziert wird. * Es ist möglich, mehrere Atteste zum Nachweis einer Prüfungsunfähigkeit bis zur maximalen Dauer nach Prüfungsordnung einzureichen. Es gibt jedoch keine Notwendigkeit, ein Attest über einen noch nicht vollständig absehbaren Zeitraum auszustellen. * Die Beeinträchtigung der Leistungsfähigkeit durch Prüfungsangst oder Prüfungsstress führt grundsätzlich nicht zu einer rechtlich beachtlichen Prüfungsunfähigkeit.  Es ist jedoch wichtig, dass du die Gründe für deine Prüfungsunfähigkeit aktenkundig machst und dass du dich an die Einschränkungen und Bedingungen hältst, die in der Prüfungsordnung festgelegt sind.</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</si>
  <si>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</si>
  <si>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t>
  </si>
  <si>
    <t>['https://wiso.uni-koeln.de/de/fakultaet/dekanat/zentrale-fakultaetsverwaltung/pruefungsamt/po-2007-2008/abschlussarbeiten',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'file://D:/Uni-Köln/Masterarbeit/Software/uzk-masterarbeit/data/pdf_cache/__wiso.uni-koeln.de_sites_fakultaet_dokumente_PA_po_MPO_WiSo_2021_2025.pdf']</t>
  </si>
  <si>
    <t>Kann ich für eine Verlängerung der Bearbeitungsfrist meiner Abschlussarbeit einfach Prüfungsangst als Grund angeben, oder reicht das nicht für eine anerkannte Prüfungsunfähigkeit?</t>
  </si>
  <si>
    <t>Ich verstehe deine Frage besser jetzt. Um auf deine Frage zu antworten: Nein, Prüfungsangst reicht nicht aus, um eine anerkannte Prüfungsunfähigkeit zu beantragen. Die Universität zu Köln hat strenge Vorgaben für die Verlängerung der Bearbeitungsfrist einer Abschlussarbeit.  Um eine Verlängerung zu erhalten, musst du einen Antrag stellen und einen ausreichenden Grund angeben, der durch ärztliche Bescheinigung oder andere Dokumente nachgewiesen werden muss. Prüfungsangst ist kein gültiger Grund für eine Verlängerung.  Wenn du also Schwierigkeiten hast, deine Arbeit zu bearbeiten, solltest du mit deiner Studienberatung sprechen und gemeinsam einen Plan entwickeln, um deine Leistungsfähigkeit wiederherzustellen.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</si>
  <si>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</si>
  <si>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</si>
  <si>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</si>
  <si>
    <t>['pdf', 'pdf', 'html', 'html', 'html']</t>
  </si>
  <si>
    <t>Wie wird die Gesamtnote im Bachelorstudiengang Gesundheitsökonomie berechnet und mit welcher Gewichtung gehen die einzelnen Bereiche sowie die Bachelorarbeit ein?</t>
  </si>
  <si>
    <t>Die Gesamtnote im Bachelorstudiengang Gesundheitsökonomie wird gebildet als gewichtetes arithmetisches Mittel aus den Noten der Studienbereiche und der Note der Abschlussarbeit. Die Noten gehen mit folgender Gewichtung in die Gesamtnote ein:  * Noten der Studienbereiche: 60% * Note der Abschlussarbeit: 40%  Dies ist laut Modulhandbuch für den Bachelor of Science in Gesundheitsökonomie gültig.</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</si>
  <si>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</si>
  <si>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</si>
  <si>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</si>
  <si>
    <t>Welche Zugangsvoraussetzungen und fachlichen Anforderungen gelten für den Masterstudiengang Business Administration Marketing an der Universität zu Köln?</t>
  </si>
  <si>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</si>
  <si>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</si>
  <si>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</si>
  <si>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</si>
  <si>
    <t>Bis wann läuft die Prüfungsordnung für den Bachelorstudiengang Gesundheitsökonomie (PO 2015) aus?</t>
  </si>
  <si>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</si>
  <si>
    <t>Die Prüfungsordnung für den Bachelorstudiengang Gesundheitsökonomie (PO 2015) läuft mit Ablauf des Wintersemesters 2024/25 aus</t>
  </si>
  <si>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t>
  </si>
  <si>
    <t>['https://wiso.uni-koeln.de/de/fakultaet/dekanat/zentrale-fakultaetsverwaltung/pruefungsamt/po-2015-po-2021/download',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'file://D:/Uni-Köln/Masterarbeit/Software/uzk-masterarbeit/data/pdf_cache/__wiso.uni-koeln.de_sites_fakultaet_dokumente_PA_po_po_m_gesundheitsoekonomie.pdf']</t>
  </si>
  <si>
    <t>Was zeichnet den Masterstudiengang Business Administration – Marketing inhaltlich aus und in welcher Sprache wird er gelehrt?</t>
  </si>
  <si>
    <t>Basierend auf den Suchergebnissen kann ich folgern:  Der Masterstudiengang Business Administration – Marketing zeichnet sich durch eine Kombination von fachlich-spezifischen Anforderungen und einem grundlegenden Einsetz in Aufgabenfeldern mit Personal- und Budgetverantwortung aus. Der Schwerpunkt liegt auf dem Marketing Performance Management und der Verantwortungsvollheit unter Beachtung ökologischer, sozialer und ethischer Kriterien.  Die Sprache des Masterstudiengangs ist Deutsch und Englisch.</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</si>
  <si>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</si>
  <si>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</si>
  <si>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</si>
  <si>
    <t>['pdf', 'pdf', 'html', 'pdf', 'pdf']</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</si>
  <si>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</si>
  <si>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</si>
  <si>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</si>
  <si>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</si>
  <si>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</si>
  <si>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</si>
  <si>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Julia Monzel, M.A., Leitung des WiSo Career &amp; Corporate Services. Sie kann über die E-Mail-Adresse monzel@wiso.uni-koeln.de oder das Telefon +49 (0) 221 470 7479 kontaktiert werden.</t>
  </si>
  <si>
    <t>An der Universität zu Köln gibt es einen EU Career Ambassador. Diese Person ist die zentrale Ansprechperson für alle Kölner Studierenden, die sich für eine Karriere bei der Europäischen Union interessieren.</t>
  </si>
  <si>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</si>
  <si>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</si>
  <si>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</si>
  <si>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</si>
  <si>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</si>
  <si>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</si>
  <si>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</si>
  <si>
    <t>Welche ersten Schritte soll ich laut Notfallplan unternehmen, wenn ich einen Viren- oder Trojanerbefall vermute?</t>
  </si>
  <si>
    <t>Es tut mir leid, aber ich konnte keine relevanten Informationen zu "Notfallplan Viren- oder Trojanerbefall" in der Universitäts-Wissensdatenbank finden. Ich kann Ihnen jedoch allgemeine Tipps geben, um mit einem Viren- oder Trojanerbefall umzugehen:  1.  **Sofort handeln**: Wenn Sie einen Viren- oder Trojanerbefall vermuten, sollten Sie sofort handeln und die betroffenen Geräte von der Netzwerkverbindung trennen. 2.  **Antivirenssoftware verwenden**: Installieren und aktivieren Sie eine Antivirenssoftware, um den Schaden zu begrenzen und den Viren oder Trojaner zu entfernen. 3.  **Systemwiederherstellung durchführen**: Wenn möglich, sollten Sie die Systemwiederherstellung durchführen, um das System auf einen vor dem Befall gesicherten Zustand zurückzusetzen. 4.  **Sicherheitsmaßnahmen überprüfen**: Überprüfen Sie Ihre Sicherheitsmaßnahmen, wie z.B. Firewalls und Passwörter, um sicherzustellen, dass sie korrekt konfiguriert sind.  Bitte beachten Sie, dass diese Tipps allgemeiner Natur sind und nicht speziell auf die Universitäts-Wissensdatenbank abgestimmt sind. Wenn Sie weitere Informationen benötigen oder Hilfe bei der Lösung eines Viren- oder Trojanerbefalls benötigen, sollten Sie sich an den IT-Support der Universität wenden.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</si>
  <si>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</si>
  <si>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worden sein. (9) 1Die Masterarbeit enthält ein Verzeichnis der benutzten Hilfsmittel. 2Darüber hinaus ist ihr eine unterschriebene Versicherung mit folgendem Wortlaut beizufügen: „ Hiermit versichere ich an Eides statt, dass ich die vorliegende Arbeit selbstständig und ohne die Benutzung anderer als der angegebenen Hilfsmittel angefertigt habe. Alle Stellen, die wörtlich oder sinngemä ß aus veröffentlichten und nicht veröffentlichten Schriften entnommen wurden, sind als solche kenntlich gemacht . Die Arbeit ist in gleicher oder ähnlicher Form oder auszugsweise im Rahmen einer anderen Prüfung noch nicht vorgelegt worden. Ich versichere, d ass die eingereichte elektronische Fassung der eingereichten Druckfassung vollständig entspricht. “ 3Wurde d', 'd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'und örtlich festgesetzten Prüfung ohne triftigen Grund nicht teilnimmt oder wenn er nach Beginn der Prüfung ohne triftigen Grund von der Prüfung zurücktritt. 2Dasselbe gilt, wenn eine Prüfungsleistung nicht innerhalb der vorgeg ebenen Bearbeitungszeit erbracht wird. (2) 1Der für den Rücktritt oder das Versäumnis geltend gemachte Grund ist der oder dem Vo r- sitzenden des Prüfungsausschusses unverzüglich schriftlich anzuzeigen und glaubhaft zu m a- chen. 2Dasse lbe gilt, wenn eine Prüfungsleistung nicht innerhalb der vorgegebenen Bearbe i- tungszeit erbracht wird. 3Bei Krankheit ist die Vorlage einer ärztlichen Bescheinigung no t- wendig. 4In Zweifelsfällen kann die Vorlage eines vertrauensärztlichen Attests verlangt w er- den; die Kosten übernimmt die Universität. 5Gleiches gilt bei nachgewiesener Erkrankung eines vom Prüfling zu versorgenden Kindes oder einer zu pflegenden Ehegattin oder eines zu pflegenden Ehegatten, einer eingetragenen Lebenspartnerin oder eines einget ragener Leben s- partners, einer oder eines in gerader Linie Verwandten sowie einer oder eines im ersten Grad Verschwägerten. 6Alles weitere regelt der Prüfungsausschuss . (3) 1Versucht ein Prüfling, das Ergebnis einer Prüfungsleistung durch das Mitführen nich t zugelassener Hilfsmittel oder durch Täuschungshandlungen zu eigenem oder fremdem Vorteil zu beeinflussen, gilt die betreffende Prüfungsleistung als mit „nicht ausreichend (5,0)“ bewe r- tet. 2Entsprechendes gilt, wenn ein Prüfling einem anderen unzul', 'ungen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begründeten Einze lfalles obliegt der beziehungsweise dem Vorsitzenden des Prüfu ngsausschusses. 6Im Fall einer Entscheidung nach Satz 4, letzter Halbsatz hört sie beziehungsweise er vor einer Entscheidung die Themenstellerin beziehungsweise den Themensteller. (8) Die Master arbeit darf in gleicher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 rden, sind als solche kenntlich gemacht . Die Arbeit ist in gleicher oder ähnlicher Form oder auszugsweise im Rahmen einer anderen Prüfung noch nicht vorgelegt worden. Ich versichere, dass die eingereichte elektronische Fassung der einger', 'emburger Str. 258 Telefon: 41 38 83 Bezüglich des Zeitpunkts der ärztlichen Untersuchung sollte beac htet werden, dass eine akute Erkra nkung vor Klausurbeginn am Prüfungstag möglicherweise am Nachmittag dieses Tages oder später nicht mehr mit hinreichender Gewissheit diagnostiziert werden kann. Sofern Sie daher eine Arzpraxis außerhalb der Sprechzeiten au fsuchen müssen, wenden Sie sich bitte an den Kassenärztlichen Notdienst. Eine Übersicht über die Notdienstpraxen im Bezirk Nord- rhein finden Sie auf der Homepage der Kassenärztlichen Vereinigung. Der nachträgliche Rücktritt von einer begonnenen oder einer a bgeschlossenen Prüfung ist grun dsätzlich auch dann ausgeschlossen, wenn ein Prüfling krankheitsbedingt außerstande war, eine bewer tbare Prüfungsleistung zu erbringen. Unterzieht sich ein Prüfling in Kenntnis einer gesundheitlichen B eeinträchtigung der Prüf ung bzw. beginnt er die Prüfung, kommt ein nachträglicher Rücktritt nicht mehr in Betracht. Es gehört in diesem Zusammenhang zu den aus dem Prüfungsverhältnis resultierenden Mitwirkungspflichten eines Prüflings, sich ggf. vor einer Prüfung durch Konsultati on eines Arztes Gewissheit darüber zu verschaffen, ob unei n- geschränkte Prüfungsfähigkeit vorliegt. --- Page 3 --- 3 Ein Anspruch auf nachträglichen Rücktritt von einer begonnenen oder abgeschlossenen Pr ü- fung kann ausnahmsweise bestehen, wenn eine gesundheitliche Beeinträc htigung für einen Prüfling subjektiv nicht erkennbar vor oder während der Prüfung vorl']</t>
  </si>
  <si>
    <t>['file://D:/Uni-Köln/Masterarbeit/Software/uzk-masterarbeit/data/pdf_cache/__wiso.uni-koeln.de_sites_fakultaet_dokumente_PA_po_po_m_information_systems.pdf', 'file://D:/Uni-Köln/Masterarbeit/Software/uzk-masterarbeit/data/pdf_cache/__wiso.uni-koeln.de_sites_wiso_it_docs_Anleitungen_PC-Pool_Benutzungsordnung.pdf', 'file://D:/Uni-Köln/Masterarbeit/Software/uzk-masterarbeit/data/pdf_cache/__wiso.uni-koeln.de_sites_fakultaet_dokumente_PA_po_po_m_soziologie_empirische_sozialforschung.pdf', 'file://D:/Uni-Köln/Masterarbeit/Software/uzk-masterarbeit/data/pdf_cache/__wiso.uni-koeln.de_sites_fakultaet_dokumente_PA_po_po_m_business_administration.pdf', 'file://D:/Uni-Köln/Masterarbeit/Software/uzk-masterarbeit/data/pdf_cache/__wiso.uni-koeln.de_sites_fakultaet_dokumente_PA_pruefungen_erkrankung.pdf']</t>
  </si>
  <si>
    <t>📊 RAGAS-Evaluation Zusammenfassung</t>
  </si>
  <si>
    <t>Durchschnittliche Scores</t>
  </si>
  <si>
    <t>BERT-F1</t>
  </si>
  <si>
    <t>BERT-Precision</t>
  </si>
  <si>
    <t>BERT-Recall</t>
  </si>
  <si>
    <t>MRR@5</t>
  </si>
  <si>
    <t>Hit@5</t>
  </si>
  <si>
    <t>Prompt Tokens (avg)</t>
  </si>
  <si>
    <t>Completion Tokens (avg)</t>
  </si>
  <si>
    <t>Total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</si>
  <si>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</si>
  <si>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</si>
  <si>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</si>
  <si>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</si>
  <si>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</si>
  <si>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</si>
  <si>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</si>
  <si>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</si>
  <si>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</si>
  <si>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</si>
  <si>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</si>
  <si>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</si>
  <si>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Scores nach Schwierigkeit</t>
  </si>
  <si>
    <t>Schwierigkeit</t>
  </si>
  <si>
    <t>EASY</t>
  </si>
  <si>
    <t>MEDIUM</t>
  </si>
  <si>
    <t>HARD</t>
  </si>
  <si>
    <t>1 Gold-Dokument wurde zusätzlich gefunden mit anderer URL; Allerdings wurde dies nicht angepasst, da dies auch nicht in den anderen Runs gemacht wird bei gleichen Dokumenten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</si>
</sst>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7"/>
  <sheetViews>
    <sheetView topLeftCell="H116" workbookViewId="0">
      <selection activeCell="S90" sqref="S90"/>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09.5" x14ac:dyDescent="0.25">
      <c r="A2">
        <v>1</v>
      </c>
      <c r="B2" t="s">
        <v>26</v>
      </c>
      <c r="C2" t="s">
        <v>27</v>
      </c>
      <c r="D2" s="2" t="s">
        <v>28</v>
      </c>
      <c r="E2" s="2" t="s">
        <v>29</v>
      </c>
      <c r="F2" s="2" t="s">
        <v>30</v>
      </c>
      <c r="G2" s="2" t="s">
        <v>31</v>
      </c>
      <c r="H2" t="s">
        <v>32</v>
      </c>
      <c r="I2" t="s">
        <v>33</v>
      </c>
      <c r="J2" s="3">
        <v>0.83333333333333337</v>
      </c>
      <c r="K2">
        <v>1</v>
      </c>
      <c r="L2">
        <v>0.47777777776185187</v>
      </c>
      <c r="M2">
        <v>0.69174534625042605</v>
      </c>
      <c r="N2">
        <v>0.1111111109876543</v>
      </c>
      <c r="O2">
        <v>0.84578900131503354</v>
      </c>
      <c r="P2">
        <v>0.12627214193344119</v>
      </c>
      <c r="Q2">
        <v>-1.1026577092707161E-2</v>
      </c>
      <c r="R2">
        <v>0.26686057448387152</v>
      </c>
      <c r="S2">
        <v>0</v>
      </c>
      <c r="T2">
        <v>0</v>
      </c>
      <c r="U2">
        <v>38.059852123260498</v>
      </c>
      <c r="V2">
        <v>2264</v>
      </c>
      <c r="W2">
        <v>420</v>
      </c>
      <c r="X2">
        <v>2684</v>
      </c>
      <c r="Y2">
        <v>5</v>
      </c>
      <c r="Z2">
        <v>38.059852123260498</v>
      </c>
    </row>
    <row r="3" spans="1:26" ht="409.5" x14ac:dyDescent="0.25">
      <c r="A3">
        <v>2</v>
      </c>
      <c r="B3" t="s">
        <v>26</v>
      </c>
      <c r="C3" t="s">
        <v>34</v>
      </c>
      <c r="D3" s="2" t="s">
        <v>35</v>
      </c>
      <c r="E3" s="2" t="s">
        <v>36</v>
      </c>
      <c r="F3" s="2" t="s">
        <v>37</v>
      </c>
      <c r="G3" s="2" t="s">
        <v>38</v>
      </c>
      <c r="H3" t="s">
        <v>39</v>
      </c>
      <c r="I3" t="s">
        <v>40</v>
      </c>
      <c r="J3" s="3">
        <v>0.8571428571428571</v>
      </c>
      <c r="K3">
        <v>1</v>
      </c>
      <c r="L3">
        <v>0.99999999989999999</v>
      </c>
      <c r="M3">
        <v>0.611636623432813</v>
      </c>
      <c r="N3">
        <v>0.49999999875000001</v>
      </c>
      <c r="O3">
        <v>0.91207545766203846</v>
      </c>
      <c r="P3">
        <v>7.6904237270355225E-2</v>
      </c>
      <c r="Q3">
        <v>-9.3124940991401672E-2</v>
      </c>
      <c r="R3">
        <v>0.25414514541625982</v>
      </c>
      <c r="S3">
        <v>0</v>
      </c>
      <c r="T3">
        <v>0</v>
      </c>
      <c r="U3">
        <v>15.13297963142395</v>
      </c>
      <c r="V3">
        <v>2192</v>
      </c>
      <c r="W3">
        <v>326</v>
      </c>
      <c r="X3">
        <v>2518</v>
      </c>
      <c r="Y3">
        <v>5</v>
      </c>
      <c r="Z3">
        <v>15.13297963142395</v>
      </c>
    </row>
    <row r="4" spans="1:26" ht="409.5" x14ac:dyDescent="0.25">
      <c r="A4">
        <v>3</v>
      </c>
      <c r="B4" t="s">
        <v>26</v>
      </c>
      <c r="C4" t="s">
        <v>27</v>
      </c>
      <c r="D4" s="2" t="s">
        <v>41</v>
      </c>
      <c r="E4" s="2" t="s">
        <v>42</v>
      </c>
      <c r="F4" s="2" t="s">
        <v>43</v>
      </c>
      <c r="G4" s="2" t="s">
        <v>44</v>
      </c>
      <c r="H4" t="s">
        <v>45</v>
      </c>
      <c r="I4" t="s">
        <v>46</v>
      </c>
      <c r="J4" s="4">
        <v>0.6</v>
      </c>
      <c r="K4">
        <v>1</v>
      </c>
      <c r="L4">
        <v>0.53333333331555555</v>
      </c>
      <c r="M4">
        <v>0.75530699794092249</v>
      </c>
      <c r="N4">
        <v>0.49999999937499989</v>
      </c>
      <c r="O4">
        <v>0.96515080483332394</v>
      </c>
      <c r="P4">
        <v>0.33451652526855469</v>
      </c>
      <c r="Q4">
        <v>0.29236060380935669</v>
      </c>
      <c r="R4">
        <v>0.37430810928344732</v>
      </c>
      <c r="S4">
        <v>0.2</v>
      </c>
      <c r="T4">
        <v>1</v>
      </c>
      <c r="U4">
        <v>12.01028609275818</v>
      </c>
      <c r="V4">
        <v>2180</v>
      </c>
      <c r="W4">
        <v>218</v>
      </c>
      <c r="X4">
        <v>2398</v>
      </c>
      <c r="Y4">
        <v>5</v>
      </c>
      <c r="Z4">
        <v>12.01028609275818</v>
      </c>
    </row>
    <row r="5" spans="1:26" ht="409.5" x14ac:dyDescent="0.25">
      <c r="A5">
        <v>4</v>
      </c>
      <c r="B5" t="s">
        <v>26</v>
      </c>
      <c r="C5" t="s">
        <v>27</v>
      </c>
      <c r="D5" s="2" t="s">
        <v>47</v>
      </c>
      <c r="E5" s="2" t="s">
        <v>48</v>
      </c>
      <c r="F5" s="2" t="s">
        <v>49</v>
      </c>
      <c r="G5" s="2" t="s">
        <v>50</v>
      </c>
      <c r="H5" t="s">
        <v>51</v>
      </c>
      <c r="I5" t="s">
        <v>52</v>
      </c>
      <c r="J5" s="3">
        <v>1</v>
      </c>
      <c r="K5">
        <v>0.66666666666666663</v>
      </c>
      <c r="L5">
        <v>0</v>
      </c>
      <c r="M5">
        <v>0.6965164237072401</v>
      </c>
      <c r="N5">
        <v>0.22222222197530861</v>
      </c>
      <c r="O5">
        <v>0.86687532351489582</v>
      </c>
      <c r="P5">
        <v>0.21753318607807159</v>
      </c>
      <c r="Q5">
        <v>0.15904964506626129</v>
      </c>
      <c r="R5">
        <v>0.27373179793357849</v>
      </c>
      <c r="S5">
        <v>0</v>
      </c>
      <c r="T5">
        <v>0</v>
      </c>
      <c r="U5">
        <v>12.02447724342346</v>
      </c>
      <c r="V5">
        <v>2086</v>
      </c>
      <c r="W5">
        <v>243</v>
      </c>
      <c r="X5">
        <v>2329</v>
      </c>
      <c r="Y5">
        <v>5</v>
      </c>
      <c r="Z5">
        <v>12.02447724342346</v>
      </c>
    </row>
    <row r="6" spans="1:26" ht="409.5" x14ac:dyDescent="0.25">
      <c r="A6">
        <v>5</v>
      </c>
      <c r="B6" t="s">
        <v>26</v>
      </c>
      <c r="C6" t="s">
        <v>34</v>
      </c>
      <c r="D6" s="2" t="s">
        <v>53</v>
      </c>
      <c r="E6" s="2" t="s">
        <v>54</v>
      </c>
      <c r="F6" s="2" t="s">
        <v>55</v>
      </c>
      <c r="G6" s="2" t="s">
        <v>56</v>
      </c>
      <c r="H6" t="s">
        <v>57</v>
      </c>
      <c r="I6" t="s">
        <v>58</v>
      </c>
      <c r="J6" s="3">
        <v>0.9</v>
      </c>
      <c r="K6">
        <v>1</v>
      </c>
      <c r="L6">
        <v>0.99999999998</v>
      </c>
      <c r="M6">
        <v>0.82802389613403393</v>
      </c>
      <c r="N6">
        <v>0.99999999000000017</v>
      </c>
      <c r="O6">
        <v>0.91836785706351187</v>
      </c>
      <c r="P6">
        <v>0.20510841906070709</v>
      </c>
      <c r="Q6">
        <v>5.8345217257738113E-2</v>
      </c>
      <c r="R6">
        <v>0.35647663474082952</v>
      </c>
      <c r="S6">
        <v>0.25</v>
      </c>
      <c r="T6">
        <v>1</v>
      </c>
      <c r="U6">
        <v>16.753304243087769</v>
      </c>
      <c r="V6">
        <v>2138</v>
      </c>
      <c r="W6">
        <v>382</v>
      </c>
      <c r="X6">
        <v>2520</v>
      </c>
      <c r="Y6">
        <v>5</v>
      </c>
      <c r="Z6">
        <v>16.753304243087769</v>
      </c>
    </row>
    <row r="7" spans="1:26" ht="409.5" x14ac:dyDescent="0.25">
      <c r="A7">
        <v>6</v>
      </c>
      <c r="B7" t="s">
        <v>26</v>
      </c>
      <c r="C7" t="s">
        <v>27</v>
      </c>
      <c r="D7" s="2" t="s">
        <v>59</v>
      </c>
      <c r="E7" s="2" t="s">
        <v>60</v>
      </c>
      <c r="F7" s="2" t="s">
        <v>61</v>
      </c>
      <c r="G7" s="2" t="s">
        <v>62</v>
      </c>
      <c r="H7" t="s">
        <v>63</v>
      </c>
      <c r="I7" t="s">
        <v>64</v>
      </c>
      <c r="J7" s="5">
        <v>0.1111111111111111</v>
      </c>
      <c r="K7">
        <v>0</v>
      </c>
      <c r="L7">
        <v>0</v>
      </c>
      <c r="M7">
        <v>0.65617201819722593</v>
      </c>
      <c r="N7">
        <v>0</v>
      </c>
      <c r="O7">
        <v>0.79035564776093858</v>
      </c>
      <c r="P7">
        <v>0.12793853878974909</v>
      </c>
      <c r="Q7">
        <v>5.63478022813797E-2</v>
      </c>
      <c r="R7">
        <v>0.19749368727207181</v>
      </c>
      <c r="S7">
        <v>0</v>
      </c>
      <c r="T7">
        <v>0</v>
      </c>
      <c r="U7">
        <v>10.996184587478639</v>
      </c>
      <c r="V7">
        <v>2114</v>
      </c>
      <c r="W7">
        <v>209</v>
      </c>
      <c r="X7">
        <v>2323</v>
      </c>
      <c r="Y7">
        <v>5</v>
      </c>
      <c r="Z7">
        <v>10.996184587478639</v>
      </c>
    </row>
    <row r="8" spans="1:26" ht="409.5" x14ac:dyDescent="0.25">
      <c r="A8">
        <v>7</v>
      </c>
      <c r="B8" t="s">
        <v>26</v>
      </c>
      <c r="C8" t="s">
        <v>27</v>
      </c>
      <c r="D8" s="2" t="s">
        <v>65</v>
      </c>
      <c r="E8" s="2" t="s">
        <v>66</v>
      </c>
      <c r="F8" s="2" t="s">
        <v>67</v>
      </c>
      <c r="G8" s="2" t="s">
        <v>68</v>
      </c>
      <c r="H8" t="s">
        <v>69</v>
      </c>
      <c r="I8" t="s">
        <v>64</v>
      </c>
      <c r="J8" s="5">
        <v>0.4</v>
      </c>
      <c r="K8">
        <v>0</v>
      </c>
      <c r="L8">
        <v>0</v>
      </c>
      <c r="M8">
        <v>0.55974352039098718</v>
      </c>
      <c r="N8">
        <v>0</v>
      </c>
      <c r="O8">
        <v>0</v>
      </c>
      <c r="P8">
        <v>9.0754911303520203E-2</v>
      </c>
      <c r="Q8">
        <v>3.9606004953384399E-2</v>
      </c>
      <c r="R8">
        <v>0.13877379894256589</v>
      </c>
      <c r="S8">
        <v>0</v>
      </c>
      <c r="T8">
        <v>0</v>
      </c>
      <c r="U8">
        <v>8.0844056606292725</v>
      </c>
      <c r="V8">
        <v>2032</v>
      </c>
      <c r="W8">
        <v>134</v>
      </c>
      <c r="X8">
        <v>2166</v>
      </c>
      <c r="Y8">
        <v>5</v>
      </c>
      <c r="Z8">
        <v>8.0844056606292725</v>
      </c>
    </row>
    <row r="9" spans="1:26" ht="409.5" x14ac:dyDescent="0.25">
      <c r="A9">
        <v>8</v>
      </c>
      <c r="B9" t="s">
        <v>26</v>
      </c>
      <c r="C9" t="s">
        <v>70</v>
      </c>
      <c r="D9" s="2" t="s">
        <v>71</v>
      </c>
      <c r="E9" s="2" t="s">
        <v>72</v>
      </c>
      <c r="F9" s="2" t="s">
        <v>73</v>
      </c>
      <c r="G9" s="2" t="s">
        <v>74</v>
      </c>
      <c r="H9" t="s">
        <v>75</v>
      </c>
      <c r="I9" t="s">
        <v>40</v>
      </c>
      <c r="J9" s="5">
        <v>0.45454545454545447</v>
      </c>
      <c r="K9">
        <v>0</v>
      </c>
      <c r="L9">
        <v>0</v>
      </c>
      <c r="M9">
        <v>0.77858344754817521</v>
      </c>
      <c r="N9">
        <v>0</v>
      </c>
      <c r="O9">
        <v>0</v>
      </c>
      <c r="P9">
        <v>0.1248454824090004</v>
      </c>
      <c r="Q9">
        <v>0.1460330784320831</v>
      </c>
      <c r="R9">
        <v>9.9976830184459686E-2</v>
      </c>
      <c r="S9">
        <v>0</v>
      </c>
      <c r="T9">
        <v>0</v>
      </c>
      <c r="U9">
        <v>15.835388898849491</v>
      </c>
      <c r="V9">
        <v>2018</v>
      </c>
      <c r="W9">
        <v>219</v>
      </c>
      <c r="X9">
        <v>2237</v>
      </c>
      <c r="Y9">
        <v>5</v>
      </c>
      <c r="Z9">
        <v>15.835388898849491</v>
      </c>
    </row>
    <row r="10" spans="1:26" ht="409.5" x14ac:dyDescent="0.25">
      <c r="A10">
        <v>9</v>
      </c>
      <c r="B10" t="s">
        <v>76</v>
      </c>
      <c r="C10" t="s">
        <v>34</v>
      </c>
      <c r="D10" s="2" t="s">
        <v>77</v>
      </c>
      <c r="E10" s="2" t="s">
        <v>78</v>
      </c>
      <c r="F10" s="2" t="s">
        <v>79</v>
      </c>
      <c r="G10" s="2" t="s">
        <v>80</v>
      </c>
      <c r="H10" t="s">
        <v>81</v>
      </c>
      <c r="I10" t="s">
        <v>82</v>
      </c>
      <c r="J10" s="4">
        <v>0.66666666666666663</v>
      </c>
      <c r="K10">
        <v>1</v>
      </c>
      <c r="L10">
        <v>0.99999999998</v>
      </c>
      <c r="M10">
        <v>0.8238798805354075</v>
      </c>
      <c r="N10">
        <v>0.39999999920000001</v>
      </c>
      <c r="O10">
        <v>0.96204888798609678</v>
      </c>
      <c r="P10">
        <v>0.36804103851318359</v>
      </c>
      <c r="Q10">
        <v>0.35315567255020142</v>
      </c>
      <c r="R10">
        <v>0.38018050789833069</v>
      </c>
      <c r="S10">
        <v>1</v>
      </c>
      <c r="T10">
        <v>1</v>
      </c>
      <c r="U10">
        <v>9.2669179439544678</v>
      </c>
      <c r="V10">
        <v>2014</v>
      </c>
      <c r="W10">
        <v>155</v>
      </c>
      <c r="X10">
        <v>2169</v>
      </c>
      <c r="Y10">
        <v>5</v>
      </c>
      <c r="Z10">
        <v>9.2669179439544678</v>
      </c>
    </row>
    <row r="11" spans="1:26" ht="409.5" x14ac:dyDescent="0.25">
      <c r="A11">
        <v>10</v>
      </c>
      <c r="B11" t="s">
        <v>76</v>
      </c>
      <c r="C11" t="s">
        <v>34</v>
      </c>
      <c r="D11" s="2" t="s">
        <v>83</v>
      </c>
      <c r="E11" s="2" t="s">
        <v>84</v>
      </c>
      <c r="F11" s="2" t="s">
        <v>85</v>
      </c>
      <c r="G11" s="2" t="s">
        <v>86</v>
      </c>
      <c r="H11" t="s">
        <v>87</v>
      </c>
      <c r="I11" t="s">
        <v>64</v>
      </c>
      <c r="J11" s="3">
        <v>1</v>
      </c>
      <c r="K11">
        <v>1</v>
      </c>
      <c r="L11">
        <v>0.99999999998</v>
      </c>
      <c r="M11">
        <v>0.82410898297091262</v>
      </c>
      <c r="N11">
        <v>0</v>
      </c>
      <c r="O11">
        <v>0.94654205035134642</v>
      </c>
      <c r="P11">
        <v>0.6901887059211731</v>
      </c>
      <c r="Q11">
        <v>0.7365870475769043</v>
      </c>
      <c r="R11">
        <v>0.6431659460067749</v>
      </c>
      <c r="S11">
        <v>0</v>
      </c>
      <c r="T11">
        <v>0</v>
      </c>
      <c r="U11">
        <v>7.1445951461791992</v>
      </c>
      <c r="V11">
        <v>2393</v>
      </c>
      <c r="W11">
        <v>66</v>
      </c>
      <c r="X11">
        <v>2459</v>
      </c>
      <c r="Y11">
        <v>5</v>
      </c>
      <c r="Z11">
        <v>7.1445951461791992</v>
      </c>
    </row>
    <row r="12" spans="1:26" ht="409.5" x14ac:dyDescent="0.25">
      <c r="A12">
        <v>11</v>
      </c>
      <c r="B12" t="s">
        <v>76</v>
      </c>
      <c r="C12" t="s">
        <v>27</v>
      </c>
      <c r="D12" s="2" t="s">
        <v>88</v>
      </c>
      <c r="E12" s="2" t="s">
        <v>89</v>
      </c>
      <c r="F12" s="2" t="s">
        <v>90</v>
      </c>
      <c r="G12" s="2" t="s">
        <v>91</v>
      </c>
      <c r="H12" t="s">
        <v>92</v>
      </c>
      <c r="I12" t="s">
        <v>93</v>
      </c>
      <c r="J12" s="4">
        <v>0.75</v>
      </c>
      <c r="K12">
        <v>1</v>
      </c>
      <c r="L12">
        <v>0.99999999995</v>
      </c>
      <c r="M12">
        <v>0.71446409845814052</v>
      </c>
      <c r="N12">
        <v>0.79999999919999998</v>
      </c>
      <c r="O12">
        <v>0</v>
      </c>
      <c r="P12">
        <v>0.14786617457866669</v>
      </c>
      <c r="Q12">
        <v>3.2529015094041817E-2</v>
      </c>
      <c r="R12">
        <v>0.26438465714454651</v>
      </c>
      <c r="S12">
        <v>0.5</v>
      </c>
      <c r="T12">
        <v>1</v>
      </c>
      <c r="U12">
        <v>9.0634779930114746</v>
      </c>
      <c r="V12">
        <v>2346</v>
      </c>
      <c r="W12">
        <v>143</v>
      </c>
      <c r="X12">
        <v>2489</v>
      </c>
      <c r="Y12">
        <v>5</v>
      </c>
      <c r="Z12">
        <v>9.0634779930114746</v>
      </c>
    </row>
    <row r="13" spans="1:26" ht="409.5" x14ac:dyDescent="0.25">
      <c r="A13">
        <v>12</v>
      </c>
      <c r="B13" t="s">
        <v>76</v>
      </c>
      <c r="C13" t="s">
        <v>34</v>
      </c>
      <c r="D13" s="2" t="s">
        <v>94</v>
      </c>
      <c r="E13" s="2" t="s">
        <v>95</v>
      </c>
      <c r="F13" s="2" t="s">
        <v>96</v>
      </c>
      <c r="G13" s="2" t="s">
        <v>97</v>
      </c>
      <c r="H13" t="s">
        <v>98</v>
      </c>
      <c r="I13" t="s">
        <v>99</v>
      </c>
      <c r="J13" s="3">
        <v>0.88888888888888884</v>
      </c>
      <c r="K13">
        <v>1</v>
      </c>
      <c r="L13">
        <v>0.99999999989999999</v>
      </c>
      <c r="M13">
        <v>0.60568043497267854</v>
      </c>
      <c r="N13">
        <v>0.19999999960000001</v>
      </c>
      <c r="O13">
        <v>0.90713948012670564</v>
      </c>
      <c r="P13">
        <v>0.17865724861621859</v>
      </c>
      <c r="Q13">
        <v>-2.5073753669857979E-2</v>
      </c>
      <c r="R13">
        <v>0.39498776197433472</v>
      </c>
      <c r="S13">
        <v>1</v>
      </c>
      <c r="T13">
        <v>1</v>
      </c>
      <c r="U13">
        <v>13.90510988235474</v>
      </c>
      <c r="V13">
        <v>2124</v>
      </c>
      <c r="W13">
        <v>309</v>
      </c>
      <c r="X13">
        <v>2433</v>
      </c>
      <c r="Y13">
        <v>5</v>
      </c>
      <c r="Z13">
        <v>13.90510988235474</v>
      </c>
    </row>
    <row r="14" spans="1:26" ht="409.5" x14ac:dyDescent="0.25">
      <c r="A14">
        <v>13</v>
      </c>
      <c r="B14" t="s">
        <v>76</v>
      </c>
      <c r="C14" t="s">
        <v>34</v>
      </c>
      <c r="D14" s="2" t="s">
        <v>100</v>
      </c>
      <c r="E14" s="2" t="s">
        <v>101</v>
      </c>
      <c r="F14" s="2" t="s">
        <v>102</v>
      </c>
      <c r="G14" s="2" t="s">
        <v>103</v>
      </c>
      <c r="H14" t="s">
        <v>104</v>
      </c>
      <c r="I14" t="s">
        <v>64</v>
      </c>
      <c r="J14" s="4">
        <v>0.66666666666666663</v>
      </c>
      <c r="K14">
        <v>1</v>
      </c>
      <c r="L14">
        <v>0.99999999998</v>
      </c>
      <c r="M14">
        <v>0.87326431866215315</v>
      </c>
      <c r="N14">
        <v>0</v>
      </c>
      <c r="O14">
        <v>0.95275704073914536</v>
      </c>
      <c r="P14">
        <v>0.56099444627761841</v>
      </c>
      <c r="Q14">
        <v>0.40415391325950623</v>
      </c>
      <c r="R14">
        <v>0.72471660375595093</v>
      </c>
      <c r="S14">
        <v>0</v>
      </c>
      <c r="T14">
        <v>0</v>
      </c>
      <c r="U14">
        <v>8.3173763751983643</v>
      </c>
      <c r="V14">
        <v>2186</v>
      </c>
      <c r="W14">
        <v>129</v>
      </c>
      <c r="X14">
        <v>2315</v>
      </c>
      <c r="Y14">
        <v>5</v>
      </c>
      <c r="Z14">
        <v>8.3173763751983643</v>
      </c>
    </row>
    <row r="15" spans="1:26" ht="409.5" x14ac:dyDescent="0.25">
      <c r="A15">
        <v>14</v>
      </c>
      <c r="B15" t="s">
        <v>76</v>
      </c>
      <c r="C15" t="s">
        <v>27</v>
      </c>
      <c r="D15" s="2" t="s">
        <v>105</v>
      </c>
      <c r="E15" s="2" t="s">
        <v>106</v>
      </c>
      <c r="F15" s="2" t="s">
        <v>107</v>
      </c>
      <c r="G15" s="2" t="s">
        <v>108</v>
      </c>
      <c r="H15" t="s">
        <v>109</v>
      </c>
      <c r="I15" t="s">
        <v>82</v>
      </c>
      <c r="J15" s="3">
        <v>0.8</v>
      </c>
      <c r="K15">
        <v>0</v>
      </c>
      <c r="L15">
        <v>0</v>
      </c>
      <c r="M15">
        <v>0.72946377511657279</v>
      </c>
      <c r="N15">
        <v>4.761904759637188E-2</v>
      </c>
      <c r="O15">
        <v>0.91311773424185727</v>
      </c>
      <c r="P15">
        <v>0.1197341755032539</v>
      </c>
      <c r="Q15">
        <v>0.2115580141544342</v>
      </c>
      <c r="R15">
        <v>2.7214569970965389E-2</v>
      </c>
      <c r="S15">
        <v>0</v>
      </c>
      <c r="T15">
        <v>0</v>
      </c>
      <c r="U15">
        <v>10.36770367622375</v>
      </c>
      <c r="V15">
        <v>2458</v>
      </c>
      <c r="W15">
        <v>182</v>
      </c>
      <c r="X15">
        <v>2640</v>
      </c>
      <c r="Y15">
        <v>5</v>
      </c>
      <c r="Z15">
        <v>10.36770367622375</v>
      </c>
    </row>
    <row r="16" spans="1:26" ht="409.5" x14ac:dyDescent="0.25">
      <c r="A16">
        <v>15</v>
      </c>
      <c r="B16" t="s">
        <v>76</v>
      </c>
      <c r="C16" t="s">
        <v>34</v>
      </c>
      <c r="D16" s="2" t="s">
        <v>110</v>
      </c>
      <c r="E16" s="2" t="s">
        <v>111</v>
      </c>
      <c r="F16" s="2" t="s">
        <v>112</v>
      </c>
      <c r="G16" s="2" t="s">
        <v>113</v>
      </c>
      <c r="H16" t="s">
        <v>114</v>
      </c>
      <c r="I16" t="s">
        <v>115</v>
      </c>
      <c r="J16" s="3">
        <v>1</v>
      </c>
      <c r="K16">
        <v>1</v>
      </c>
      <c r="L16">
        <v>0</v>
      </c>
      <c r="M16">
        <v>0.74794173279810794</v>
      </c>
      <c r="N16">
        <v>0.249999999375</v>
      </c>
      <c r="O16">
        <v>0</v>
      </c>
      <c r="P16">
        <v>0.38514533638954163</v>
      </c>
      <c r="Q16">
        <v>0.30365866422653198</v>
      </c>
      <c r="R16">
        <v>0.46623215079307562</v>
      </c>
      <c r="S16">
        <v>0</v>
      </c>
      <c r="T16">
        <v>0</v>
      </c>
      <c r="U16">
        <v>8.3659374713897705</v>
      </c>
      <c r="V16">
        <v>2240</v>
      </c>
      <c r="W16">
        <v>137</v>
      </c>
      <c r="X16">
        <v>2377</v>
      </c>
      <c r="Y16">
        <v>5</v>
      </c>
      <c r="Z16">
        <v>8.3659374713897705</v>
      </c>
    </row>
    <row r="17" spans="1:26" ht="409.5" x14ac:dyDescent="0.25">
      <c r="A17">
        <v>16</v>
      </c>
      <c r="B17" t="s">
        <v>116</v>
      </c>
      <c r="C17" t="s">
        <v>34</v>
      </c>
      <c r="D17" s="2" t="s">
        <v>117</v>
      </c>
      <c r="E17" s="2" t="s">
        <v>118</v>
      </c>
      <c r="F17" s="2" t="s">
        <v>119</v>
      </c>
      <c r="G17" s="2" t="s">
        <v>120</v>
      </c>
      <c r="H17" t="s">
        <v>121</v>
      </c>
      <c r="I17" t="s">
        <v>52</v>
      </c>
      <c r="J17" s="4">
        <v>0.66666666666666663</v>
      </c>
      <c r="K17">
        <v>1</v>
      </c>
      <c r="L17">
        <v>0.80416666664656256</v>
      </c>
      <c r="M17">
        <v>0.86549907040763019</v>
      </c>
      <c r="N17">
        <v>0.19999999960000001</v>
      </c>
      <c r="O17">
        <v>0.92154244959617293</v>
      </c>
      <c r="P17">
        <v>0.28704443573951721</v>
      </c>
      <c r="Q17">
        <v>0.1132229566574097</v>
      </c>
      <c r="R17">
        <v>0.46913033723831182</v>
      </c>
      <c r="S17">
        <v>1</v>
      </c>
      <c r="T17">
        <v>1</v>
      </c>
      <c r="U17">
        <v>13.855830907821661</v>
      </c>
      <c r="V17">
        <v>2174</v>
      </c>
      <c r="W17">
        <v>317</v>
      </c>
      <c r="X17">
        <v>2491</v>
      </c>
      <c r="Y17">
        <v>5</v>
      </c>
      <c r="Z17">
        <v>13.855830907821661</v>
      </c>
    </row>
    <row r="18" spans="1:26" ht="409.5" x14ac:dyDescent="0.25">
      <c r="A18">
        <v>17</v>
      </c>
      <c r="B18" t="s">
        <v>116</v>
      </c>
      <c r="C18" t="s">
        <v>34</v>
      </c>
      <c r="D18" s="2" t="s">
        <v>122</v>
      </c>
      <c r="E18" s="2" t="s">
        <v>123</v>
      </c>
      <c r="F18" s="2" t="s">
        <v>124</v>
      </c>
      <c r="G18" s="2" t="s">
        <v>125</v>
      </c>
      <c r="H18" t="s">
        <v>126</v>
      </c>
      <c r="I18" t="s">
        <v>52</v>
      </c>
      <c r="J18" s="5">
        <v>0.58333333333333337</v>
      </c>
      <c r="K18">
        <v>1</v>
      </c>
      <c r="L18">
        <v>0.249999999975</v>
      </c>
      <c r="M18">
        <v>0.82231469853040595</v>
      </c>
      <c r="N18">
        <v>0.59999999939999993</v>
      </c>
      <c r="O18">
        <v>0</v>
      </c>
      <c r="P18">
        <v>0.36402967572212219</v>
      </c>
      <c r="Q18">
        <v>0.20576602220535281</v>
      </c>
      <c r="R18">
        <v>0.52875041961669922</v>
      </c>
      <c r="S18">
        <v>1</v>
      </c>
      <c r="T18">
        <v>1</v>
      </c>
      <c r="U18">
        <v>12.47876405715942</v>
      </c>
      <c r="V18">
        <v>819</v>
      </c>
      <c r="W18">
        <v>37</v>
      </c>
      <c r="X18">
        <v>856</v>
      </c>
      <c r="Y18">
        <v>5</v>
      </c>
      <c r="Z18">
        <v>12.47876405715942</v>
      </c>
    </row>
    <row r="19" spans="1:26" ht="409.5" x14ac:dyDescent="0.25">
      <c r="A19">
        <v>18</v>
      </c>
      <c r="B19" t="s">
        <v>26</v>
      </c>
      <c r="C19" t="s">
        <v>27</v>
      </c>
      <c r="D19" s="2" t="s">
        <v>127</v>
      </c>
      <c r="E19" s="2" t="s">
        <v>128</v>
      </c>
      <c r="F19" s="2" t="s">
        <v>129</v>
      </c>
      <c r="G19" s="2" t="s">
        <v>130</v>
      </c>
      <c r="H19" t="s">
        <v>131</v>
      </c>
      <c r="I19" t="s">
        <v>132</v>
      </c>
      <c r="J19" s="4">
        <v>0.7142857142857143</v>
      </c>
      <c r="K19">
        <v>0.5</v>
      </c>
      <c r="L19">
        <v>0.49999999995</v>
      </c>
      <c r="M19">
        <v>0.64265460383179729</v>
      </c>
      <c r="N19">
        <v>0.19999999960000001</v>
      </c>
      <c r="O19">
        <v>0.77963577345166768</v>
      </c>
      <c r="P19">
        <v>0.1621382683515549</v>
      </c>
      <c r="Q19">
        <v>9.2459253966808319E-2</v>
      </c>
      <c r="R19">
        <v>0.22982506453990939</v>
      </c>
      <c r="S19">
        <v>0</v>
      </c>
      <c r="T19">
        <v>0</v>
      </c>
      <c r="U19">
        <v>13.15989923477173</v>
      </c>
      <c r="V19">
        <v>2213</v>
      </c>
      <c r="W19">
        <v>292</v>
      </c>
      <c r="X19">
        <v>2505</v>
      </c>
      <c r="Y19">
        <v>5</v>
      </c>
      <c r="Z19">
        <v>13.15989923477173</v>
      </c>
    </row>
    <row r="20" spans="1:26" ht="409.5" x14ac:dyDescent="0.25">
      <c r="A20">
        <v>19</v>
      </c>
      <c r="B20" t="s">
        <v>133</v>
      </c>
      <c r="C20" t="s">
        <v>34</v>
      </c>
      <c r="D20" s="2" t="s">
        <v>134</v>
      </c>
      <c r="E20" s="2" t="s">
        <v>135</v>
      </c>
      <c r="F20" s="2" t="s">
        <v>136</v>
      </c>
      <c r="G20" s="2" t="s">
        <v>137</v>
      </c>
      <c r="H20" t="s">
        <v>138</v>
      </c>
      <c r="I20" t="s">
        <v>52</v>
      </c>
      <c r="J20" s="5">
        <v>0.2857142857142857</v>
      </c>
      <c r="K20">
        <v>1</v>
      </c>
      <c r="L20">
        <v>0.99999999998</v>
      </c>
      <c r="M20">
        <v>0.64686969641991221</v>
      </c>
      <c r="N20">
        <v>0.249999999375</v>
      </c>
      <c r="O20">
        <v>0</v>
      </c>
      <c r="P20">
        <v>8.1245243549346924E-2</v>
      </c>
      <c r="Q20">
        <v>-1.9499830901622769E-2</v>
      </c>
      <c r="R20">
        <v>0.18169060349464419</v>
      </c>
      <c r="S20">
        <v>0</v>
      </c>
      <c r="T20">
        <v>0</v>
      </c>
      <c r="U20">
        <v>7.8726861476898193</v>
      </c>
      <c r="V20">
        <v>2192</v>
      </c>
      <c r="W20">
        <v>122</v>
      </c>
      <c r="X20">
        <v>2314</v>
      </c>
      <c r="Y20">
        <v>5</v>
      </c>
      <c r="Z20">
        <v>7.8726861476898193</v>
      </c>
    </row>
    <row r="21" spans="1:26" ht="409.5" x14ac:dyDescent="0.25">
      <c r="A21">
        <v>20</v>
      </c>
      <c r="B21" t="s">
        <v>116</v>
      </c>
      <c r="C21" t="s">
        <v>70</v>
      </c>
      <c r="D21" s="2" t="s">
        <v>139</v>
      </c>
      <c r="E21" s="2" t="s">
        <v>140</v>
      </c>
      <c r="F21" s="2" t="s">
        <v>141</v>
      </c>
      <c r="G21" s="2" t="s">
        <v>142</v>
      </c>
      <c r="H21" t="s">
        <v>143</v>
      </c>
      <c r="I21" t="s">
        <v>52</v>
      </c>
      <c r="J21" s="3">
        <v>1</v>
      </c>
      <c r="K21">
        <v>0.66666666666666663</v>
      </c>
      <c r="L21">
        <v>0.69999999996499995</v>
      </c>
      <c r="M21">
        <v>0.67045357075294976</v>
      </c>
      <c r="N21">
        <v>0.77777777691358019</v>
      </c>
      <c r="O21">
        <v>0.86160529924711449</v>
      </c>
      <c r="P21">
        <v>0.111140213906765</v>
      </c>
      <c r="Q21">
        <v>5.9759650379419327E-2</v>
      </c>
      <c r="R21">
        <v>0.15948829054832461</v>
      </c>
      <c r="S21">
        <v>1</v>
      </c>
      <c r="T21">
        <v>1</v>
      </c>
      <c r="U21">
        <v>10.470683097839361</v>
      </c>
      <c r="V21">
        <v>2221</v>
      </c>
      <c r="W21">
        <v>190</v>
      </c>
      <c r="X21">
        <v>2411</v>
      </c>
      <c r="Y21">
        <v>5</v>
      </c>
      <c r="Z21">
        <v>10.470683097839361</v>
      </c>
    </row>
    <row r="22" spans="1:26" ht="120" x14ac:dyDescent="0.25">
      <c r="A22">
        <v>21</v>
      </c>
      <c r="B22" t="s">
        <v>116</v>
      </c>
      <c r="C22" t="s">
        <v>34</v>
      </c>
      <c r="D22" s="2" t="s">
        <v>144</v>
      </c>
      <c r="E22" s="2" t="s">
        <v>145</v>
      </c>
      <c r="F22" s="2" t="s">
        <v>146</v>
      </c>
      <c r="G22" s="2" t="s">
        <v>147</v>
      </c>
      <c r="H22" t="s">
        <v>147</v>
      </c>
      <c r="I22" t="s">
        <v>147</v>
      </c>
      <c r="J22" s="5">
        <v>0</v>
      </c>
      <c r="K22">
        <v>0</v>
      </c>
      <c r="L22">
        <v>0</v>
      </c>
      <c r="M22">
        <v>0.94807120405694256</v>
      </c>
      <c r="N22">
        <v>0</v>
      </c>
      <c r="O22">
        <v>0.98420687295836784</v>
      </c>
      <c r="P22">
        <v>0.35594555735588068</v>
      </c>
      <c r="Q22">
        <v>0.16867588460445401</v>
      </c>
      <c r="R22">
        <v>0.55356138944625854</v>
      </c>
      <c r="S22">
        <v>0</v>
      </c>
      <c r="T22">
        <v>0</v>
      </c>
      <c r="U22">
        <v>9.6323797702789307</v>
      </c>
      <c r="V22">
        <v>2177</v>
      </c>
      <c r="W22">
        <v>158</v>
      </c>
      <c r="X22">
        <v>2335</v>
      </c>
      <c r="Y22">
        <v>0</v>
      </c>
      <c r="Z22">
        <v>9.6323797702789307</v>
      </c>
    </row>
    <row r="23" spans="1:26" ht="409.5" x14ac:dyDescent="0.25">
      <c r="A23">
        <v>22</v>
      </c>
      <c r="B23" t="s">
        <v>116</v>
      </c>
      <c r="C23" t="s">
        <v>34</v>
      </c>
      <c r="D23" s="2" t="s">
        <v>148</v>
      </c>
      <c r="E23" s="2" t="s">
        <v>149</v>
      </c>
      <c r="F23" s="2" t="s">
        <v>150</v>
      </c>
      <c r="G23" s="2" t="s">
        <v>151</v>
      </c>
      <c r="H23" t="s">
        <v>152</v>
      </c>
      <c r="I23" t="s">
        <v>115</v>
      </c>
      <c r="J23" s="4">
        <v>0.75</v>
      </c>
      <c r="K23">
        <v>1</v>
      </c>
      <c r="L23">
        <v>0.8666666666377778</v>
      </c>
      <c r="M23">
        <v>0.88979236493291547</v>
      </c>
      <c r="N23">
        <v>0.57142857061224495</v>
      </c>
      <c r="O23">
        <v>0.84582062674838676</v>
      </c>
      <c r="P23">
        <v>0.41143223643302917</v>
      </c>
      <c r="Q23">
        <v>0.21586880087852481</v>
      </c>
      <c r="R23">
        <v>0.61870831251144409</v>
      </c>
      <c r="S23">
        <v>0.5</v>
      </c>
      <c r="T23">
        <v>1</v>
      </c>
      <c r="U23">
        <v>11.72909092903137</v>
      </c>
      <c r="V23">
        <v>2247</v>
      </c>
      <c r="W23">
        <v>232</v>
      </c>
      <c r="X23">
        <v>2479</v>
      </c>
      <c r="Y23">
        <v>5</v>
      </c>
      <c r="Z23">
        <v>11.72909092903137</v>
      </c>
    </row>
    <row r="24" spans="1:26" ht="409.5" x14ac:dyDescent="0.25">
      <c r="A24">
        <v>23</v>
      </c>
      <c r="B24" t="s">
        <v>116</v>
      </c>
      <c r="C24" t="s">
        <v>34</v>
      </c>
      <c r="D24" s="2" t="s">
        <v>153</v>
      </c>
      <c r="E24" s="2" t="s">
        <v>154</v>
      </c>
      <c r="F24" s="2" t="s">
        <v>155</v>
      </c>
      <c r="G24" s="2" t="s">
        <v>156</v>
      </c>
      <c r="H24" t="s">
        <v>157</v>
      </c>
      <c r="I24" t="s">
        <v>52</v>
      </c>
      <c r="J24" s="3">
        <v>1</v>
      </c>
      <c r="K24">
        <v>1</v>
      </c>
      <c r="L24">
        <v>0.44999999997750001</v>
      </c>
      <c r="M24">
        <v>0.78323542576288918</v>
      </c>
      <c r="N24">
        <v>0.99999999750000002</v>
      </c>
      <c r="O24">
        <v>0.9574385530098436</v>
      </c>
      <c r="P24">
        <v>0.41293880343437189</v>
      </c>
      <c r="Q24">
        <v>0.19853734970092771</v>
      </c>
      <c r="R24">
        <v>0.64209967851638794</v>
      </c>
      <c r="S24">
        <v>0.5</v>
      </c>
      <c r="T24">
        <v>1</v>
      </c>
      <c r="U24">
        <v>7.8814923763275146</v>
      </c>
      <c r="V24">
        <v>2202</v>
      </c>
      <c r="W24">
        <v>118</v>
      </c>
      <c r="X24">
        <v>2320</v>
      </c>
      <c r="Y24">
        <v>5</v>
      </c>
      <c r="Z24">
        <v>7.8814923763275146</v>
      </c>
    </row>
    <row r="25" spans="1:26" ht="409.5" x14ac:dyDescent="0.25">
      <c r="A25">
        <v>24</v>
      </c>
      <c r="B25" t="s">
        <v>158</v>
      </c>
      <c r="C25" t="s">
        <v>34</v>
      </c>
      <c r="D25" s="2" t="s">
        <v>159</v>
      </c>
      <c r="E25" s="2" t="s">
        <v>160</v>
      </c>
      <c r="F25" s="2" t="s">
        <v>161</v>
      </c>
      <c r="G25" s="2" t="s">
        <v>162</v>
      </c>
      <c r="H25" t="s">
        <v>163</v>
      </c>
      <c r="I25" t="s">
        <v>93</v>
      </c>
      <c r="J25" s="4">
        <v>0.66666666666666663</v>
      </c>
      <c r="K25">
        <v>0.5</v>
      </c>
      <c r="L25">
        <v>0.44999999997750001</v>
      </c>
      <c r="M25">
        <v>0.73335470654721158</v>
      </c>
      <c r="N25">
        <v>0</v>
      </c>
      <c r="O25">
        <v>0.77641697510263163</v>
      </c>
      <c r="P25">
        <v>0.42139700055122381</v>
      </c>
      <c r="Q25">
        <v>0.13203263282775879</v>
      </c>
      <c r="R25">
        <v>0.74085301160812378</v>
      </c>
      <c r="S25">
        <v>0</v>
      </c>
      <c r="T25">
        <v>0</v>
      </c>
      <c r="U25">
        <v>8.5720868110656738</v>
      </c>
      <c r="V25">
        <v>2252</v>
      </c>
      <c r="W25">
        <v>129</v>
      </c>
      <c r="X25">
        <v>2381</v>
      </c>
      <c r="Y25">
        <v>5</v>
      </c>
      <c r="Z25">
        <v>8.5720868110656738</v>
      </c>
    </row>
    <row r="26" spans="1:26" ht="409.5" x14ac:dyDescent="0.25">
      <c r="A26">
        <v>25</v>
      </c>
      <c r="B26" t="s">
        <v>116</v>
      </c>
      <c r="C26" t="s">
        <v>27</v>
      </c>
      <c r="D26" s="2" t="s">
        <v>164</v>
      </c>
      <c r="E26" s="2" t="s">
        <v>165</v>
      </c>
      <c r="F26" s="2" t="s">
        <v>166</v>
      </c>
      <c r="G26" s="2" t="s">
        <v>167</v>
      </c>
      <c r="H26" t="s">
        <v>168</v>
      </c>
      <c r="I26" t="s">
        <v>52</v>
      </c>
      <c r="J26" s="3">
        <v>1</v>
      </c>
      <c r="K26">
        <v>1</v>
      </c>
      <c r="L26">
        <v>0.99999999996666666</v>
      </c>
      <c r="M26">
        <v>0.82702861277862583</v>
      </c>
      <c r="N26">
        <v>0.49999999916666671</v>
      </c>
      <c r="O26">
        <v>0.91331534611535126</v>
      </c>
      <c r="P26">
        <v>0.40371996164321899</v>
      </c>
      <c r="Q26">
        <v>0.26079544425010681</v>
      </c>
      <c r="R26">
        <v>0.55145621299743652</v>
      </c>
      <c r="S26">
        <v>1</v>
      </c>
      <c r="T26">
        <v>1</v>
      </c>
      <c r="U26">
        <v>12.303182125091549</v>
      </c>
      <c r="V26">
        <v>2236</v>
      </c>
      <c r="W26">
        <v>256</v>
      </c>
      <c r="X26">
        <v>2492</v>
      </c>
      <c r="Y26">
        <v>5</v>
      </c>
      <c r="Z26">
        <v>12.303182125091549</v>
      </c>
    </row>
    <row r="27" spans="1:26" ht="409.5" x14ac:dyDescent="0.25">
      <c r="A27">
        <v>26</v>
      </c>
      <c r="B27" t="s">
        <v>116</v>
      </c>
      <c r="C27" t="s">
        <v>27</v>
      </c>
      <c r="D27" s="2" t="s">
        <v>169</v>
      </c>
      <c r="E27" s="2" t="s">
        <v>170</v>
      </c>
      <c r="F27" s="2" t="s">
        <v>171</v>
      </c>
      <c r="G27" s="2" t="s">
        <v>172</v>
      </c>
      <c r="H27" t="s">
        <v>173</v>
      </c>
      <c r="I27" t="s">
        <v>52</v>
      </c>
      <c r="J27" s="4">
        <v>0.75</v>
      </c>
      <c r="K27">
        <v>0</v>
      </c>
      <c r="L27">
        <v>0</v>
      </c>
      <c r="M27">
        <v>0.83131234442724211</v>
      </c>
      <c r="N27">
        <v>0.19999999960000001</v>
      </c>
      <c r="O27">
        <v>0</v>
      </c>
      <c r="P27">
        <v>0.1701147258281708</v>
      </c>
      <c r="Q27">
        <v>0.1336172819137573</v>
      </c>
      <c r="R27">
        <v>0.20336608588695529</v>
      </c>
      <c r="S27">
        <v>0</v>
      </c>
      <c r="T27">
        <v>0</v>
      </c>
      <c r="U27">
        <v>12.272498369216921</v>
      </c>
      <c r="V27">
        <v>2189</v>
      </c>
      <c r="W27">
        <v>258</v>
      </c>
      <c r="X27">
        <v>2447</v>
      </c>
      <c r="Y27">
        <v>5</v>
      </c>
      <c r="Z27">
        <v>12.272498369216921</v>
      </c>
    </row>
    <row r="28" spans="1:26" ht="409.5" x14ac:dyDescent="0.25">
      <c r="A28">
        <v>27</v>
      </c>
      <c r="B28" t="s">
        <v>133</v>
      </c>
      <c r="C28" t="s">
        <v>34</v>
      </c>
      <c r="D28" s="2" t="s">
        <v>174</v>
      </c>
      <c r="E28" s="2" t="s">
        <v>175</v>
      </c>
      <c r="F28" s="2" t="s">
        <v>176</v>
      </c>
      <c r="G28" s="2" t="s">
        <v>177</v>
      </c>
      <c r="H28" t="s">
        <v>178</v>
      </c>
      <c r="I28" t="s">
        <v>52</v>
      </c>
      <c r="J28" s="4">
        <v>0.7142857142857143</v>
      </c>
      <c r="K28">
        <v>1</v>
      </c>
      <c r="L28">
        <v>0.6791666666496875</v>
      </c>
      <c r="M28">
        <v>0.84779760755414768</v>
      </c>
      <c r="N28">
        <v>0.19999999960000001</v>
      </c>
      <c r="O28">
        <v>0</v>
      </c>
      <c r="P28">
        <v>0.28369274735450739</v>
      </c>
      <c r="Q28">
        <v>0.1234596148133278</v>
      </c>
      <c r="R28">
        <v>0.45039346814155579</v>
      </c>
      <c r="S28">
        <v>0</v>
      </c>
      <c r="T28">
        <v>0</v>
      </c>
      <c r="U28">
        <v>10.867200136184691</v>
      </c>
      <c r="V28">
        <v>2216</v>
      </c>
      <c r="W28">
        <v>197</v>
      </c>
      <c r="X28">
        <v>2413</v>
      </c>
      <c r="Y28">
        <v>5</v>
      </c>
      <c r="Z28">
        <v>10.867200136184691</v>
      </c>
    </row>
    <row r="29" spans="1:26" ht="409.5" x14ac:dyDescent="0.25">
      <c r="A29">
        <v>28</v>
      </c>
      <c r="B29" t="s">
        <v>158</v>
      </c>
      <c r="C29" t="s">
        <v>27</v>
      </c>
      <c r="D29" s="2" t="s">
        <v>179</v>
      </c>
      <c r="E29" s="2" t="s">
        <v>180</v>
      </c>
      <c r="F29" s="2" t="s">
        <v>181</v>
      </c>
      <c r="G29" s="2" t="s">
        <v>182</v>
      </c>
      <c r="H29" t="s">
        <v>183</v>
      </c>
      <c r="I29" t="s">
        <v>52</v>
      </c>
      <c r="J29" s="5">
        <v>0.25</v>
      </c>
      <c r="K29">
        <v>0.5</v>
      </c>
      <c r="L29">
        <v>0</v>
      </c>
      <c r="M29">
        <v>0.73198906706403288</v>
      </c>
      <c r="N29">
        <v>0.16666666638888891</v>
      </c>
      <c r="O29">
        <v>0.89312715693677047</v>
      </c>
      <c r="P29">
        <v>0.32040205597877502</v>
      </c>
      <c r="Q29">
        <v>0.2317962050437927</v>
      </c>
      <c r="R29">
        <v>0.40878689289093018</v>
      </c>
      <c r="S29">
        <v>0</v>
      </c>
      <c r="T29">
        <v>0</v>
      </c>
      <c r="U29">
        <v>11.98126840591431</v>
      </c>
      <c r="V29">
        <v>2177</v>
      </c>
      <c r="W29">
        <v>234</v>
      </c>
      <c r="X29">
        <v>2411</v>
      </c>
      <c r="Y29">
        <v>5</v>
      </c>
      <c r="Z29">
        <v>11.98126840591431</v>
      </c>
    </row>
    <row r="30" spans="1:26" ht="409.5" x14ac:dyDescent="0.25">
      <c r="A30">
        <v>29</v>
      </c>
      <c r="B30" t="s">
        <v>158</v>
      </c>
      <c r="C30" t="s">
        <v>27</v>
      </c>
      <c r="D30" s="2" t="s">
        <v>184</v>
      </c>
      <c r="E30" s="2" t="s">
        <v>185</v>
      </c>
      <c r="F30" s="2" t="s">
        <v>186</v>
      </c>
      <c r="G30" s="2" t="s">
        <v>187</v>
      </c>
      <c r="H30" t="s">
        <v>188</v>
      </c>
      <c r="I30" t="s">
        <v>52</v>
      </c>
      <c r="J30" s="3">
        <v>0.875</v>
      </c>
      <c r="K30">
        <v>1</v>
      </c>
      <c r="L30">
        <v>0.83333333329166659</v>
      </c>
      <c r="M30">
        <v>0.8632622195515991</v>
      </c>
      <c r="N30">
        <v>0.49999999916666671</v>
      </c>
      <c r="O30">
        <v>0.91642809455494034</v>
      </c>
      <c r="P30">
        <v>0.41700825095176702</v>
      </c>
      <c r="Q30">
        <v>0.33914485573768621</v>
      </c>
      <c r="R30">
        <v>0.49439471960067749</v>
      </c>
      <c r="S30">
        <v>0</v>
      </c>
      <c r="T30">
        <v>0</v>
      </c>
      <c r="U30">
        <v>9.809006929397583</v>
      </c>
      <c r="V30">
        <v>2161</v>
      </c>
      <c r="W30">
        <v>183</v>
      </c>
      <c r="X30">
        <v>2344</v>
      </c>
      <c r="Y30">
        <v>5</v>
      </c>
      <c r="Z30">
        <v>9.809006929397583</v>
      </c>
    </row>
    <row r="31" spans="1:26" ht="409.5" x14ac:dyDescent="0.25">
      <c r="A31">
        <v>30</v>
      </c>
      <c r="B31" t="s">
        <v>116</v>
      </c>
      <c r="C31" t="s">
        <v>34</v>
      </c>
      <c r="D31" s="2" t="s">
        <v>189</v>
      </c>
      <c r="E31" s="2" t="s">
        <v>190</v>
      </c>
      <c r="F31" s="2" t="s">
        <v>191</v>
      </c>
      <c r="G31" s="2" t="s">
        <v>192</v>
      </c>
      <c r="H31" t="s">
        <v>193</v>
      </c>
      <c r="I31" t="s">
        <v>52</v>
      </c>
      <c r="J31" s="4">
        <v>0.77777777777777779</v>
      </c>
      <c r="K31">
        <v>0</v>
      </c>
      <c r="L31">
        <v>0</v>
      </c>
      <c r="M31">
        <v>0.75678268389184522</v>
      </c>
      <c r="N31">
        <v>0</v>
      </c>
      <c r="O31">
        <v>0.90833557097021922</v>
      </c>
      <c r="P31">
        <v>0.31856399774551392</v>
      </c>
      <c r="Q31">
        <v>0.17228762805461881</v>
      </c>
      <c r="R31">
        <v>0.4697476327419281</v>
      </c>
      <c r="S31">
        <v>0</v>
      </c>
      <c r="T31">
        <v>0</v>
      </c>
      <c r="U31">
        <v>9.9709312915802002</v>
      </c>
      <c r="V31">
        <v>2123</v>
      </c>
      <c r="W31">
        <v>188</v>
      </c>
      <c r="X31">
        <v>2311</v>
      </c>
      <c r="Y31">
        <v>5</v>
      </c>
      <c r="Z31">
        <v>9.9709312915802002</v>
      </c>
    </row>
    <row r="32" spans="1:26" ht="409.5" x14ac:dyDescent="0.25">
      <c r="A32">
        <v>31</v>
      </c>
      <c r="B32" t="s">
        <v>194</v>
      </c>
      <c r="C32" t="s">
        <v>27</v>
      </c>
      <c r="D32" s="2" t="s">
        <v>195</v>
      </c>
      <c r="E32" s="2" t="s">
        <v>196</v>
      </c>
      <c r="F32" s="2" t="s">
        <v>197</v>
      </c>
      <c r="G32" s="2" t="s">
        <v>198</v>
      </c>
      <c r="H32" t="s">
        <v>199</v>
      </c>
      <c r="I32" t="s">
        <v>64</v>
      </c>
      <c r="J32" s="5">
        <v>0.15384615384615391</v>
      </c>
      <c r="K32">
        <v>0</v>
      </c>
      <c r="L32">
        <v>0</v>
      </c>
      <c r="M32">
        <v>0.77470745063209212</v>
      </c>
      <c r="N32">
        <v>0.1111111109876543</v>
      </c>
      <c r="O32">
        <v>0</v>
      </c>
      <c r="P32">
        <v>0.20825809240341189</v>
      </c>
      <c r="Q32">
        <v>7.4632719159126282E-2</v>
      </c>
      <c r="R32">
        <v>0.345054030418396</v>
      </c>
      <c r="S32">
        <v>0</v>
      </c>
      <c r="T32">
        <v>0</v>
      </c>
      <c r="U32">
        <v>9.7512643337249756</v>
      </c>
      <c r="V32">
        <v>1953</v>
      </c>
      <c r="W32">
        <v>181</v>
      </c>
      <c r="X32">
        <v>2134</v>
      </c>
      <c r="Y32">
        <v>5</v>
      </c>
      <c r="Z32">
        <v>9.7512643337249756</v>
      </c>
    </row>
    <row r="33" spans="1:26" ht="409.5" x14ac:dyDescent="0.25">
      <c r="A33">
        <v>32</v>
      </c>
      <c r="B33" t="s">
        <v>194</v>
      </c>
      <c r="C33" t="s">
        <v>34</v>
      </c>
      <c r="D33" s="2" t="s">
        <v>200</v>
      </c>
      <c r="E33" s="2" t="s">
        <v>201</v>
      </c>
      <c r="F33" s="2" t="s">
        <v>202</v>
      </c>
      <c r="G33" s="2" t="s">
        <v>203</v>
      </c>
      <c r="H33" t="s">
        <v>204</v>
      </c>
      <c r="I33" t="s">
        <v>205</v>
      </c>
      <c r="J33" s="3">
        <v>1</v>
      </c>
      <c r="K33">
        <v>0.5</v>
      </c>
      <c r="L33">
        <v>0.32499999998375001</v>
      </c>
      <c r="M33">
        <v>0.69595550516634064</v>
      </c>
      <c r="N33">
        <v>0.12499999984375</v>
      </c>
      <c r="O33">
        <v>0.67958846051899424</v>
      </c>
      <c r="P33">
        <v>0.21662820875644681</v>
      </c>
      <c r="Q33">
        <v>7.841578871011734E-2</v>
      </c>
      <c r="R33">
        <v>0.35852617025375372</v>
      </c>
      <c r="S33">
        <v>0</v>
      </c>
      <c r="T33">
        <v>0</v>
      </c>
      <c r="U33">
        <v>13.010289669036871</v>
      </c>
      <c r="V33">
        <v>2018</v>
      </c>
      <c r="W33">
        <v>219</v>
      </c>
      <c r="X33">
        <v>2237</v>
      </c>
      <c r="Y33">
        <v>5</v>
      </c>
      <c r="Z33">
        <v>13.010289669036871</v>
      </c>
    </row>
    <row r="34" spans="1:26" ht="409.5" x14ac:dyDescent="0.25">
      <c r="A34">
        <v>33</v>
      </c>
      <c r="B34" t="s">
        <v>194</v>
      </c>
      <c r="C34" t="s">
        <v>34</v>
      </c>
      <c r="D34" s="2" t="s">
        <v>206</v>
      </c>
      <c r="E34" s="2" t="s">
        <v>207</v>
      </c>
      <c r="F34" s="2" t="s">
        <v>208</v>
      </c>
      <c r="G34" s="2" t="s">
        <v>209</v>
      </c>
      <c r="H34" t="s">
        <v>210</v>
      </c>
      <c r="I34" t="s">
        <v>52</v>
      </c>
      <c r="J34" s="4">
        <v>0.75</v>
      </c>
      <c r="K34">
        <v>1</v>
      </c>
      <c r="L34">
        <v>0.8666666666377778</v>
      </c>
      <c r="M34">
        <v>0.88175794034474853</v>
      </c>
      <c r="N34">
        <v>0.99999999500000003</v>
      </c>
      <c r="O34">
        <v>0.96474130537107683</v>
      </c>
      <c r="P34">
        <v>0.42569509148597717</v>
      </c>
      <c r="Q34">
        <v>0.1673144847154617</v>
      </c>
      <c r="R34">
        <v>0.70719504356384277</v>
      </c>
      <c r="S34">
        <v>0.2</v>
      </c>
      <c r="T34">
        <v>1</v>
      </c>
      <c r="U34">
        <v>8.0771141052246094</v>
      </c>
      <c r="V34">
        <v>2121</v>
      </c>
      <c r="W34">
        <v>110</v>
      </c>
      <c r="X34">
        <v>2231</v>
      </c>
      <c r="Y34">
        <v>5</v>
      </c>
      <c r="Z34">
        <v>8.0771141052246094</v>
      </c>
    </row>
    <row r="35" spans="1:26" ht="409.5" x14ac:dyDescent="0.25">
      <c r="A35">
        <v>34</v>
      </c>
      <c r="B35" t="s">
        <v>194</v>
      </c>
      <c r="C35" t="s">
        <v>27</v>
      </c>
      <c r="D35" s="2" t="s">
        <v>211</v>
      </c>
      <c r="E35" s="2" t="s">
        <v>212</v>
      </c>
      <c r="F35" s="2" t="s">
        <v>213</v>
      </c>
      <c r="G35" s="2" t="s">
        <v>214</v>
      </c>
      <c r="H35" t="s">
        <v>215</v>
      </c>
      <c r="I35" t="s">
        <v>33</v>
      </c>
      <c r="J35" s="5">
        <v>0</v>
      </c>
      <c r="K35">
        <v>0</v>
      </c>
      <c r="L35">
        <v>0</v>
      </c>
      <c r="M35">
        <v>0.74801993950570767</v>
      </c>
      <c r="N35">
        <v>0</v>
      </c>
      <c r="O35">
        <v>0.96368457269512275</v>
      </c>
      <c r="P35">
        <v>0.14567440748214719</v>
      </c>
      <c r="Q35">
        <v>5.4356317967176437E-2</v>
      </c>
      <c r="R35">
        <v>0.23624950647354129</v>
      </c>
      <c r="S35">
        <v>0.33333333333333331</v>
      </c>
      <c r="T35">
        <v>1</v>
      </c>
      <c r="U35">
        <v>12.365008115768431</v>
      </c>
      <c r="V35">
        <v>2163</v>
      </c>
      <c r="W35">
        <v>271</v>
      </c>
      <c r="X35">
        <v>2434</v>
      </c>
      <c r="Y35">
        <v>5</v>
      </c>
      <c r="Z35">
        <v>12.365008115768431</v>
      </c>
    </row>
    <row r="36" spans="1:26" ht="409.5" x14ac:dyDescent="0.25">
      <c r="A36">
        <v>35</v>
      </c>
      <c r="B36" t="s">
        <v>194</v>
      </c>
      <c r="C36" t="s">
        <v>27</v>
      </c>
      <c r="D36" s="2" t="s">
        <v>216</v>
      </c>
      <c r="E36" s="2" t="s">
        <v>217</v>
      </c>
      <c r="F36" s="2" t="s">
        <v>218</v>
      </c>
      <c r="G36" s="2" t="s">
        <v>219</v>
      </c>
      <c r="H36" t="s">
        <v>220</v>
      </c>
      <c r="I36" t="s">
        <v>64</v>
      </c>
      <c r="J36" s="4">
        <v>0.7142857142857143</v>
      </c>
      <c r="K36">
        <v>0.5</v>
      </c>
      <c r="L36">
        <v>0.41666666664583329</v>
      </c>
      <c r="M36">
        <v>0.69701530569357217</v>
      </c>
      <c r="N36">
        <v>0.3571428568877551</v>
      </c>
      <c r="O36">
        <v>0</v>
      </c>
      <c r="P36">
        <v>9.6015691757202148E-2</v>
      </c>
      <c r="Q36">
        <v>4.5771811157464981E-2</v>
      </c>
      <c r="R36">
        <v>0.14311905205249789</v>
      </c>
      <c r="S36">
        <v>0</v>
      </c>
      <c r="T36">
        <v>0</v>
      </c>
      <c r="U36">
        <v>13.09205079078674</v>
      </c>
      <c r="V36">
        <v>2155</v>
      </c>
      <c r="W36">
        <v>273</v>
      </c>
      <c r="X36">
        <v>2428</v>
      </c>
      <c r="Y36">
        <v>5</v>
      </c>
      <c r="Z36">
        <v>13.09205079078674</v>
      </c>
    </row>
    <row r="37" spans="1:26" ht="409.5" x14ac:dyDescent="0.25">
      <c r="A37">
        <v>36</v>
      </c>
      <c r="B37" t="s">
        <v>194</v>
      </c>
      <c r="C37" t="s">
        <v>27</v>
      </c>
      <c r="D37" s="2" t="s">
        <v>221</v>
      </c>
      <c r="E37" s="2" t="s">
        <v>222</v>
      </c>
      <c r="F37" s="2" t="s">
        <v>223</v>
      </c>
      <c r="G37" s="2" t="s">
        <v>224</v>
      </c>
      <c r="H37" t="s">
        <v>225</v>
      </c>
      <c r="I37" t="s">
        <v>52</v>
      </c>
      <c r="J37" s="4">
        <v>0.66666666666666663</v>
      </c>
      <c r="K37">
        <v>0.33333333333333331</v>
      </c>
      <c r="L37">
        <v>0.58333333330416659</v>
      </c>
      <c r="M37">
        <v>0.65702047261867569</v>
      </c>
      <c r="N37">
        <v>0.21428571413265299</v>
      </c>
      <c r="O37">
        <v>0.81424058140370836</v>
      </c>
      <c r="P37">
        <v>0.14782288670539859</v>
      </c>
      <c r="Q37">
        <v>0.1146429553627968</v>
      </c>
      <c r="R37">
        <v>0.17757633328437811</v>
      </c>
      <c r="S37">
        <v>0</v>
      </c>
      <c r="T37">
        <v>0</v>
      </c>
      <c r="U37">
        <v>12.476544618606569</v>
      </c>
      <c r="V37">
        <v>2098</v>
      </c>
      <c r="W37">
        <v>250</v>
      </c>
      <c r="X37">
        <v>2348</v>
      </c>
      <c r="Y37">
        <v>5</v>
      </c>
      <c r="Z37">
        <v>12.476544618606569</v>
      </c>
    </row>
    <row r="38" spans="1:26" ht="409.5" x14ac:dyDescent="0.25">
      <c r="A38">
        <v>37</v>
      </c>
      <c r="B38" t="s">
        <v>194</v>
      </c>
      <c r="C38" t="s">
        <v>27</v>
      </c>
      <c r="D38" s="2" t="s">
        <v>226</v>
      </c>
      <c r="E38" s="2" t="s">
        <v>227</v>
      </c>
      <c r="F38" s="2" t="s">
        <v>228</v>
      </c>
      <c r="G38" s="2" t="s">
        <v>229</v>
      </c>
      <c r="H38" t="s">
        <v>230</v>
      </c>
      <c r="I38" t="s">
        <v>231</v>
      </c>
      <c r="J38" s="3">
        <v>1</v>
      </c>
      <c r="K38">
        <v>1</v>
      </c>
      <c r="L38">
        <v>0.99999999989999999</v>
      </c>
      <c r="M38">
        <v>0.79521045010374969</v>
      </c>
      <c r="N38">
        <v>0</v>
      </c>
      <c r="O38">
        <v>1</v>
      </c>
      <c r="P38">
        <v>0.45208075642585749</v>
      </c>
      <c r="Q38">
        <v>0.34176307916641241</v>
      </c>
      <c r="R38">
        <v>0.56429362297058105</v>
      </c>
      <c r="S38">
        <v>1</v>
      </c>
      <c r="T38">
        <v>1</v>
      </c>
      <c r="U38">
        <v>12.60506010055542</v>
      </c>
      <c r="V38">
        <v>2156</v>
      </c>
      <c r="W38">
        <v>245</v>
      </c>
      <c r="X38">
        <v>2401</v>
      </c>
      <c r="Y38">
        <v>5</v>
      </c>
      <c r="Z38">
        <v>12.60506010055542</v>
      </c>
    </row>
    <row r="39" spans="1:26" ht="409.5" x14ac:dyDescent="0.25">
      <c r="A39">
        <v>38</v>
      </c>
      <c r="B39" t="s">
        <v>194</v>
      </c>
      <c r="C39" t="s">
        <v>34</v>
      </c>
      <c r="D39" s="2" t="s">
        <v>232</v>
      </c>
      <c r="E39" s="2" t="s">
        <v>233</v>
      </c>
      <c r="F39" s="2" t="s">
        <v>234</v>
      </c>
      <c r="G39" s="2" t="s">
        <v>235</v>
      </c>
      <c r="H39" t="s">
        <v>236</v>
      </c>
      <c r="I39" t="s">
        <v>237</v>
      </c>
      <c r="J39" s="5">
        <v>0.45454545454545447</v>
      </c>
      <c r="K39">
        <v>1</v>
      </c>
      <c r="L39">
        <v>0.99999999989999999</v>
      </c>
      <c r="M39">
        <v>0.62772394409275079</v>
      </c>
      <c r="N39">
        <v>0.99999999000000017</v>
      </c>
      <c r="O39">
        <v>0.8512301694848482</v>
      </c>
      <c r="P39">
        <v>0.15117345750331879</v>
      </c>
      <c r="Q39">
        <v>-7.6718395575881004E-3</v>
      </c>
      <c r="R39">
        <v>0.31593376398086548</v>
      </c>
      <c r="S39">
        <v>1</v>
      </c>
      <c r="T39">
        <v>1</v>
      </c>
      <c r="U39">
        <v>12.29354357719421</v>
      </c>
      <c r="V39">
        <v>2088</v>
      </c>
      <c r="W39">
        <v>256</v>
      </c>
      <c r="X39">
        <v>2344</v>
      </c>
      <c r="Y39">
        <v>5</v>
      </c>
      <c r="Z39">
        <v>12.29354357719421</v>
      </c>
    </row>
    <row r="40" spans="1:26" ht="409.5" x14ac:dyDescent="0.25">
      <c r="A40">
        <v>39</v>
      </c>
      <c r="B40" t="s">
        <v>133</v>
      </c>
      <c r="C40" t="s">
        <v>34</v>
      </c>
      <c r="D40" s="2" t="s">
        <v>238</v>
      </c>
      <c r="E40" s="2" t="s">
        <v>239</v>
      </c>
      <c r="F40" s="2" t="s">
        <v>240</v>
      </c>
      <c r="G40" s="2" t="s">
        <v>241</v>
      </c>
      <c r="H40" t="s">
        <v>242</v>
      </c>
      <c r="I40" t="s">
        <v>243</v>
      </c>
      <c r="J40" s="3">
        <v>1</v>
      </c>
      <c r="K40">
        <v>1</v>
      </c>
      <c r="L40">
        <v>0.99999999998</v>
      </c>
      <c r="M40">
        <v>0.92168721304746337</v>
      </c>
      <c r="N40">
        <v>0.16666666638888891</v>
      </c>
      <c r="O40">
        <v>0.93158157107114181</v>
      </c>
      <c r="P40">
        <v>0.45484602451324457</v>
      </c>
      <c r="Q40">
        <v>0.2135376185178757</v>
      </c>
      <c r="R40">
        <v>0.71584182977676392</v>
      </c>
      <c r="S40">
        <v>0</v>
      </c>
      <c r="T40">
        <v>0</v>
      </c>
      <c r="U40">
        <v>10.678607702255251</v>
      </c>
      <c r="V40">
        <v>2204</v>
      </c>
      <c r="W40">
        <v>209</v>
      </c>
      <c r="X40">
        <v>2413</v>
      </c>
      <c r="Y40">
        <v>5</v>
      </c>
      <c r="Z40">
        <v>10.678607702255251</v>
      </c>
    </row>
    <row r="41" spans="1:26" ht="409.5" x14ac:dyDescent="0.25">
      <c r="A41">
        <v>40</v>
      </c>
      <c r="B41" t="s">
        <v>133</v>
      </c>
      <c r="C41" t="s">
        <v>27</v>
      </c>
      <c r="D41" s="2" t="s">
        <v>244</v>
      </c>
      <c r="E41" s="2" t="s">
        <v>245</v>
      </c>
      <c r="F41" s="2" t="s">
        <v>246</v>
      </c>
      <c r="G41" s="2" t="s">
        <v>247</v>
      </c>
      <c r="H41" t="s">
        <v>248</v>
      </c>
      <c r="I41" t="s">
        <v>52</v>
      </c>
      <c r="J41" s="3">
        <v>1</v>
      </c>
      <c r="K41">
        <v>1</v>
      </c>
      <c r="L41">
        <v>0.99999999989999999</v>
      </c>
      <c r="M41">
        <v>0.60829452742587731</v>
      </c>
      <c r="N41">
        <v>0.230769230591716</v>
      </c>
      <c r="O41">
        <v>0.80873038812624221</v>
      </c>
      <c r="P41">
        <v>5.3838774561882019E-2</v>
      </c>
      <c r="Q41">
        <v>8.4326446056365967E-2</v>
      </c>
      <c r="R41">
        <v>1.9558466970920559E-2</v>
      </c>
      <c r="S41">
        <v>1</v>
      </c>
      <c r="T41">
        <v>1</v>
      </c>
      <c r="U41">
        <v>9.9317715167999268</v>
      </c>
      <c r="V41">
        <v>2262</v>
      </c>
      <c r="W41">
        <v>157</v>
      </c>
      <c r="X41">
        <v>2419</v>
      </c>
      <c r="Y41">
        <v>5</v>
      </c>
      <c r="Z41">
        <v>9.9317715167999268</v>
      </c>
    </row>
    <row r="42" spans="1:26" ht="409.5" x14ac:dyDescent="0.25">
      <c r="A42">
        <v>41</v>
      </c>
      <c r="B42" t="s">
        <v>133</v>
      </c>
      <c r="C42" t="s">
        <v>34</v>
      </c>
      <c r="D42" s="2" t="s">
        <v>249</v>
      </c>
      <c r="E42" s="2" t="s">
        <v>250</v>
      </c>
      <c r="F42" s="2" t="s">
        <v>251</v>
      </c>
      <c r="G42" s="2" t="s">
        <v>252</v>
      </c>
      <c r="H42" t="s">
        <v>253</v>
      </c>
      <c r="I42" t="s">
        <v>52</v>
      </c>
      <c r="J42" s="3">
        <v>0.8</v>
      </c>
      <c r="K42">
        <v>1</v>
      </c>
      <c r="L42">
        <v>0.91666666663611107</v>
      </c>
      <c r="M42">
        <v>0.5565182271861131</v>
      </c>
      <c r="N42">
        <v>0</v>
      </c>
      <c r="O42">
        <v>0.75955930118214487</v>
      </c>
      <c r="P42">
        <v>0.26026433706283569</v>
      </c>
      <c r="Q42">
        <v>0.21561403572559359</v>
      </c>
      <c r="R42">
        <v>0.30229997634887701</v>
      </c>
      <c r="S42">
        <v>1</v>
      </c>
      <c r="T42">
        <v>1</v>
      </c>
      <c r="U42">
        <v>8.6013238430023193</v>
      </c>
      <c r="V42">
        <v>2203</v>
      </c>
      <c r="W42">
        <v>128</v>
      </c>
      <c r="X42">
        <v>2331</v>
      </c>
      <c r="Y42">
        <v>5</v>
      </c>
      <c r="Z42">
        <v>8.6013238430023193</v>
      </c>
    </row>
    <row r="43" spans="1:26" ht="409.5" x14ac:dyDescent="0.25">
      <c r="A43">
        <v>42</v>
      </c>
      <c r="B43" t="s">
        <v>133</v>
      </c>
      <c r="C43" t="s">
        <v>27</v>
      </c>
      <c r="D43" s="2" t="s">
        <v>254</v>
      </c>
      <c r="E43" s="2" t="s">
        <v>255</v>
      </c>
      <c r="F43" s="2" t="s">
        <v>256</v>
      </c>
      <c r="G43" s="2" t="s">
        <v>257</v>
      </c>
      <c r="H43" t="s">
        <v>258</v>
      </c>
      <c r="I43" t="s">
        <v>52</v>
      </c>
      <c r="J43" s="4">
        <v>0.77777777777777779</v>
      </c>
      <c r="K43">
        <v>1</v>
      </c>
      <c r="L43">
        <v>0.7499999999625</v>
      </c>
      <c r="M43">
        <v>0.66397905482175579</v>
      </c>
      <c r="N43">
        <v>0</v>
      </c>
      <c r="O43">
        <v>0.94262671923654151</v>
      </c>
      <c r="P43">
        <v>0.38394066691398621</v>
      </c>
      <c r="Q43">
        <v>0.17487618327140811</v>
      </c>
      <c r="R43">
        <v>0.6068233847618103</v>
      </c>
      <c r="S43">
        <v>1</v>
      </c>
      <c r="T43">
        <v>1</v>
      </c>
      <c r="U43">
        <v>12.219380855560299</v>
      </c>
      <c r="V43">
        <v>2278</v>
      </c>
      <c r="W43">
        <v>245</v>
      </c>
      <c r="X43">
        <v>2523</v>
      </c>
      <c r="Y43">
        <v>5</v>
      </c>
      <c r="Z43">
        <v>12.219380855560299</v>
      </c>
    </row>
    <row r="44" spans="1:26" ht="409.5" x14ac:dyDescent="0.25">
      <c r="A44">
        <v>43</v>
      </c>
      <c r="B44" t="s">
        <v>133</v>
      </c>
      <c r="C44" t="s">
        <v>34</v>
      </c>
      <c r="D44" s="2" t="s">
        <v>259</v>
      </c>
      <c r="E44" s="2" t="s">
        <v>260</v>
      </c>
      <c r="F44" s="2" t="s">
        <v>261</v>
      </c>
      <c r="G44" s="2" t="s">
        <v>262</v>
      </c>
      <c r="H44" t="s">
        <v>263</v>
      </c>
      <c r="I44" t="s">
        <v>33</v>
      </c>
      <c r="J44" s="3">
        <v>1</v>
      </c>
      <c r="K44">
        <v>1</v>
      </c>
      <c r="L44">
        <v>0.99999999996666666</v>
      </c>
      <c r="M44">
        <v>0.7880336499033993</v>
      </c>
      <c r="N44">
        <v>0.22222222197530861</v>
      </c>
      <c r="O44">
        <v>0.65966404953378799</v>
      </c>
      <c r="P44">
        <v>0.31434395909309393</v>
      </c>
      <c r="Q44">
        <v>0.28348720073699951</v>
      </c>
      <c r="R44">
        <v>0.34245985746383673</v>
      </c>
      <c r="S44">
        <v>1</v>
      </c>
      <c r="T44">
        <v>1</v>
      </c>
      <c r="U44">
        <v>9.2715044021606445</v>
      </c>
      <c r="V44">
        <v>2016</v>
      </c>
      <c r="W44">
        <v>175</v>
      </c>
      <c r="X44">
        <v>2191</v>
      </c>
      <c r="Y44">
        <v>5</v>
      </c>
      <c r="Z44">
        <v>9.2715044021606445</v>
      </c>
    </row>
    <row r="45" spans="1:26" ht="409.5" x14ac:dyDescent="0.25">
      <c r="A45">
        <v>44</v>
      </c>
      <c r="B45" t="s">
        <v>133</v>
      </c>
      <c r="C45" t="s">
        <v>27</v>
      </c>
      <c r="D45" s="2" t="s">
        <v>264</v>
      </c>
      <c r="E45" s="2" t="s">
        <v>265</v>
      </c>
      <c r="F45" s="2" t="s">
        <v>266</v>
      </c>
      <c r="G45" s="2" t="s">
        <v>267</v>
      </c>
      <c r="H45" t="s">
        <v>268</v>
      </c>
      <c r="I45" t="s">
        <v>269</v>
      </c>
      <c r="J45" s="3">
        <v>1</v>
      </c>
      <c r="K45">
        <v>1</v>
      </c>
      <c r="L45">
        <v>0.999999999975</v>
      </c>
      <c r="M45">
        <v>0.90024340480254117</v>
      </c>
      <c r="N45">
        <v>0.74999999812500007</v>
      </c>
      <c r="O45">
        <v>0.95648461052265243</v>
      </c>
      <c r="P45">
        <v>0.36057701706886292</v>
      </c>
      <c r="Q45">
        <v>0.43012255430221558</v>
      </c>
      <c r="R45">
        <v>0.28997310996055597</v>
      </c>
      <c r="S45">
        <v>0.5</v>
      </c>
      <c r="T45">
        <v>1</v>
      </c>
      <c r="U45">
        <v>10.42332077026367</v>
      </c>
      <c r="V45">
        <v>2216</v>
      </c>
      <c r="W45">
        <v>189</v>
      </c>
      <c r="X45">
        <v>2405</v>
      </c>
      <c r="Y45">
        <v>5</v>
      </c>
      <c r="Z45">
        <v>10.42332077026367</v>
      </c>
    </row>
    <row r="46" spans="1:26" ht="409.5" x14ac:dyDescent="0.25">
      <c r="A46">
        <v>45</v>
      </c>
      <c r="B46" t="s">
        <v>133</v>
      </c>
      <c r="C46" t="s">
        <v>70</v>
      </c>
      <c r="D46" s="2" t="s">
        <v>270</v>
      </c>
      <c r="E46" s="2" t="s">
        <v>271</v>
      </c>
      <c r="F46" s="2" t="s">
        <v>272</v>
      </c>
      <c r="G46" s="2" t="s">
        <v>273</v>
      </c>
      <c r="H46" t="s">
        <v>274</v>
      </c>
      <c r="I46" t="s">
        <v>64</v>
      </c>
      <c r="J46" s="3">
        <v>0.8571428571428571</v>
      </c>
      <c r="K46">
        <v>1</v>
      </c>
      <c r="L46">
        <v>0.99999999989999999</v>
      </c>
      <c r="M46">
        <v>0.87260776183864075</v>
      </c>
      <c r="N46">
        <v>0.74999999906249992</v>
      </c>
      <c r="O46">
        <v>0.87980832201824688</v>
      </c>
      <c r="P46">
        <v>0.31338533759117132</v>
      </c>
      <c r="Q46">
        <v>0.39059701561927801</v>
      </c>
      <c r="R46">
        <v>0.23532781004905701</v>
      </c>
      <c r="S46">
        <v>0</v>
      </c>
      <c r="T46">
        <v>0</v>
      </c>
      <c r="U46">
        <v>9.8820061683654785</v>
      </c>
      <c r="V46">
        <v>818</v>
      </c>
      <c r="W46">
        <v>30</v>
      </c>
      <c r="X46">
        <v>848</v>
      </c>
      <c r="Y46">
        <v>5</v>
      </c>
      <c r="Z46">
        <v>9.8820061683654785</v>
      </c>
    </row>
    <row r="47" spans="1:26" ht="409.5" x14ac:dyDescent="0.25">
      <c r="A47">
        <v>46</v>
      </c>
      <c r="B47" t="s">
        <v>133</v>
      </c>
      <c r="C47" t="s">
        <v>70</v>
      </c>
      <c r="D47" s="2" t="s">
        <v>275</v>
      </c>
      <c r="E47" s="2" t="s">
        <v>276</v>
      </c>
      <c r="F47" s="2" t="s">
        <v>277</v>
      </c>
      <c r="G47" s="2" t="s">
        <v>278</v>
      </c>
      <c r="H47" t="s">
        <v>279</v>
      </c>
      <c r="I47" t="s">
        <v>93</v>
      </c>
      <c r="J47" s="3">
        <v>1</v>
      </c>
      <c r="K47">
        <v>1</v>
      </c>
      <c r="L47">
        <v>0.99999999998</v>
      </c>
      <c r="M47">
        <v>0.8793714074760528</v>
      </c>
      <c r="N47">
        <v>0.66666666611111103</v>
      </c>
      <c r="O47">
        <v>0.99185687085072571</v>
      </c>
      <c r="P47">
        <v>0.21911782026290891</v>
      </c>
      <c r="Q47">
        <v>0.29017627239227289</v>
      </c>
      <c r="R47">
        <v>0.14651332795619959</v>
      </c>
      <c r="S47">
        <v>0.33333333333333331</v>
      </c>
      <c r="T47">
        <v>1</v>
      </c>
      <c r="U47">
        <v>10.49703741073608</v>
      </c>
      <c r="V47">
        <v>2169</v>
      </c>
      <c r="W47">
        <v>194</v>
      </c>
      <c r="X47">
        <v>2363</v>
      </c>
      <c r="Y47">
        <v>5</v>
      </c>
      <c r="Z47">
        <v>10.49703741073608</v>
      </c>
    </row>
    <row r="48" spans="1:26" ht="409.5" x14ac:dyDescent="0.25">
      <c r="A48">
        <v>47</v>
      </c>
      <c r="B48" t="s">
        <v>280</v>
      </c>
      <c r="C48" t="s">
        <v>70</v>
      </c>
      <c r="D48" s="2" t="s">
        <v>281</v>
      </c>
      <c r="E48" s="2" t="s">
        <v>282</v>
      </c>
      <c r="F48" s="2" t="s">
        <v>283</v>
      </c>
      <c r="G48" s="2" t="s">
        <v>284</v>
      </c>
      <c r="H48" t="s">
        <v>285</v>
      </c>
      <c r="I48" t="s">
        <v>286</v>
      </c>
      <c r="J48" s="3">
        <v>0.8</v>
      </c>
      <c r="K48">
        <v>1</v>
      </c>
      <c r="L48">
        <v>0.99999999998</v>
      </c>
      <c r="M48">
        <v>0.85397010250804362</v>
      </c>
      <c r="N48">
        <v>0.29411764688581321</v>
      </c>
      <c r="O48">
        <v>0.9589977321800387</v>
      </c>
      <c r="P48">
        <v>0.23124030232429499</v>
      </c>
      <c r="Q48">
        <v>0.2081795334815979</v>
      </c>
      <c r="R48">
        <v>0.25104859471321112</v>
      </c>
      <c r="S48">
        <v>0.5</v>
      </c>
      <c r="T48">
        <v>1</v>
      </c>
      <c r="U48">
        <v>12.84095478057861</v>
      </c>
      <c r="V48">
        <v>2110</v>
      </c>
      <c r="W48">
        <v>258</v>
      </c>
      <c r="X48">
        <v>2368</v>
      </c>
      <c r="Y48">
        <v>5</v>
      </c>
      <c r="Z48">
        <v>12.84095478057861</v>
      </c>
    </row>
    <row r="49" spans="1:26" ht="409.5" x14ac:dyDescent="0.25">
      <c r="A49">
        <v>48</v>
      </c>
      <c r="B49" t="s">
        <v>280</v>
      </c>
      <c r="C49" t="s">
        <v>27</v>
      </c>
      <c r="D49" s="2" t="s">
        <v>287</v>
      </c>
      <c r="E49" s="2" t="s">
        <v>288</v>
      </c>
      <c r="F49" s="2" t="s">
        <v>289</v>
      </c>
      <c r="G49" s="2" t="s">
        <v>290</v>
      </c>
      <c r="H49" t="s">
        <v>291</v>
      </c>
      <c r="I49" t="s">
        <v>231</v>
      </c>
      <c r="J49" s="3">
        <v>0.8571428571428571</v>
      </c>
      <c r="K49">
        <v>1</v>
      </c>
      <c r="L49">
        <v>0.99999999989999999</v>
      </c>
      <c r="M49">
        <v>0.73866155006963841</v>
      </c>
      <c r="N49">
        <v>0</v>
      </c>
      <c r="O49">
        <v>0.98479254536822669</v>
      </c>
      <c r="P49">
        <v>0.25169110298156738</v>
      </c>
      <c r="Q49">
        <v>0.19568698108196261</v>
      </c>
      <c r="R49">
        <v>0.30545398592948908</v>
      </c>
      <c r="S49">
        <v>1</v>
      </c>
      <c r="T49">
        <v>1</v>
      </c>
      <c r="U49">
        <v>12.450623750686651</v>
      </c>
      <c r="V49">
        <v>2151</v>
      </c>
      <c r="W49">
        <v>252</v>
      </c>
      <c r="X49">
        <v>2403</v>
      </c>
      <c r="Y49">
        <v>5</v>
      </c>
      <c r="Z49">
        <v>12.450623750686651</v>
      </c>
    </row>
    <row r="50" spans="1:26" ht="409.5" x14ac:dyDescent="0.25">
      <c r="A50">
        <v>49</v>
      </c>
      <c r="B50" t="s">
        <v>280</v>
      </c>
      <c r="C50" t="s">
        <v>27</v>
      </c>
      <c r="D50" s="2" t="s">
        <v>292</v>
      </c>
      <c r="E50" s="2" t="s">
        <v>293</v>
      </c>
      <c r="F50" s="2" t="s">
        <v>294</v>
      </c>
      <c r="G50" s="2" t="s">
        <v>295</v>
      </c>
      <c r="H50" t="s">
        <v>296</v>
      </c>
      <c r="I50" t="s">
        <v>40</v>
      </c>
      <c r="J50" s="4">
        <v>0.61111111111111116</v>
      </c>
      <c r="K50">
        <v>1</v>
      </c>
      <c r="L50">
        <v>0.80416666664656256</v>
      </c>
      <c r="M50">
        <v>0.84540330990315171</v>
      </c>
      <c r="N50">
        <v>0.39999999959999999</v>
      </c>
      <c r="O50">
        <v>0.82087013131450648</v>
      </c>
      <c r="P50">
        <v>0.2035101056098938</v>
      </c>
      <c r="Q50">
        <v>0.12728014588356021</v>
      </c>
      <c r="R50">
        <v>0.27827909588813782</v>
      </c>
      <c r="S50">
        <v>1</v>
      </c>
      <c r="T50">
        <v>1</v>
      </c>
      <c r="U50">
        <v>16.504764795303341</v>
      </c>
      <c r="V50">
        <v>2034</v>
      </c>
      <c r="W50">
        <v>386</v>
      </c>
      <c r="X50">
        <v>2420</v>
      </c>
      <c r="Y50">
        <v>5</v>
      </c>
      <c r="Z50">
        <v>16.504764795303341</v>
      </c>
    </row>
    <row r="51" spans="1:26" ht="409.5" x14ac:dyDescent="0.25">
      <c r="A51">
        <v>50</v>
      </c>
      <c r="B51" t="s">
        <v>280</v>
      </c>
      <c r="C51" t="s">
        <v>27</v>
      </c>
      <c r="D51" s="2" t="s">
        <v>297</v>
      </c>
      <c r="E51" s="2" t="s">
        <v>298</v>
      </c>
      <c r="F51" s="2" t="s">
        <v>299</v>
      </c>
      <c r="G51" s="2" t="s">
        <v>300</v>
      </c>
      <c r="H51" t="s">
        <v>301</v>
      </c>
      <c r="I51" t="s">
        <v>231</v>
      </c>
      <c r="J51" s="3">
        <v>0.81818181818181823</v>
      </c>
      <c r="K51">
        <v>1</v>
      </c>
      <c r="L51">
        <v>0.69999999997666673</v>
      </c>
      <c r="M51">
        <v>0.71998008533979452</v>
      </c>
      <c r="N51">
        <v>0.2499999996875</v>
      </c>
      <c r="O51">
        <v>0</v>
      </c>
      <c r="P51">
        <v>8.0000989139080048E-2</v>
      </c>
      <c r="Q51">
        <v>7.9670390114188194E-3</v>
      </c>
      <c r="R51">
        <v>0.14982195198535919</v>
      </c>
      <c r="S51">
        <v>1</v>
      </c>
      <c r="T51">
        <v>1</v>
      </c>
      <c r="U51">
        <v>11.34800386428833</v>
      </c>
      <c r="V51">
        <v>2106</v>
      </c>
      <c r="W51">
        <v>247</v>
      </c>
      <c r="X51">
        <v>2353</v>
      </c>
      <c r="Y51">
        <v>5</v>
      </c>
      <c r="Z51">
        <v>11.34800386428833</v>
      </c>
    </row>
    <row r="52" spans="1:26" ht="409.5" x14ac:dyDescent="0.25">
      <c r="A52">
        <v>51</v>
      </c>
      <c r="B52" t="s">
        <v>133</v>
      </c>
      <c r="C52" t="s">
        <v>34</v>
      </c>
      <c r="D52" s="2" t="s">
        <v>302</v>
      </c>
      <c r="E52" s="2" t="s">
        <v>303</v>
      </c>
      <c r="F52" s="2" t="s">
        <v>304</v>
      </c>
      <c r="G52" s="2" t="s">
        <v>305</v>
      </c>
      <c r="H52" t="s">
        <v>306</v>
      </c>
      <c r="I52" t="s">
        <v>307</v>
      </c>
      <c r="J52" s="4">
        <v>0.7142857142857143</v>
      </c>
      <c r="K52">
        <v>0</v>
      </c>
      <c r="L52">
        <v>0</v>
      </c>
      <c r="M52">
        <v>0.62838334368909821</v>
      </c>
      <c r="N52">
        <v>0</v>
      </c>
      <c r="O52">
        <v>0.88380981437122974</v>
      </c>
      <c r="P52">
        <v>0.28396618366241461</v>
      </c>
      <c r="Q52">
        <v>0.2485728710889816</v>
      </c>
      <c r="R52">
        <v>0.31658777594566351</v>
      </c>
      <c r="S52">
        <v>0</v>
      </c>
      <c r="T52">
        <v>0</v>
      </c>
      <c r="U52">
        <v>9.4277670383453369</v>
      </c>
      <c r="V52">
        <v>2126</v>
      </c>
      <c r="W52">
        <v>159</v>
      </c>
      <c r="X52">
        <v>2285</v>
      </c>
      <c r="Y52">
        <v>5</v>
      </c>
      <c r="Z52">
        <v>9.4277670383453369</v>
      </c>
    </row>
    <row r="53" spans="1:26" ht="409.5" x14ac:dyDescent="0.25">
      <c r="A53">
        <v>52</v>
      </c>
      <c r="B53" t="s">
        <v>133</v>
      </c>
      <c r="C53" t="s">
        <v>34</v>
      </c>
      <c r="D53" s="2" t="s">
        <v>308</v>
      </c>
      <c r="E53" s="2" t="s">
        <v>309</v>
      </c>
      <c r="F53" s="2" t="s">
        <v>310</v>
      </c>
      <c r="G53" s="2" t="s">
        <v>311</v>
      </c>
      <c r="H53" t="s">
        <v>312</v>
      </c>
      <c r="I53" t="s">
        <v>313</v>
      </c>
      <c r="J53" s="4">
        <v>0.75</v>
      </c>
      <c r="K53">
        <v>1</v>
      </c>
      <c r="L53">
        <v>0.999999999975</v>
      </c>
      <c r="M53">
        <v>0.96120869906805928</v>
      </c>
      <c r="N53">
        <v>0.57142857061224495</v>
      </c>
      <c r="O53">
        <v>0.77587317413003365</v>
      </c>
      <c r="P53">
        <v>0.72656720876693726</v>
      </c>
      <c r="Q53">
        <v>0.64043635129928589</v>
      </c>
      <c r="R53">
        <v>0.81399118900299072</v>
      </c>
      <c r="S53">
        <v>0.25</v>
      </c>
      <c r="T53">
        <v>1</v>
      </c>
      <c r="U53">
        <v>7.6907005310058594</v>
      </c>
      <c r="V53">
        <v>2021</v>
      </c>
      <c r="W53">
        <v>98</v>
      </c>
      <c r="X53">
        <v>2119</v>
      </c>
      <c r="Y53">
        <v>5</v>
      </c>
      <c r="Z53">
        <v>7.6907005310058594</v>
      </c>
    </row>
    <row r="54" spans="1:26" ht="409.5" x14ac:dyDescent="0.25">
      <c r="A54">
        <v>53</v>
      </c>
      <c r="B54" t="s">
        <v>133</v>
      </c>
      <c r="C54" t="s">
        <v>27</v>
      </c>
      <c r="D54" s="2" t="s">
        <v>314</v>
      </c>
      <c r="E54" s="2" t="s">
        <v>315</v>
      </c>
      <c r="F54" s="2" t="s">
        <v>316</v>
      </c>
      <c r="G54" s="2" t="s">
        <v>317</v>
      </c>
      <c r="H54" t="s">
        <v>318</v>
      </c>
      <c r="I54" t="s">
        <v>64</v>
      </c>
      <c r="J54" s="4">
        <v>0.66666666666666663</v>
      </c>
      <c r="K54">
        <v>0</v>
      </c>
      <c r="L54">
        <v>0</v>
      </c>
      <c r="M54">
        <v>0.75798816757412946</v>
      </c>
      <c r="N54">
        <v>0</v>
      </c>
      <c r="O54">
        <v>0.93175909065780582</v>
      </c>
      <c r="P54">
        <v>0.1040073186159134</v>
      </c>
      <c r="Q54">
        <v>0.2812991738319397</v>
      </c>
      <c r="R54">
        <v>-6.5892897546291351E-2</v>
      </c>
      <c r="S54">
        <v>0</v>
      </c>
      <c r="T54">
        <v>0</v>
      </c>
      <c r="U54">
        <v>17.175064325332642</v>
      </c>
      <c r="V54">
        <v>2292</v>
      </c>
      <c r="W54">
        <v>180</v>
      </c>
      <c r="X54">
        <v>2472</v>
      </c>
      <c r="Y54">
        <v>5</v>
      </c>
      <c r="Z54">
        <v>17.175064325332642</v>
      </c>
    </row>
    <row r="55" spans="1:26" ht="409.5" x14ac:dyDescent="0.25">
      <c r="A55">
        <v>54</v>
      </c>
      <c r="B55" t="s">
        <v>280</v>
      </c>
      <c r="C55" t="s">
        <v>27</v>
      </c>
      <c r="D55" s="2" t="s">
        <v>319</v>
      </c>
      <c r="E55" s="2" t="s">
        <v>320</v>
      </c>
      <c r="F55" s="2" t="s">
        <v>321</v>
      </c>
      <c r="G55" s="2" t="s">
        <v>322</v>
      </c>
      <c r="H55" t="s">
        <v>323</v>
      </c>
      <c r="I55" t="s">
        <v>82</v>
      </c>
      <c r="J55" s="3">
        <v>1</v>
      </c>
      <c r="K55">
        <v>1</v>
      </c>
      <c r="L55">
        <v>0.99999999995</v>
      </c>
      <c r="M55">
        <v>0.89274454850542995</v>
      </c>
      <c r="N55">
        <v>0.33333333305555551</v>
      </c>
      <c r="O55">
        <v>0.9502081414845609</v>
      </c>
      <c r="P55">
        <v>0.3690725564956665</v>
      </c>
      <c r="Q55">
        <v>0.3805009126663208</v>
      </c>
      <c r="R55">
        <v>0.35490500926971441</v>
      </c>
      <c r="S55">
        <v>0.5</v>
      </c>
      <c r="T55">
        <v>1</v>
      </c>
      <c r="U55">
        <v>10.18362236022949</v>
      </c>
      <c r="V55">
        <v>2013</v>
      </c>
      <c r="W55">
        <v>197</v>
      </c>
      <c r="X55">
        <v>2210</v>
      </c>
      <c r="Y55">
        <v>5</v>
      </c>
      <c r="Z55">
        <v>10.18362236022949</v>
      </c>
    </row>
    <row r="56" spans="1:26" ht="390" x14ac:dyDescent="0.25">
      <c r="A56">
        <v>55</v>
      </c>
      <c r="B56" t="s">
        <v>324</v>
      </c>
      <c r="C56" t="s">
        <v>70</v>
      </c>
      <c r="D56" s="2" t="s">
        <v>325</v>
      </c>
      <c r="E56" s="2" t="s">
        <v>326</v>
      </c>
      <c r="F56" s="2" t="s">
        <v>327</v>
      </c>
      <c r="G56" s="2" t="s">
        <v>147</v>
      </c>
      <c r="H56" t="s">
        <v>147</v>
      </c>
      <c r="I56" t="s">
        <v>147</v>
      </c>
      <c r="J56" s="5">
        <v>0.125</v>
      </c>
      <c r="K56">
        <v>0</v>
      </c>
      <c r="L56">
        <v>0</v>
      </c>
      <c r="M56">
        <v>0.80990300376844027</v>
      </c>
      <c r="N56">
        <v>0</v>
      </c>
      <c r="O56">
        <v>0</v>
      </c>
      <c r="P56">
        <v>8.3870269358158112E-2</v>
      </c>
      <c r="Q56">
        <v>0.15647222101688391</v>
      </c>
      <c r="R56">
        <v>9.2685176059603691E-3</v>
      </c>
      <c r="S56">
        <v>0</v>
      </c>
      <c r="T56">
        <v>0</v>
      </c>
      <c r="U56">
        <v>10.62440252304077</v>
      </c>
      <c r="V56">
        <v>835</v>
      </c>
      <c r="W56">
        <v>35</v>
      </c>
      <c r="X56">
        <v>870</v>
      </c>
      <c r="Y56">
        <v>0</v>
      </c>
      <c r="Z56">
        <v>10.62440252304077</v>
      </c>
    </row>
    <row r="57" spans="1:26" ht="409.5" x14ac:dyDescent="0.25">
      <c r="A57">
        <v>56</v>
      </c>
      <c r="B57" t="s">
        <v>324</v>
      </c>
      <c r="C57" t="s">
        <v>70</v>
      </c>
      <c r="D57" s="2" t="s">
        <v>328</v>
      </c>
      <c r="E57" s="2" t="s">
        <v>329</v>
      </c>
      <c r="F57" s="2" t="s">
        <v>330</v>
      </c>
      <c r="G57" s="2" t="s">
        <v>331</v>
      </c>
      <c r="H57" t="s">
        <v>332</v>
      </c>
      <c r="I57" t="s">
        <v>52</v>
      </c>
      <c r="J57" s="5">
        <v>0.5</v>
      </c>
      <c r="K57">
        <v>0.25</v>
      </c>
      <c r="L57">
        <v>0</v>
      </c>
      <c r="M57">
        <v>0.79675666591786254</v>
      </c>
      <c r="N57">
        <v>0.45833333314236108</v>
      </c>
      <c r="O57">
        <v>0</v>
      </c>
      <c r="P57">
        <v>0.11505426466465001</v>
      </c>
      <c r="Q57">
        <v>0.1919650882482529</v>
      </c>
      <c r="R57">
        <v>3.6504961550235748E-2</v>
      </c>
      <c r="S57">
        <v>0</v>
      </c>
      <c r="T57">
        <v>0</v>
      </c>
      <c r="U57">
        <v>9.2983121871948242</v>
      </c>
      <c r="V57">
        <v>2203</v>
      </c>
      <c r="W57">
        <v>163</v>
      </c>
      <c r="X57">
        <v>2366</v>
      </c>
      <c r="Y57">
        <v>5</v>
      </c>
      <c r="Z57">
        <v>9.2983121871948242</v>
      </c>
    </row>
    <row r="58" spans="1:26" ht="409.5" x14ac:dyDescent="0.25">
      <c r="A58">
        <v>57</v>
      </c>
      <c r="B58" t="s">
        <v>324</v>
      </c>
      <c r="C58" t="s">
        <v>27</v>
      </c>
      <c r="D58" s="2" t="s">
        <v>333</v>
      </c>
      <c r="E58" s="2" t="s">
        <v>334</v>
      </c>
      <c r="F58" s="2" t="s">
        <v>335</v>
      </c>
      <c r="G58" s="2" t="s">
        <v>336</v>
      </c>
      <c r="H58" t="s">
        <v>337</v>
      </c>
      <c r="I58" t="s">
        <v>52</v>
      </c>
      <c r="J58" s="3">
        <v>0.875</v>
      </c>
      <c r="K58">
        <v>0.5</v>
      </c>
      <c r="L58">
        <v>0.53333333331555555</v>
      </c>
      <c r="M58">
        <v>0.7932929336036556</v>
      </c>
      <c r="N58">
        <v>0.56249999964843744</v>
      </c>
      <c r="O58">
        <v>0.80894819045462274</v>
      </c>
      <c r="P58">
        <v>0.23730690777301791</v>
      </c>
      <c r="Q58">
        <v>0.27093568444252009</v>
      </c>
      <c r="R58">
        <v>0.20075337588787079</v>
      </c>
      <c r="S58">
        <v>0.2</v>
      </c>
      <c r="T58">
        <v>1</v>
      </c>
      <c r="U58">
        <v>9.6637060642242432</v>
      </c>
      <c r="V58">
        <v>2171</v>
      </c>
      <c r="W58">
        <v>171</v>
      </c>
      <c r="X58">
        <v>2342</v>
      </c>
      <c r="Y58">
        <v>5</v>
      </c>
      <c r="Z58">
        <v>9.6637060642242432</v>
      </c>
    </row>
    <row r="59" spans="1:26" ht="409.5" x14ac:dyDescent="0.25">
      <c r="A59">
        <v>58</v>
      </c>
      <c r="B59" t="s">
        <v>324</v>
      </c>
      <c r="C59" t="s">
        <v>27</v>
      </c>
      <c r="D59" s="2" t="s">
        <v>338</v>
      </c>
      <c r="E59" s="2" t="s">
        <v>339</v>
      </c>
      <c r="F59" s="2" t="s">
        <v>340</v>
      </c>
      <c r="G59" s="2" t="s">
        <v>341</v>
      </c>
      <c r="H59" t="s">
        <v>342</v>
      </c>
      <c r="I59" t="s">
        <v>33</v>
      </c>
      <c r="J59" s="3">
        <v>1</v>
      </c>
      <c r="K59">
        <v>0.75</v>
      </c>
      <c r="L59">
        <v>0.999999999975</v>
      </c>
      <c r="M59">
        <v>0.89711840642531493</v>
      </c>
      <c r="N59">
        <v>0.49999999937499989</v>
      </c>
      <c r="O59">
        <v>0.8823422639117362</v>
      </c>
      <c r="P59">
        <v>0.46729964017868042</v>
      </c>
      <c r="Q59">
        <v>0.52433925867080688</v>
      </c>
      <c r="R59">
        <v>0.40907979011535639</v>
      </c>
      <c r="S59">
        <v>0</v>
      </c>
      <c r="T59">
        <v>0</v>
      </c>
      <c r="U59">
        <v>8.4050524234771729</v>
      </c>
      <c r="V59">
        <v>2324</v>
      </c>
      <c r="W59">
        <v>121</v>
      </c>
      <c r="X59">
        <v>2445</v>
      </c>
      <c r="Y59">
        <v>5</v>
      </c>
      <c r="Z59">
        <v>8.4050524234771729</v>
      </c>
    </row>
    <row r="60" spans="1:26" ht="409.5" x14ac:dyDescent="0.25">
      <c r="A60">
        <v>59</v>
      </c>
      <c r="B60" t="s">
        <v>324</v>
      </c>
      <c r="C60" t="s">
        <v>27</v>
      </c>
      <c r="D60" s="2" t="s">
        <v>343</v>
      </c>
      <c r="E60" s="2" t="s">
        <v>344</v>
      </c>
      <c r="F60" s="2" t="s">
        <v>345</v>
      </c>
      <c r="G60" s="2" t="s">
        <v>346</v>
      </c>
      <c r="H60" t="s">
        <v>347</v>
      </c>
      <c r="I60" t="s">
        <v>33</v>
      </c>
      <c r="J60" s="3">
        <v>0.8125</v>
      </c>
      <c r="K60">
        <v>1</v>
      </c>
      <c r="L60">
        <v>0.58888888886925927</v>
      </c>
      <c r="M60">
        <v>0.77564179026209257</v>
      </c>
      <c r="N60">
        <v>0.59999999879999999</v>
      </c>
      <c r="O60">
        <v>0.78886804359428853</v>
      </c>
      <c r="P60">
        <v>0.27206751704215998</v>
      </c>
      <c r="Q60">
        <v>0.30346396565437322</v>
      </c>
      <c r="R60">
        <v>0.2378411591053009</v>
      </c>
      <c r="S60">
        <v>0.33333333333333331</v>
      </c>
      <c r="T60">
        <v>1</v>
      </c>
      <c r="U60">
        <v>12.318071365356451</v>
      </c>
      <c r="V60">
        <v>2252</v>
      </c>
      <c r="W60">
        <v>218</v>
      </c>
      <c r="X60">
        <v>2470</v>
      </c>
      <c r="Y60">
        <v>5</v>
      </c>
      <c r="Z60">
        <v>12.318071365356451</v>
      </c>
    </row>
    <row r="61" spans="1:26" ht="409.5" x14ac:dyDescent="0.25">
      <c r="A61">
        <v>60</v>
      </c>
      <c r="B61" t="s">
        <v>324</v>
      </c>
      <c r="C61" t="s">
        <v>27</v>
      </c>
      <c r="D61" s="2" t="s">
        <v>348</v>
      </c>
      <c r="E61" s="2" t="s">
        <v>349</v>
      </c>
      <c r="F61" s="2" t="s">
        <v>350</v>
      </c>
      <c r="G61" s="2" t="s">
        <v>351</v>
      </c>
      <c r="H61" t="s">
        <v>352</v>
      </c>
      <c r="I61" t="s">
        <v>52</v>
      </c>
      <c r="J61" s="4">
        <v>0.625</v>
      </c>
      <c r="K61">
        <v>1</v>
      </c>
      <c r="L61">
        <v>0.99999999996666666</v>
      </c>
      <c r="M61">
        <v>0.85352560328394822</v>
      </c>
      <c r="N61">
        <v>0.37499999953125002</v>
      </c>
      <c r="O61">
        <v>0</v>
      </c>
      <c r="P61">
        <v>0.32835853099822998</v>
      </c>
      <c r="Q61">
        <v>0.3269081711769104</v>
      </c>
      <c r="R61">
        <v>0.3268258273601532</v>
      </c>
      <c r="S61">
        <v>1</v>
      </c>
      <c r="T61">
        <v>1</v>
      </c>
      <c r="U61">
        <v>10.30490112304688</v>
      </c>
      <c r="V61">
        <v>843</v>
      </c>
      <c r="W61">
        <v>43</v>
      </c>
      <c r="X61">
        <v>886</v>
      </c>
      <c r="Y61">
        <v>5</v>
      </c>
      <c r="Z61">
        <v>10.30490112304688</v>
      </c>
    </row>
    <row r="62" spans="1:26" ht="409.5" x14ac:dyDescent="0.25">
      <c r="A62">
        <v>61</v>
      </c>
      <c r="B62" t="s">
        <v>324</v>
      </c>
      <c r="C62" t="s">
        <v>27</v>
      </c>
      <c r="D62" s="2" t="s">
        <v>353</v>
      </c>
      <c r="E62" s="2" t="s">
        <v>354</v>
      </c>
      <c r="F62" s="2" t="s">
        <v>355</v>
      </c>
      <c r="G62" s="2" t="s">
        <v>356</v>
      </c>
      <c r="H62" t="s">
        <v>357</v>
      </c>
      <c r="I62" t="s">
        <v>115</v>
      </c>
      <c r="J62" s="4">
        <v>0.7142857142857143</v>
      </c>
      <c r="K62">
        <v>0</v>
      </c>
      <c r="L62">
        <v>0</v>
      </c>
      <c r="M62">
        <v>0.81554210695828933</v>
      </c>
      <c r="N62">
        <v>9.9999999899999997E-2</v>
      </c>
      <c r="O62">
        <v>0.95039907123290157</v>
      </c>
      <c r="P62">
        <v>0.2845500111579895</v>
      </c>
      <c r="Q62">
        <v>0.31796321272850042</v>
      </c>
      <c r="R62">
        <v>0.2484099268913269</v>
      </c>
      <c r="S62">
        <v>0</v>
      </c>
      <c r="T62">
        <v>0</v>
      </c>
      <c r="U62">
        <v>11.958443641662599</v>
      </c>
      <c r="V62">
        <v>2261</v>
      </c>
      <c r="W62">
        <v>211</v>
      </c>
      <c r="X62">
        <v>2472</v>
      </c>
      <c r="Y62">
        <v>5</v>
      </c>
      <c r="Z62">
        <v>11.958443641662599</v>
      </c>
    </row>
    <row r="63" spans="1:26" ht="409.5" x14ac:dyDescent="0.25">
      <c r="A63">
        <v>62</v>
      </c>
      <c r="B63" t="s">
        <v>324</v>
      </c>
      <c r="C63" t="s">
        <v>70</v>
      </c>
      <c r="D63" s="2" t="s">
        <v>358</v>
      </c>
      <c r="E63" s="2" t="s">
        <v>359</v>
      </c>
      <c r="F63" s="2" t="s">
        <v>360</v>
      </c>
      <c r="G63" s="2" t="s">
        <v>361</v>
      </c>
      <c r="H63" t="s">
        <v>362</v>
      </c>
      <c r="I63" t="s">
        <v>307</v>
      </c>
      <c r="J63" s="5">
        <v>0.3</v>
      </c>
      <c r="K63">
        <v>0</v>
      </c>
      <c r="L63">
        <v>0</v>
      </c>
      <c r="M63">
        <v>0.59586779953572133</v>
      </c>
      <c r="N63">
        <v>0</v>
      </c>
      <c r="O63">
        <v>0</v>
      </c>
      <c r="P63">
        <v>4.4050142168998718E-3</v>
      </c>
      <c r="Q63">
        <v>8.6262300610542297E-2</v>
      </c>
      <c r="R63">
        <v>-7.9223044216632843E-2</v>
      </c>
      <c r="S63">
        <v>0</v>
      </c>
      <c r="T63">
        <v>0</v>
      </c>
      <c r="U63">
        <v>11.09014678001404</v>
      </c>
      <c r="V63">
        <v>811</v>
      </c>
      <c r="W63">
        <v>38</v>
      </c>
      <c r="X63">
        <v>849</v>
      </c>
      <c r="Y63">
        <v>5</v>
      </c>
      <c r="Z63">
        <v>11.09014678001404</v>
      </c>
    </row>
    <row r="64" spans="1:26" ht="409.5" x14ac:dyDescent="0.25">
      <c r="A64">
        <v>63</v>
      </c>
      <c r="B64" t="s">
        <v>324</v>
      </c>
      <c r="C64" t="s">
        <v>27</v>
      </c>
      <c r="D64" s="2" t="s">
        <v>363</v>
      </c>
      <c r="E64" s="2" t="s">
        <v>364</v>
      </c>
      <c r="F64" s="2" t="s">
        <v>365</v>
      </c>
      <c r="G64" s="2" t="s">
        <v>366</v>
      </c>
      <c r="H64" t="s">
        <v>367</v>
      </c>
      <c r="I64" t="s">
        <v>64</v>
      </c>
      <c r="J64" s="5">
        <v>7.1428571428571425E-2</v>
      </c>
      <c r="K64">
        <v>0</v>
      </c>
      <c r="L64">
        <v>0</v>
      </c>
      <c r="M64">
        <v>0.89399121353842015</v>
      </c>
      <c r="N64">
        <v>0</v>
      </c>
      <c r="O64">
        <v>0</v>
      </c>
      <c r="P64">
        <v>0.12531277537345889</v>
      </c>
      <c r="Q64">
        <v>1.8232624977827069E-2</v>
      </c>
      <c r="R64">
        <v>0.23277516663074491</v>
      </c>
      <c r="S64">
        <v>0</v>
      </c>
      <c r="T64">
        <v>0</v>
      </c>
      <c r="U64">
        <v>13.038143157958981</v>
      </c>
      <c r="V64">
        <v>2084</v>
      </c>
      <c r="W64">
        <v>287</v>
      </c>
      <c r="X64">
        <v>2371</v>
      </c>
      <c r="Y64">
        <v>5</v>
      </c>
      <c r="Z64">
        <v>13.038143157958981</v>
      </c>
    </row>
    <row r="65" spans="1:26" ht="409.5" x14ac:dyDescent="0.25">
      <c r="A65">
        <v>64</v>
      </c>
      <c r="B65" t="s">
        <v>324</v>
      </c>
      <c r="C65" t="s">
        <v>27</v>
      </c>
      <c r="D65" s="2" t="s">
        <v>368</v>
      </c>
      <c r="E65" s="2" t="s">
        <v>369</v>
      </c>
      <c r="F65" s="2" t="s">
        <v>370</v>
      </c>
      <c r="G65" s="2" t="s">
        <v>371</v>
      </c>
      <c r="H65" t="s">
        <v>372</v>
      </c>
      <c r="I65" t="s">
        <v>82</v>
      </c>
      <c r="J65" s="5">
        <v>0.125</v>
      </c>
      <c r="K65">
        <v>0.2857142857142857</v>
      </c>
      <c r="L65">
        <v>0</v>
      </c>
      <c r="M65">
        <v>0.66733661688261114</v>
      </c>
      <c r="N65">
        <v>0</v>
      </c>
      <c r="O65">
        <v>0</v>
      </c>
      <c r="P65">
        <v>0.1350066959857941</v>
      </c>
      <c r="Q65">
        <v>0.22623006999492651</v>
      </c>
      <c r="R65">
        <v>4.3103668838739402E-2</v>
      </c>
      <c r="S65">
        <v>0</v>
      </c>
      <c r="T65">
        <v>0</v>
      </c>
      <c r="U65">
        <v>9.948786735534668</v>
      </c>
      <c r="V65">
        <v>2306</v>
      </c>
      <c r="W65">
        <v>160</v>
      </c>
      <c r="X65">
        <v>2466</v>
      </c>
      <c r="Y65">
        <v>5</v>
      </c>
      <c r="Z65">
        <v>9.948786735534668</v>
      </c>
    </row>
    <row r="66" spans="1:26" ht="409.5" x14ac:dyDescent="0.25">
      <c r="A66">
        <v>65</v>
      </c>
      <c r="B66" t="s">
        <v>324</v>
      </c>
      <c r="C66" t="s">
        <v>70</v>
      </c>
      <c r="D66" s="2" t="s">
        <v>373</v>
      </c>
      <c r="E66" s="2" t="s">
        <v>374</v>
      </c>
      <c r="F66" s="2" t="s">
        <v>375</v>
      </c>
      <c r="G66" s="2" t="s">
        <v>376</v>
      </c>
      <c r="H66" t="s">
        <v>377</v>
      </c>
      <c r="I66" t="s">
        <v>52</v>
      </c>
      <c r="J66" s="4">
        <v>0.61538461538461542</v>
      </c>
      <c r="K66">
        <v>0.66666666666666663</v>
      </c>
      <c r="L66">
        <v>0.58333333330416659</v>
      </c>
      <c r="M66">
        <v>0.86023942700896661</v>
      </c>
      <c r="N66">
        <v>0.2068965516527943</v>
      </c>
      <c r="O66">
        <v>0.88768209952965693</v>
      </c>
      <c r="P66">
        <v>0.1184510737657547</v>
      </c>
      <c r="Q66">
        <v>0.23468367755413061</v>
      </c>
      <c r="R66">
        <v>3.3542253077030182E-3</v>
      </c>
      <c r="S66">
        <v>0.5</v>
      </c>
      <c r="T66">
        <v>1</v>
      </c>
      <c r="U66">
        <v>13.310644865036011</v>
      </c>
      <c r="V66">
        <v>2234</v>
      </c>
      <c r="W66">
        <v>309</v>
      </c>
      <c r="X66">
        <v>2543</v>
      </c>
      <c r="Y66">
        <v>5</v>
      </c>
      <c r="Z66">
        <v>13.310644865036011</v>
      </c>
    </row>
    <row r="67" spans="1:26" ht="409.5" x14ac:dyDescent="0.25">
      <c r="A67">
        <v>66</v>
      </c>
      <c r="B67" t="s">
        <v>324</v>
      </c>
      <c r="C67" t="s">
        <v>27</v>
      </c>
      <c r="D67" s="2" t="s">
        <v>378</v>
      </c>
      <c r="E67" s="2" t="s">
        <v>379</v>
      </c>
      <c r="F67" s="2" t="s">
        <v>380</v>
      </c>
      <c r="G67" s="2" t="s">
        <v>381</v>
      </c>
      <c r="H67" t="s">
        <v>382</v>
      </c>
      <c r="I67" t="s">
        <v>64</v>
      </c>
      <c r="J67" s="5">
        <v>0</v>
      </c>
      <c r="K67">
        <v>0</v>
      </c>
      <c r="L67">
        <v>0</v>
      </c>
      <c r="M67">
        <v>0.66391663774237131</v>
      </c>
      <c r="N67">
        <v>0</v>
      </c>
      <c r="O67">
        <v>0</v>
      </c>
      <c r="P67">
        <v>0.25905707478523249</v>
      </c>
      <c r="Q67">
        <v>0.26622101664543152</v>
      </c>
      <c r="R67">
        <v>0.2486334890127182</v>
      </c>
      <c r="S67">
        <v>0</v>
      </c>
      <c r="T67">
        <v>0</v>
      </c>
      <c r="U67">
        <v>8.3813021183013916</v>
      </c>
      <c r="V67">
        <v>2237</v>
      </c>
      <c r="W67">
        <v>141</v>
      </c>
      <c r="X67">
        <v>2378</v>
      </c>
      <c r="Y67">
        <v>5</v>
      </c>
      <c r="Z67">
        <v>8.3813021183013916</v>
      </c>
    </row>
    <row r="68" spans="1:26" ht="409.5" x14ac:dyDescent="0.25">
      <c r="A68">
        <v>67</v>
      </c>
      <c r="B68" t="s">
        <v>324</v>
      </c>
      <c r="C68" t="s">
        <v>27</v>
      </c>
      <c r="D68" s="2" t="s">
        <v>383</v>
      </c>
      <c r="E68" s="2" t="s">
        <v>384</v>
      </c>
      <c r="F68" s="2" t="s">
        <v>385</v>
      </c>
      <c r="G68" s="2" t="s">
        <v>386</v>
      </c>
      <c r="H68" t="s">
        <v>387</v>
      </c>
      <c r="I68" t="s">
        <v>40</v>
      </c>
      <c r="J68" s="3">
        <v>1</v>
      </c>
      <c r="K68">
        <v>1</v>
      </c>
      <c r="L68">
        <v>0.88749999997781248</v>
      </c>
      <c r="M68">
        <v>0.75893013361867045</v>
      </c>
      <c r="N68">
        <v>0.79999999840000002</v>
      </c>
      <c r="O68">
        <v>0.99439880689715898</v>
      </c>
      <c r="P68">
        <v>0.25962761044502258</v>
      </c>
      <c r="Q68">
        <v>0.34942713379859919</v>
      </c>
      <c r="R68">
        <v>0.1695224046707153</v>
      </c>
      <c r="S68">
        <v>1</v>
      </c>
      <c r="T68">
        <v>1</v>
      </c>
      <c r="U68">
        <v>9.3200521469116211</v>
      </c>
      <c r="V68">
        <v>2206</v>
      </c>
      <c r="W68">
        <v>151</v>
      </c>
      <c r="X68">
        <v>2357</v>
      </c>
      <c r="Y68">
        <v>5</v>
      </c>
      <c r="Z68">
        <v>9.3200521469116211</v>
      </c>
    </row>
    <row r="69" spans="1:26" ht="409.5" x14ac:dyDescent="0.25">
      <c r="A69">
        <v>68</v>
      </c>
      <c r="B69" t="s">
        <v>324</v>
      </c>
      <c r="C69" t="s">
        <v>27</v>
      </c>
      <c r="D69" s="2" t="s">
        <v>388</v>
      </c>
      <c r="E69" s="2" t="s">
        <v>389</v>
      </c>
      <c r="F69" s="2" t="s">
        <v>390</v>
      </c>
      <c r="G69" s="2" t="s">
        <v>391</v>
      </c>
      <c r="H69" t="s">
        <v>392</v>
      </c>
      <c r="I69" t="s">
        <v>115</v>
      </c>
      <c r="J69" s="4">
        <v>0.7142857142857143</v>
      </c>
      <c r="K69">
        <v>1</v>
      </c>
      <c r="L69">
        <v>0.99999999989999999</v>
      </c>
      <c r="M69">
        <v>0.87385820011518345</v>
      </c>
      <c r="N69">
        <v>0.6999999992999999</v>
      </c>
      <c r="O69">
        <v>0</v>
      </c>
      <c r="P69">
        <v>0.35995581746101379</v>
      </c>
      <c r="Q69">
        <v>0.32184752821922302</v>
      </c>
      <c r="R69">
        <v>0.39569887518882751</v>
      </c>
      <c r="S69">
        <v>1</v>
      </c>
      <c r="T69">
        <v>1</v>
      </c>
      <c r="U69">
        <v>9.576693058013916</v>
      </c>
      <c r="V69">
        <v>2196</v>
      </c>
      <c r="W69">
        <v>189</v>
      </c>
      <c r="X69">
        <v>2385</v>
      </c>
      <c r="Y69">
        <v>5</v>
      </c>
      <c r="Z69">
        <v>9.576693058013916</v>
      </c>
    </row>
    <row r="70" spans="1:26" ht="409.5" x14ac:dyDescent="0.25">
      <c r="A70">
        <v>69</v>
      </c>
      <c r="B70" t="s">
        <v>324</v>
      </c>
      <c r="C70" t="s">
        <v>27</v>
      </c>
      <c r="D70" s="2" t="s">
        <v>393</v>
      </c>
      <c r="E70" s="2" t="s">
        <v>394</v>
      </c>
      <c r="F70" s="2" t="s">
        <v>395</v>
      </c>
      <c r="G70" s="2" t="s">
        <v>396</v>
      </c>
      <c r="H70" t="s">
        <v>397</v>
      </c>
      <c r="I70" t="s">
        <v>52</v>
      </c>
      <c r="J70" s="5">
        <v>0</v>
      </c>
      <c r="K70">
        <v>1</v>
      </c>
      <c r="L70">
        <v>0.99999999995</v>
      </c>
      <c r="M70">
        <v>0.68159430778250907</v>
      </c>
      <c r="N70">
        <v>0.66666666611111103</v>
      </c>
      <c r="O70">
        <v>0</v>
      </c>
      <c r="P70">
        <v>0.20633935928344729</v>
      </c>
      <c r="Q70">
        <v>0.2360832691192627</v>
      </c>
      <c r="R70">
        <v>0.1734427809715271</v>
      </c>
      <c r="S70">
        <v>1</v>
      </c>
      <c r="T70">
        <v>1</v>
      </c>
      <c r="U70">
        <v>8.9292745590209961</v>
      </c>
      <c r="V70">
        <v>2159</v>
      </c>
      <c r="W70">
        <v>142</v>
      </c>
      <c r="X70">
        <v>2301</v>
      </c>
      <c r="Y70">
        <v>5</v>
      </c>
      <c r="Z70">
        <v>8.9292745590209961</v>
      </c>
    </row>
    <row r="71" spans="1:26" ht="409.5" x14ac:dyDescent="0.25">
      <c r="A71">
        <v>70</v>
      </c>
      <c r="B71" t="s">
        <v>133</v>
      </c>
      <c r="C71" t="s">
        <v>27</v>
      </c>
      <c r="D71" s="2" t="s">
        <v>398</v>
      </c>
      <c r="E71" s="2" t="s">
        <v>399</v>
      </c>
      <c r="F71" s="2" t="s">
        <v>400</v>
      </c>
      <c r="G71" s="2" t="s">
        <v>401</v>
      </c>
      <c r="H71" t="s">
        <v>402</v>
      </c>
      <c r="I71" t="s">
        <v>403</v>
      </c>
      <c r="J71" s="3">
        <v>0.84615384615384615</v>
      </c>
      <c r="K71">
        <v>1</v>
      </c>
      <c r="L71">
        <v>0.99999999995</v>
      </c>
      <c r="M71">
        <v>0.82002815859131761</v>
      </c>
      <c r="N71">
        <v>0.24999999979166659</v>
      </c>
      <c r="O71">
        <v>0.80331332330167371</v>
      </c>
      <c r="P71">
        <v>0.36963123083114618</v>
      </c>
      <c r="Q71">
        <v>0.42737898230552668</v>
      </c>
      <c r="R71">
        <v>0.31032904982566828</v>
      </c>
      <c r="S71">
        <v>1</v>
      </c>
      <c r="T71">
        <v>1</v>
      </c>
      <c r="U71">
        <v>17.580091714859009</v>
      </c>
      <c r="V71">
        <v>2224</v>
      </c>
      <c r="W71">
        <v>249</v>
      </c>
      <c r="X71">
        <v>2473</v>
      </c>
      <c r="Y71">
        <v>5</v>
      </c>
      <c r="Z71">
        <v>17.580091714859009</v>
      </c>
    </row>
    <row r="72" spans="1:26" ht="409.5" x14ac:dyDescent="0.25">
      <c r="A72">
        <v>71</v>
      </c>
      <c r="B72" t="s">
        <v>133</v>
      </c>
      <c r="C72" t="s">
        <v>70</v>
      </c>
      <c r="D72" s="2" t="s">
        <v>404</v>
      </c>
      <c r="E72" s="2" t="s">
        <v>405</v>
      </c>
      <c r="F72" s="2" t="s">
        <v>406</v>
      </c>
      <c r="G72" s="2" t="s">
        <v>407</v>
      </c>
      <c r="H72" t="s">
        <v>408</v>
      </c>
      <c r="I72" t="s">
        <v>52</v>
      </c>
      <c r="J72" s="5">
        <v>0.36363636363636359</v>
      </c>
      <c r="K72">
        <v>0.8</v>
      </c>
      <c r="L72">
        <v>0.999999999975</v>
      </c>
      <c r="M72">
        <v>0.8164367933178418</v>
      </c>
      <c r="N72">
        <v>0.29411764688581321</v>
      </c>
      <c r="O72">
        <v>0</v>
      </c>
      <c r="P72">
        <v>0.12597911059856409</v>
      </c>
      <c r="Q72">
        <v>0.17506532371044159</v>
      </c>
      <c r="R72">
        <v>7.3984265327453613E-2</v>
      </c>
      <c r="S72">
        <v>1</v>
      </c>
      <c r="T72">
        <v>1</v>
      </c>
      <c r="U72">
        <v>11.72477960586548</v>
      </c>
      <c r="V72">
        <v>2201</v>
      </c>
      <c r="W72">
        <v>248</v>
      </c>
      <c r="X72">
        <v>2449</v>
      </c>
      <c r="Y72">
        <v>5</v>
      </c>
      <c r="Z72">
        <v>11.72477960586548</v>
      </c>
    </row>
    <row r="73" spans="1:26" ht="409.5" x14ac:dyDescent="0.25">
      <c r="A73">
        <v>72</v>
      </c>
      <c r="B73" t="s">
        <v>133</v>
      </c>
      <c r="C73" t="s">
        <v>27</v>
      </c>
      <c r="D73" s="2" t="s">
        <v>409</v>
      </c>
      <c r="E73" s="2" t="s">
        <v>410</v>
      </c>
      <c r="F73" s="2" t="s">
        <v>411</v>
      </c>
      <c r="G73" s="2" t="s">
        <v>412</v>
      </c>
      <c r="H73" t="s">
        <v>413</v>
      </c>
      <c r="I73" t="s">
        <v>52</v>
      </c>
      <c r="J73" s="3">
        <v>1</v>
      </c>
      <c r="K73">
        <v>1</v>
      </c>
      <c r="L73">
        <v>0.99999999998</v>
      </c>
      <c r="M73">
        <v>0.88947688124724289</v>
      </c>
      <c r="N73">
        <v>0.66666666444444445</v>
      </c>
      <c r="O73">
        <v>0.89205519961393276</v>
      </c>
      <c r="P73">
        <v>0.28274336457252502</v>
      </c>
      <c r="Q73">
        <v>0.26472055912017822</v>
      </c>
      <c r="R73">
        <v>0.29767331480979919</v>
      </c>
      <c r="S73">
        <v>0.5</v>
      </c>
      <c r="T73">
        <v>1</v>
      </c>
      <c r="U73">
        <v>10.575900554656981</v>
      </c>
      <c r="V73">
        <v>2193</v>
      </c>
      <c r="W73">
        <v>210</v>
      </c>
      <c r="X73">
        <v>2403</v>
      </c>
      <c r="Y73">
        <v>5</v>
      </c>
      <c r="Z73">
        <v>10.575900554656981</v>
      </c>
    </row>
    <row r="74" spans="1:26" ht="409.5" x14ac:dyDescent="0.25">
      <c r="A74">
        <v>73</v>
      </c>
      <c r="B74" t="s">
        <v>133</v>
      </c>
      <c r="C74" t="s">
        <v>27</v>
      </c>
      <c r="D74" s="2" t="s">
        <v>414</v>
      </c>
      <c r="E74" s="2" t="s">
        <v>415</v>
      </c>
      <c r="F74" s="2" t="s">
        <v>416</v>
      </c>
      <c r="G74" s="2" t="s">
        <v>417</v>
      </c>
      <c r="H74" t="s">
        <v>418</v>
      </c>
      <c r="I74" t="s">
        <v>33</v>
      </c>
      <c r="J74" s="3">
        <v>0.8</v>
      </c>
      <c r="K74">
        <v>1</v>
      </c>
      <c r="L74">
        <v>0.94999999997624995</v>
      </c>
      <c r="M74">
        <v>0.81160383213670295</v>
      </c>
      <c r="N74">
        <v>0.18181818165289251</v>
      </c>
      <c r="O74">
        <v>0</v>
      </c>
      <c r="P74">
        <v>0.1634524464607239</v>
      </c>
      <c r="Q74">
        <v>0.16750288009643549</v>
      </c>
      <c r="R74">
        <v>0.15570175647735601</v>
      </c>
      <c r="S74">
        <v>1</v>
      </c>
      <c r="T74">
        <v>1</v>
      </c>
      <c r="U74">
        <v>11.617653369903559</v>
      </c>
      <c r="V74">
        <v>2218</v>
      </c>
      <c r="W74">
        <v>232</v>
      </c>
      <c r="X74">
        <v>2450</v>
      </c>
      <c r="Y74">
        <v>5</v>
      </c>
      <c r="Z74">
        <v>11.617653369903559</v>
      </c>
    </row>
    <row r="75" spans="1:26" ht="409.5" x14ac:dyDescent="0.25">
      <c r="A75">
        <v>74</v>
      </c>
      <c r="B75" t="s">
        <v>133</v>
      </c>
      <c r="C75" t="s">
        <v>27</v>
      </c>
      <c r="D75" s="2" t="s">
        <v>419</v>
      </c>
      <c r="E75" s="2" t="s">
        <v>420</v>
      </c>
      <c r="F75" s="2" t="s">
        <v>421</v>
      </c>
      <c r="G75" s="2" t="s">
        <v>422</v>
      </c>
      <c r="H75" t="s">
        <v>423</v>
      </c>
      <c r="I75" t="s">
        <v>33</v>
      </c>
      <c r="J75" s="4">
        <v>0.76923076923076927</v>
      </c>
      <c r="K75">
        <v>0.2</v>
      </c>
      <c r="L75">
        <v>0.99999999996666666</v>
      </c>
      <c r="M75">
        <v>0.86483442773224706</v>
      </c>
      <c r="N75">
        <v>0.26086956510396969</v>
      </c>
      <c r="O75">
        <v>0</v>
      </c>
      <c r="P75">
        <v>7.6500214636325836E-2</v>
      </c>
      <c r="Q75">
        <v>3.4667354077100747E-2</v>
      </c>
      <c r="R75">
        <v>0.11482410132884981</v>
      </c>
      <c r="S75">
        <v>0.5</v>
      </c>
      <c r="T75">
        <v>1</v>
      </c>
      <c r="U75">
        <v>17.47541260719299</v>
      </c>
      <c r="V75">
        <v>2222</v>
      </c>
      <c r="W75">
        <v>419</v>
      </c>
      <c r="X75">
        <v>2641</v>
      </c>
      <c r="Y75">
        <v>5</v>
      </c>
      <c r="Z75">
        <v>17.47541260719299</v>
      </c>
    </row>
    <row r="76" spans="1:26" ht="409.5" x14ac:dyDescent="0.25">
      <c r="A76">
        <v>75</v>
      </c>
      <c r="B76" t="s">
        <v>133</v>
      </c>
      <c r="C76" t="s">
        <v>27</v>
      </c>
      <c r="D76" s="2" t="s">
        <v>424</v>
      </c>
      <c r="E76" s="2" t="s">
        <v>425</v>
      </c>
      <c r="F76" s="2" t="s">
        <v>426</v>
      </c>
      <c r="G76" s="2" t="s">
        <v>427</v>
      </c>
      <c r="H76" t="s">
        <v>428</v>
      </c>
      <c r="I76" t="s">
        <v>115</v>
      </c>
      <c r="J76" s="5">
        <v>0.33333333333333331</v>
      </c>
      <c r="K76">
        <v>1</v>
      </c>
      <c r="L76">
        <v>0.99999999995</v>
      </c>
      <c r="M76">
        <v>0.64900197711947383</v>
      </c>
      <c r="N76">
        <v>0.76923076863905315</v>
      </c>
      <c r="O76">
        <v>0</v>
      </c>
      <c r="P76">
        <v>4.6636320650577552E-2</v>
      </c>
      <c r="Q76">
        <v>0.1522485762834549</v>
      </c>
      <c r="R76">
        <v>-5.8938637375831597E-2</v>
      </c>
      <c r="S76">
        <v>1</v>
      </c>
      <c r="T76">
        <v>1</v>
      </c>
      <c r="U76">
        <v>8.3157634735107422</v>
      </c>
      <c r="V76">
        <v>2151</v>
      </c>
      <c r="W76">
        <v>116</v>
      </c>
      <c r="X76">
        <v>2267</v>
      </c>
      <c r="Y76">
        <v>5</v>
      </c>
      <c r="Z76">
        <v>8.3157634735107422</v>
      </c>
    </row>
    <row r="77" spans="1:26" ht="409.5" x14ac:dyDescent="0.25">
      <c r="A77">
        <v>76</v>
      </c>
      <c r="B77" t="s">
        <v>26</v>
      </c>
      <c r="C77" t="s">
        <v>27</v>
      </c>
      <c r="D77" s="2" t="s">
        <v>429</v>
      </c>
      <c r="E77" s="2" t="s">
        <v>430</v>
      </c>
      <c r="F77" s="2" t="s">
        <v>431</v>
      </c>
      <c r="G77" s="2" t="s">
        <v>432</v>
      </c>
      <c r="H77" t="s">
        <v>433</v>
      </c>
      <c r="I77" t="s">
        <v>64</v>
      </c>
      <c r="J77" s="5">
        <v>0</v>
      </c>
      <c r="K77">
        <v>0</v>
      </c>
      <c r="L77">
        <v>0</v>
      </c>
      <c r="M77">
        <v>0.78936854772726894</v>
      </c>
      <c r="N77">
        <v>0</v>
      </c>
      <c r="O77">
        <v>0.9153578414254131</v>
      </c>
      <c r="P77">
        <v>0.21465620398521421</v>
      </c>
      <c r="Q77">
        <v>0.28699919581413269</v>
      </c>
      <c r="R77">
        <v>0.1408166587352753</v>
      </c>
      <c r="S77">
        <v>0</v>
      </c>
      <c r="T77">
        <v>0</v>
      </c>
      <c r="U77">
        <v>10.067207336425779</v>
      </c>
      <c r="V77">
        <v>2326</v>
      </c>
      <c r="W77">
        <v>185</v>
      </c>
      <c r="X77">
        <v>2511</v>
      </c>
      <c r="Y77">
        <v>5</v>
      </c>
      <c r="Z77">
        <v>10.067207336425779</v>
      </c>
    </row>
    <row r="78" spans="1:26" ht="409.5" x14ac:dyDescent="0.25">
      <c r="A78">
        <v>77</v>
      </c>
      <c r="B78" t="s">
        <v>26</v>
      </c>
      <c r="C78" t="s">
        <v>27</v>
      </c>
      <c r="D78" s="2" t="s">
        <v>434</v>
      </c>
      <c r="E78" s="2" t="s">
        <v>435</v>
      </c>
      <c r="F78" s="2" t="s">
        <v>436</v>
      </c>
      <c r="G78" s="2" t="s">
        <v>437</v>
      </c>
      <c r="H78" t="s">
        <v>438</v>
      </c>
      <c r="I78" t="s">
        <v>64</v>
      </c>
      <c r="J78" s="5">
        <v>0</v>
      </c>
      <c r="K78">
        <v>0</v>
      </c>
      <c r="L78">
        <v>0</v>
      </c>
      <c r="M78">
        <v>0.67855308587624175</v>
      </c>
      <c r="N78">
        <v>0</v>
      </c>
      <c r="O78">
        <v>0</v>
      </c>
      <c r="P78">
        <v>0.1016882658004761</v>
      </c>
      <c r="Q78">
        <v>0.1150089874863625</v>
      </c>
      <c r="R78">
        <v>8.4470346570014954E-2</v>
      </c>
      <c r="S78">
        <v>0</v>
      </c>
      <c r="T78">
        <v>0</v>
      </c>
      <c r="U78">
        <v>10.326247215271</v>
      </c>
      <c r="V78">
        <v>2177</v>
      </c>
      <c r="W78">
        <v>214</v>
      </c>
      <c r="X78">
        <v>2391</v>
      </c>
      <c r="Y78">
        <v>5</v>
      </c>
      <c r="Z78">
        <v>10.326247215271</v>
      </c>
    </row>
    <row r="79" spans="1:26" ht="409.5" x14ac:dyDescent="0.25">
      <c r="A79">
        <v>78</v>
      </c>
      <c r="B79" t="s">
        <v>26</v>
      </c>
      <c r="C79" t="s">
        <v>27</v>
      </c>
      <c r="D79" s="2" t="s">
        <v>439</v>
      </c>
      <c r="E79" s="2" t="s">
        <v>440</v>
      </c>
      <c r="F79" s="2" t="s">
        <v>441</v>
      </c>
      <c r="G79" s="2" t="s">
        <v>442</v>
      </c>
      <c r="H79" t="s">
        <v>443</v>
      </c>
      <c r="I79" t="s">
        <v>58</v>
      </c>
      <c r="J79" s="3">
        <v>1</v>
      </c>
      <c r="K79">
        <v>1</v>
      </c>
      <c r="L79">
        <v>0.80416666664656256</v>
      </c>
      <c r="M79">
        <v>0.86050116576074165</v>
      </c>
      <c r="N79">
        <v>0.28571428530612247</v>
      </c>
      <c r="O79">
        <v>0.84843779067768899</v>
      </c>
      <c r="P79">
        <v>0.29843989014625549</v>
      </c>
      <c r="Q79">
        <v>0.14841136336326599</v>
      </c>
      <c r="R79">
        <v>0.4537428617477417</v>
      </c>
      <c r="S79">
        <v>1</v>
      </c>
      <c r="T79">
        <v>1</v>
      </c>
      <c r="U79">
        <v>16.80182933807373</v>
      </c>
      <c r="V79">
        <v>2394</v>
      </c>
      <c r="W79">
        <v>272</v>
      </c>
      <c r="X79">
        <v>2666</v>
      </c>
      <c r="Y79">
        <v>5</v>
      </c>
      <c r="Z79">
        <v>16.80182933807373</v>
      </c>
    </row>
    <row r="80" spans="1:26" ht="409.5" x14ac:dyDescent="0.25">
      <c r="A80">
        <v>79</v>
      </c>
      <c r="B80" t="s">
        <v>194</v>
      </c>
      <c r="C80" t="s">
        <v>27</v>
      </c>
      <c r="D80" s="2" t="s">
        <v>444</v>
      </c>
      <c r="E80" s="2" t="s">
        <v>445</v>
      </c>
      <c r="F80" s="2" t="s">
        <v>446</v>
      </c>
      <c r="G80" s="2" t="s">
        <v>447</v>
      </c>
      <c r="H80" t="s">
        <v>448</v>
      </c>
      <c r="I80" t="s">
        <v>286</v>
      </c>
      <c r="J80" s="3">
        <v>0.8</v>
      </c>
      <c r="K80">
        <v>1</v>
      </c>
      <c r="L80">
        <v>0.41666666664583329</v>
      </c>
      <c r="M80">
        <v>0.6787218014399089</v>
      </c>
      <c r="N80">
        <v>0</v>
      </c>
      <c r="O80">
        <v>0.89009761861984527</v>
      </c>
      <c r="P80">
        <v>0.42973786592483521</v>
      </c>
      <c r="Q80">
        <v>0.17918698489665991</v>
      </c>
      <c r="R80">
        <v>0.70179462432861328</v>
      </c>
      <c r="S80">
        <v>0</v>
      </c>
      <c r="T80">
        <v>0</v>
      </c>
      <c r="U80">
        <v>7.6259446144104004</v>
      </c>
      <c r="V80">
        <v>2182</v>
      </c>
      <c r="W80">
        <v>95</v>
      </c>
      <c r="X80">
        <v>2277</v>
      </c>
      <c r="Y80">
        <v>5</v>
      </c>
      <c r="Z80">
        <v>7.6259446144104004</v>
      </c>
    </row>
    <row r="81" spans="1:26" ht="409.5" x14ac:dyDescent="0.25">
      <c r="A81">
        <v>80</v>
      </c>
      <c r="B81" t="s">
        <v>194</v>
      </c>
      <c r="C81" t="s">
        <v>70</v>
      </c>
      <c r="D81" s="2" t="s">
        <v>449</v>
      </c>
      <c r="E81" s="2" t="s">
        <v>450</v>
      </c>
      <c r="F81" s="2" t="s">
        <v>451</v>
      </c>
      <c r="G81" s="2" t="s">
        <v>452</v>
      </c>
      <c r="H81" t="s">
        <v>453</v>
      </c>
      <c r="I81" t="s">
        <v>40</v>
      </c>
      <c r="J81" s="5">
        <v>0.5</v>
      </c>
      <c r="K81">
        <v>0.6</v>
      </c>
      <c r="L81">
        <v>0.69999999996499995</v>
      </c>
      <c r="M81">
        <v>0.7547819824277564</v>
      </c>
      <c r="N81">
        <v>0</v>
      </c>
      <c r="O81">
        <v>0.86950497574699748</v>
      </c>
      <c r="P81">
        <v>0.1896046698093414</v>
      </c>
      <c r="Q81">
        <v>0.19742739200592041</v>
      </c>
      <c r="R81">
        <v>0.17821960151195529</v>
      </c>
      <c r="S81">
        <v>0</v>
      </c>
      <c r="T81">
        <v>0</v>
      </c>
      <c r="U81">
        <v>13.06175565719604</v>
      </c>
      <c r="V81">
        <v>2088</v>
      </c>
      <c r="W81">
        <v>294</v>
      </c>
      <c r="X81">
        <v>2382</v>
      </c>
      <c r="Y81">
        <v>5</v>
      </c>
      <c r="Z81">
        <v>13.06175565719604</v>
      </c>
    </row>
    <row r="82" spans="1:26" ht="409.5" x14ac:dyDescent="0.25">
      <c r="A82">
        <v>81</v>
      </c>
      <c r="B82" t="s">
        <v>194</v>
      </c>
      <c r="C82" t="s">
        <v>27</v>
      </c>
      <c r="D82" s="2" t="s">
        <v>454</v>
      </c>
      <c r="E82" s="2" t="s">
        <v>455</v>
      </c>
      <c r="F82" s="2" t="s">
        <v>456</v>
      </c>
      <c r="G82" s="2" t="s">
        <v>457</v>
      </c>
      <c r="H82" t="s">
        <v>458</v>
      </c>
      <c r="I82" t="s">
        <v>403</v>
      </c>
      <c r="J82" s="5">
        <v>0.55555555555555558</v>
      </c>
      <c r="K82">
        <v>1</v>
      </c>
      <c r="L82">
        <v>0.99999999998</v>
      </c>
      <c r="M82">
        <v>0.85855083469519688</v>
      </c>
      <c r="N82">
        <v>7.6923076863905315E-2</v>
      </c>
      <c r="O82">
        <v>0.90536743892515359</v>
      </c>
      <c r="P82">
        <v>0.20548692345619199</v>
      </c>
      <c r="Q82">
        <v>0.20571224391460419</v>
      </c>
      <c r="R82">
        <v>0.2017347663640976</v>
      </c>
      <c r="S82">
        <v>0.2</v>
      </c>
      <c r="T82">
        <v>1</v>
      </c>
      <c r="U82">
        <v>10.61156344413757</v>
      </c>
      <c r="V82">
        <v>2047</v>
      </c>
      <c r="W82">
        <v>206</v>
      </c>
      <c r="X82">
        <v>2253</v>
      </c>
      <c r="Y82">
        <v>5</v>
      </c>
      <c r="Z82">
        <v>10.61156344413757</v>
      </c>
    </row>
    <row r="83" spans="1:26" ht="409.5" x14ac:dyDescent="0.25">
      <c r="A83">
        <v>82</v>
      </c>
      <c r="B83" t="s">
        <v>194</v>
      </c>
      <c r="C83" t="s">
        <v>70</v>
      </c>
      <c r="D83" s="2" t="s">
        <v>459</v>
      </c>
      <c r="E83" s="2" t="s">
        <v>460</v>
      </c>
      <c r="F83" s="2" t="s">
        <v>461</v>
      </c>
      <c r="G83" s="2" t="s">
        <v>462</v>
      </c>
      <c r="H83" t="s">
        <v>463</v>
      </c>
      <c r="I83" t="s">
        <v>307</v>
      </c>
      <c r="J83" s="3">
        <v>1</v>
      </c>
      <c r="K83">
        <v>0.25</v>
      </c>
      <c r="L83">
        <v>0.19999999998000001</v>
      </c>
      <c r="M83">
        <v>0.72207820490162011</v>
      </c>
      <c r="N83">
        <v>0</v>
      </c>
      <c r="O83">
        <v>0.82708345878312495</v>
      </c>
      <c r="P83">
        <v>0.18010757863521579</v>
      </c>
      <c r="Q83">
        <v>0.16776396334171301</v>
      </c>
      <c r="R83">
        <v>0.1888473033905029</v>
      </c>
      <c r="S83">
        <v>0</v>
      </c>
      <c r="T83">
        <v>0</v>
      </c>
      <c r="U83">
        <v>12.816735982894899</v>
      </c>
      <c r="V83">
        <v>2119</v>
      </c>
      <c r="W83">
        <v>284</v>
      </c>
      <c r="X83">
        <v>2403</v>
      </c>
      <c r="Y83">
        <v>5</v>
      </c>
      <c r="Z83">
        <v>12.816735982894899</v>
      </c>
    </row>
    <row r="84" spans="1:26" ht="409.5" x14ac:dyDescent="0.25">
      <c r="A84">
        <v>83</v>
      </c>
      <c r="B84" t="s">
        <v>194</v>
      </c>
      <c r="C84" t="s">
        <v>70</v>
      </c>
      <c r="D84" s="2" t="s">
        <v>464</v>
      </c>
      <c r="E84" s="2" t="s">
        <v>465</v>
      </c>
      <c r="F84" s="2" t="s">
        <v>466</v>
      </c>
      <c r="G84" s="2" t="s">
        <v>467</v>
      </c>
      <c r="H84" t="s">
        <v>468</v>
      </c>
      <c r="I84" t="s">
        <v>33</v>
      </c>
      <c r="J84" s="3">
        <v>0.91666666666666663</v>
      </c>
      <c r="K84">
        <v>1</v>
      </c>
      <c r="L84">
        <v>0.94999999997624995</v>
      </c>
      <c r="M84">
        <v>0.90594139018409314</v>
      </c>
      <c r="N84">
        <v>0.68421052595567866</v>
      </c>
      <c r="O84">
        <v>0.91732788923839481</v>
      </c>
      <c r="P84">
        <v>0.32359093427658081</v>
      </c>
      <c r="Q84">
        <v>0.36005502939224238</v>
      </c>
      <c r="R84">
        <v>0.28464794158935552</v>
      </c>
      <c r="S84">
        <v>1</v>
      </c>
      <c r="T84">
        <v>1</v>
      </c>
      <c r="U84">
        <v>9.2852716445922852</v>
      </c>
      <c r="V84">
        <v>2099</v>
      </c>
      <c r="W84">
        <v>174</v>
      </c>
      <c r="X84">
        <v>2273</v>
      </c>
      <c r="Y84">
        <v>5</v>
      </c>
      <c r="Z84">
        <v>9.2852716445922852</v>
      </c>
    </row>
    <row r="85" spans="1:26" ht="409.5" x14ac:dyDescent="0.25">
      <c r="A85">
        <v>84</v>
      </c>
      <c r="B85" t="s">
        <v>194</v>
      </c>
      <c r="C85" t="s">
        <v>27</v>
      </c>
      <c r="D85" s="2" t="s">
        <v>469</v>
      </c>
      <c r="E85" s="2" t="s">
        <v>470</v>
      </c>
      <c r="F85" s="2" t="s">
        <v>471</v>
      </c>
      <c r="G85" s="2" t="s">
        <v>472</v>
      </c>
      <c r="H85" t="s">
        <v>473</v>
      </c>
      <c r="I85" t="s">
        <v>52</v>
      </c>
      <c r="J85" s="3">
        <v>0.875</v>
      </c>
      <c r="K85">
        <v>0.4</v>
      </c>
      <c r="L85">
        <v>0.8666666666377778</v>
      </c>
      <c r="M85">
        <v>0.68103003248819538</v>
      </c>
      <c r="N85">
        <v>7.1428571377551014E-2</v>
      </c>
      <c r="O85">
        <v>0.90091119898673888</v>
      </c>
      <c r="P85">
        <v>0.1097254008054733</v>
      </c>
      <c r="Q85">
        <v>7.3967032134532928E-2</v>
      </c>
      <c r="R85">
        <v>0.14195191860198969</v>
      </c>
      <c r="S85">
        <v>0</v>
      </c>
      <c r="T85">
        <v>0</v>
      </c>
      <c r="U85">
        <v>12.558906078338619</v>
      </c>
      <c r="V85">
        <v>2030</v>
      </c>
      <c r="W85">
        <v>278</v>
      </c>
      <c r="X85">
        <v>2308</v>
      </c>
      <c r="Y85">
        <v>5</v>
      </c>
      <c r="Z85">
        <v>12.558906078338619</v>
      </c>
    </row>
    <row r="86" spans="1:26" ht="409.5" x14ac:dyDescent="0.25">
      <c r="A86">
        <v>85</v>
      </c>
      <c r="B86" t="s">
        <v>474</v>
      </c>
      <c r="C86" t="s">
        <v>34</v>
      </c>
      <c r="D86" s="2" t="s">
        <v>475</v>
      </c>
      <c r="E86" s="2" t="s">
        <v>476</v>
      </c>
      <c r="F86" s="2" t="s">
        <v>477</v>
      </c>
      <c r="G86" s="2" t="s">
        <v>478</v>
      </c>
      <c r="H86" t="s">
        <v>479</v>
      </c>
      <c r="I86" t="s">
        <v>480</v>
      </c>
      <c r="J86" s="5">
        <v>0.3</v>
      </c>
      <c r="K86">
        <v>1</v>
      </c>
      <c r="L86">
        <v>0.99999999996666666</v>
      </c>
      <c r="M86">
        <v>0.68737529019606503</v>
      </c>
      <c r="N86">
        <v>0</v>
      </c>
      <c r="O86">
        <v>0.97046246490088273</v>
      </c>
      <c r="P86">
        <v>0.27498853206634521</v>
      </c>
      <c r="Q86">
        <v>0.15290386974811551</v>
      </c>
      <c r="R86">
        <v>0.3993355929851532</v>
      </c>
      <c r="S86">
        <v>0.5</v>
      </c>
      <c r="T86">
        <v>1</v>
      </c>
      <c r="U86">
        <v>11.455692291259769</v>
      </c>
      <c r="V86">
        <v>2130</v>
      </c>
      <c r="W86">
        <v>226</v>
      </c>
      <c r="X86">
        <v>2356</v>
      </c>
      <c r="Y86">
        <v>5</v>
      </c>
      <c r="Z86">
        <v>11.455692291259769</v>
      </c>
    </row>
    <row r="87" spans="1:26" ht="409.5" x14ac:dyDescent="0.25">
      <c r="A87">
        <v>86</v>
      </c>
      <c r="B87" t="s">
        <v>474</v>
      </c>
      <c r="C87" t="s">
        <v>34</v>
      </c>
      <c r="D87" s="2" t="s">
        <v>481</v>
      </c>
      <c r="E87" s="2" t="s">
        <v>482</v>
      </c>
      <c r="F87" s="2" t="s">
        <v>483</v>
      </c>
      <c r="G87" s="2" t="s">
        <v>484</v>
      </c>
      <c r="H87" t="s">
        <v>485</v>
      </c>
      <c r="I87" t="s">
        <v>480</v>
      </c>
      <c r="J87" s="5">
        <v>0.25</v>
      </c>
      <c r="K87">
        <v>1</v>
      </c>
      <c r="L87">
        <v>0.58333333330416659</v>
      </c>
      <c r="M87">
        <v>0.54156795911412114</v>
      </c>
      <c r="N87">
        <v>0.19999999960000001</v>
      </c>
      <c r="O87">
        <v>0.93967138575152565</v>
      </c>
      <c r="P87">
        <v>9.8785385489463806E-3</v>
      </c>
      <c r="Q87">
        <v>-0.19189685583114621</v>
      </c>
      <c r="R87">
        <v>0.22366903722286219</v>
      </c>
      <c r="S87">
        <v>0.5</v>
      </c>
      <c r="T87">
        <v>1</v>
      </c>
      <c r="U87">
        <v>16.36237812042236</v>
      </c>
      <c r="V87">
        <v>2175</v>
      </c>
      <c r="W87">
        <v>376</v>
      </c>
      <c r="X87">
        <v>2551</v>
      </c>
      <c r="Y87">
        <v>5</v>
      </c>
      <c r="Z87">
        <v>16.36237812042236</v>
      </c>
    </row>
    <row r="88" spans="1:26" ht="409.5" x14ac:dyDescent="0.25">
      <c r="A88">
        <v>87</v>
      </c>
      <c r="B88" t="s">
        <v>474</v>
      </c>
      <c r="C88" t="s">
        <v>27</v>
      </c>
      <c r="D88" s="2" t="s">
        <v>486</v>
      </c>
      <c r="E88" s="2" t="s">
        <v>487</v>
      </c>
      <c r="F88" s="2" t="s">
        <v>488</v>
      </c>
      <c r="G88" s="2" t="s">
        <v>489</v>
      </c>
      <c r="H88" t="s">
        <v>490</v>
      </c>
      <c r="I88" t="s">
        <v>64</v>
      </c>
      <c r="J88" s="4">
        <v>0.75</v>
      </c>
      <c r="K88">
        <v>1</v>
      </c>
      <c r="L88">
        <v>0.99999999998</v>
      </c>
      <c r="M88">
        <v>0.92338301243924215</v>
      </c>
      <c r="N88">
        <v>0.39999999959999999</v>
      </c>
      <c r="O88">
        <v>1</v>
      </c>
      <c r="P88">
        <v>0.52076882123947144</v>
      </c>
      <c r="Q88">
        <v>0.45279577374458307</v>
      </c>
      <c r="R88">
        <v>0.58818918466567993</v>
      </c>
      <c r="S88">
        <v>1</v>
      </c>
      <c r="T88">
        <v>1</v>
      </c>
      <c r="U88">
        <v>10.28091883659363</v>
      </c>
      <c r="V88">
        <v>2324</v>
      </c>
      <c r="W88">
        <v>204</v>
      </c>
      <c r="X88">
        <v>2528</v>
      </c>
      <c r="Y88">
        <v>5</v>
      </c>
      <c r="Z88">
        <v>10.28091883659363</v>
      </c>
    </row>
    <row r="89" spans="1:26" ht="409.5" x14ac:dyDescent="0.25">
      <c r="A89">
        <v>88</v>
      </c>
      <c r="B89" t="s">
        <v>474</v>
      </c>
      <c r="C89" t="s">
        <v>27</v>
      </c>
      <c r="D89" s="2" t="s">
        <v>491</v>
      </c>
      <c r="E89" s="2" t="s">
        <v>492</v>
      </c>
      <c r="F89" s="2" t="s">
        <v>493</v>
      </c>
      <c r="G89" s="2" t="s">
        <v>494</v>
      </c>
      <c r="H89" t="s">
        <v>495</v>
      </c>
      <c r="I89" t="s">
        <v>64</v>
      </c>
      <c r="J89" s="3">
        <v>0.88888888888888884</v>
      </c>
      <c r="K89">
        <v>0.33333333333333331</v>
      </c>
      <c r="L89">
        <v>0.999999999975</v>
      </c>
      <c r="M89">
        <v>0.82741048917690541</v>
      </c>
      <c r="N89">
        <v>0</v>
      </c>
      <c r="O89">
        <v>0.92693502560996133</v>
      </c>
      <c r="P89">
        <v>0.23113745450973511</v>
      </c>
      <c r="Q89">
        <v>0.28618478775024409</v>
      </c>
      <c r="R89">
        <v>0.17385172843933111</v>
      </c>
      <c r="S89">
        <v>0</v>
      </c>
      <c r="T89">
        <v>0</v>
      </c>
      <c r="U89">
        <v>11.324292421340941</v>
      </c>
      <c r="V89">
        <v>2319</v>
      </c>
      <c r="W89">
        <v>228</v>
      </c>
      <c r="X89">
        <v>2547</v>
      </c>
      <c r="Y89">
        <v>5</v>
      </c>
      <c r="Z89">
        <v>11.324292421340941</v>
      </c>
    </row>
    <row r="90" spans="1:26" ht="409.5" x14ac:dyDescent="0.25">
      <c r="A90">
        <v>89</v>
      </c>
      <c r="B90" t="s">
        <v>474</v>
      </c>
      <c r="C90" t="s">
        <v>34</v>
      </c>
      <c r="D90" s="2" t="s">
        <v>496</v>
      </c>
      <c r="E90" s="2" t="s">
        <v>497</v>
      </c>
      <c r="F90" s="2" t="s">
        <v>498</v>
      </c>
      <c r="G90" s="2" t="s">
        <v>499</v>
      </c>
      <c r="H90" t="s">
        <v>500</v>
      </c>
      <c r="I90" t="s">
        <v>403</v>
      </c>
      <c r="J90" s="3">
        <v>0.83333333333333337</v>
      </c>
      <c r="K90">
        <v>0</v>
      </c>
      <c r="L90">
        <v>0</v>
      </c>
      <c r="M90">
        <v>0.67807903389763946</v>
      </c>
      <c r="N90">
        <v>0.249999999375</v>
      </c>
      <c r="O90">
        <v>0</v>
      </c>
      <c r="P90">
        <v>0.19574083387851721</v>
      </c>
      <c r="Q90">
        <v>1.57008096575737E-2</v>
      </c>
      <c r="R90">
        <v>0.3847033679485321</v>
      </c>
      <c r="S90">
        <f>1/5</f>
        <v>0.2</v>
      </c>
      <c r="T90">
        <v>1</v>
      </c>
      <c r="U90">
        <v>9.8323330879211426</v>
      </c>
      <c r="V90">
        <v>826</v>
      </c>
      <c r="W90">
        <v>31</v>
      </c>
      <c r="X90">
        <v>857</v>
      </c>
      <c r="Y90">
        <v>5</v>
      </c>
      <c r="Z90">
        <v>9.8323330879211426</v>
      </c>
    </row>
    <row r="91" spans="1:26" ht="409.5" x14ac:dyDescent="0.25">
      <c r="A91">
        <v>90</v>
      </c>
      <c r="B91" t="s">
        <v>474</v>
      </c>
      <c r="C91" t="s">
        <v>27</v>
      </c>
      <c r="D91" s="2" t="s">
        <v>501</v>
      </c>
      <c r="E91" s="2" t="s">
        <v>502</v>
      </c>
      <c r="F91" s="2" t="s">
        <v>503</v>
      </c>
      <c r="G91" s="2" t="s">
        <v>504</v>
      </c>
      <c r="H91" t="s">
        <v>505</v>
      </c>
      <c r="I91" t="s">
        <v>506</v>
      </c>
      <c r="J91" s="4">
        <v>0.75</v>
      </c>
      <c r="K91">
        <v>1</v>
      </c>
      <c r="L91">
        <v>0.44999999997750001</v>
      </c>
      <c r="M91">
        <v>0.74912116719162813</v>
      </c>
      <c r="N91">
        <v>0.3571428568877551</v>
      </c>
      <c r="O91">
        <v>0.77380763170676792</v>
      </c>
      <c r="P91">
        <v>0.1848748177289963</v>
      </c>
      <c r="Q91">
        <v>0.1132389008998871</v>
      </c>
      <c r="R91">
        <v>0.25471758842468262</v>
      </c>
      <c r="S91">
        <v>0</v>
      </c>
      <c r="T91">
        <v>0</v>
      </c>
      <c r="U91">
        <v>16.034677028656009</v>
      </c>
      <c r="V91">
        <v>2320</v>
      </c>
      <c r="W91">
        <v>387</v>
      </c>
      <c r="X91">
        <v>2707</v>
      </c>
      <c r="Y91">
        <v>5</v>
      </c>
      <c r="Z91">
        <v>16.034677028656009</v>
      </c>
    </row>
    <row r="92" spans="1:26" ht="409.5" x14ac:dyDescent="0.25">
      <c r="A92">
        <v>91</v>
      </c>
      <c r="B92" t="s">
        <v>474</v>
      </c>
      <c r="C92" t="s">
        <v>70</v>
      </c>
      <c r="D92" s="2" t="s">
        <v>507</v>
      </c>
      <c r="E92" s="2" t="s">
        <v>508</v>
      </c>
      <c r="F92" s="2" t="s">
        <v>509</v>
      </c>
      <c r="G92" s="2" t="s">
        <v>510</v>
      </c>
      <c r="H92" t="s">
        <v>511</v>
      </c>
      <c r="I92" t="s">
        <v>52</v>
      </c>
      <c r="J92" s="3">
        <v>0.92307692307692313</v>
      </c>
      <c r="K92">
        <v>0.2</v>
      </c>
      <c r="L92">
        <v>0.249999999975</v>
      </c>
      <c r="M92">
        <v>0.78481686750354396</v>
      </c>
      <c r="N92">
        <v>0.10526315783933519</v>
      </c>
      <c r="O92">
        <v>0.92024837069496757</v>
      </c>
      <c r="P92">
        <v>0.11503502726554871</v>
      </c>
      <c r="Q92">
        <v>7.4596002697944641E-2</v>
      </c>
      <c r="R92">
        <v>0.15209245681762701</v>
      </c>
      <c r="S92">
        <v>0</v>
      </c>
      <c r="T92">
        <v>0</v>
      </c>
      <c r="U92">
        <v>15.671317577362061</v>
      </c>
      <c r="V92">
        <v>2265</v>
      </c>
      <c r="W92">
        <v>382</v>
      </c>
      <c r="X92">
        <v>2647</v>
      </c>
      <c r="Y92">
        <v>5</v>
      </c>
      <c r="Z92">
        <v>15.671317577362061</v>
      </c>
    </row>
    <row r="93" spans="1:26" ht="409.5" x14ac:dyDescent="0.25">
      <c r="A93">
        <v>92</v>
      </c>
      <c r="B93" t="s">
        <v>474</v>
      </c>
      <c r="C93" t="s">
        <v>70</v>
      </c>
      <c r="D93" s="2" t="s">
        <v>512</v>
      </c>
      <c r="E93" s="2" t="s">
        <v>513</v>
      </c>
      <c r="F93" s="2" t="s">
        <v>514</v>
      </c>
      <c r="G93" s="2" t="s">
        <v>515</v>
      </c>
      <c r="H93" t="s">
        <v>516</v>
      </c>
      <c r="I93" t="s">
        <v>64</v>
      </c>
      <c r="J93" s="5">
        <v>0.27272727272727271</v>
      </c>
      <c r="K93">
        <v>0.33333333333333331</v>
      </c>
      <c r="L93">
        <v>0.83333333329166659</v>
      </c>
      <c r="M93">
        <v>0.78921699108118204</v>
      </c>
      <c r="N93">
        <v>0</v>
      </c>
      <c r="O93">
        <v>0.82866104063382773</v>
      </c>
      <c r="P93">
        <v>0.24261912703514099</v>
      </c>
      <c r="Q93">
        <v>0.30735346674919128</v>
      </c>
      <c r="R93">
        <v>0.17611889541149139</v>
      </c>
      <c r="S93">
        <v>1</v>
      </c>
      <c r="T93">
        <v>1</v>
      </c>
      <c r="U93">
        <v>17.135917186737061</v>
      </c>
      <c r="V93">
        <v>2199</v>
      </c>
      <c r="W93">
        <v>250</v>
      </c>
      <c r="X93">
        <v>2449</v>
      </c>
      <c r="Y93">
        <v>5</v>
      </c>
      <c r="Z93">
        <v>17.135917186737061</v>
      </c>
    </row>
    <row r="94" spans="1:26" ht="409.5" x14ac:dyDescent="0.25">
      <c r="A94">
        <v>93</v>
      </c>
      <c r="B94" t="s">
        <v>474</v>
      </c>
      <c r="C94" t="s">
        <v>27</v>
      </c>
      <c r="D94" s="2" t="s">
        <v>517</v>
      </c>
      <c r="E94" s="2" t="s">
        <v>518</v>
      </c>
      <c r="F94" s="2" t="s">
        <v>519</v>
      </c>
      <c r="G94" s="2" t="s">
        <v>520</v>
      </c>
      <c r="H94" t="s">
        <v>521</v>
      </c>
      <c r="I94" t="s">
        <v>64</v>
      </c>
      <c r="J94" s="4">
        <v>0.7</v>
      </c>
      <c r="K94">
        <v>1</v>
      </c>
      <c r="L94">
        <v>0.99999999996666666</v>
      </c>
      <c r="M94">
        <v>0.85522104624541129</v>
      </c>
      <c r="N94">
        <v>0.19999999960000001</v>
      </c>
      <c r="O94">
        <v>0.86430930041622189</v>
      </c>
      <c r="P94">
        <v>0.39355319738388062</v>
      </c>
      <c r="Q94">
        <v>0.1902261674404144</v>
      </c>
      <c r="R94">
        <v>0.60977756977081299</v>
      </c>
      <c r="S94">
        <v>1</v>
      </c>
      <c r="T94">
        <v>1</v>
      </c>
      <c r="U94">
        <v>12.03390192985535</v>
      </c>
      <c r="V94">
        <v>2042</v>
      </c>
      <c r="W94">
        <v>234</v>
      </c>
      <c r="X94">
        <v>2276</v>
      </c>
      <c r="Y94">
        <v>5</v>
      </c>
      <c r="Z94">
        <v>12.03390192985535</v>
      </c>
    </row>
    <row r="95" spans="1:26" ht="409.5" x14ac:dyDescent="0.25">
      <c r="A95">
        <v>94</v>
      </c>
      <c r="B95" t="s">
        <v>474</v>
      </c>
      <c r="C95" t="s">
        <v>34</v>
      </c>
      <c r="D95" s="2" t="s">
        <v>522</v>
      </c>
      <c r="E95" s="2" t="s">
        <v>523</v>
      </c>
      <c r="F95" s="2" t="s">
        <v>524</v>
      </c>
      <c r="G95" s="2" t="s">
        <v>525</v>
      </c>
      <c r="H95" t="s">
        <v>526</v>
      </c>
      <c r="I95" t="s">
        <v>64</v>
      </c>
      <c r="J95" s="4">
        <v>0.66666666666666663</v>
      </c>
      <c r="K95">
        <v>1</v>
      </c>
      <c r="L95">
        <v>0.99999999998</v>
      </c>
      <c r="M95">
        <v>0.7617799124871083</v>
      </c>
      <c r="N95">
        <v>0.33333333222222222</v>
      </c>
      <c r="O95">
        <v>0.89380697029367484</v>
      </c>
      <c r="P95">
        <v>0.39173251390457148</v>
      </c>
      <c r="Q95">
        <v>0.26274871826171881</v>
      </c>
      <c r="R95">
        <v>0.52405369281768799</v>
      </c>
      <c r="S95">
        <v>0.5</v>
      </c>
      <c r="T95">
        <v>1</v>
      </c>
      <c r="U95">
        <v>9.5432486534118652</v>
      </c>
      <c r="V95">
        <v>2037</v>
      </c>
      <c r="W95">
        <v>176</v>
      </c>
      <c r="X95">
        <v>2213</v>
      </c>
      <c r="Y95">
        <v>5</v>
      </c>
      <c r="Z95">
        <v>9.5432486534118652</v>
      </c>
    </row>
    <row r="96" spans="1:26" ht="409.5" x14ac:dyDescent="0.25">
      <c r="A96">
        <v>95</v>
      </c>
      <c r="B96" t="s">
        <v>474</v>
      </c>
      <c r="C96" t="s">
        <v>34</v>
      </c>
      <c r="D96" s="2" t="s">
        <v>527</v>
      </c>
      <c r="E96" s="2" t="s">
        <v>528</v>
      </c>
      <c r="F96" s="2" t="s">
        <v>529</v>
      </c>
      <c r="G96" s="2" t="s">
        <v>530</v>
      </c>
      <c r="H96" t="s">
        <v>531</v>
      </c>
      <c r="I96" t="s">
        <v>532</v>
      </c>
      <c r="J96" s="3">
        <v>0.8571428571428571</v>
      </c>
      <c r="K96">
        <v>0.5</v>
      </c>
      <c r="L96">
        <v>0.249999999975</v>
      </c>
      <c r="M96">
        <v>0.71857734471078438</v>
      </c>
      <c r="N96">
        <v>0.49999999916666671</v>
      </c>
      <c r="O96">
        <v>0.89424617439662335</v>
      </c>
      <c r="P96">
        <v>0.13153588771820071</v>
      </c>
      <c r="Q96">
        <v>0.109974279999733</v>
      </c>
      <c r="R96">
        <v>0.1493785232305527</v>
      </c>
      <c r="S96">
        <v>0.25</v>
      </c>
      <c r="T96">
        <v>1</v>
      </c>
      <c r="U96">
        <v>15.396485090255741</v>
      </c>
      <c r="V96">
        <v>2374</v>
      </c>
      <c r="W96">
        <v>264</v>
      </c>
      <c r="X96">
        <v>2638</v>
      </c>
      <c r="Y96">
        <v>5</v>
      </c>
      <c r="Z96">
        <v>15.396485090255741</v>
      </c>
    </row>
    <row r="97" spans="1:26" ht="409.5" x14ac:dyDescent="0.25">
      <c r="A97">
        <v>96</v>
      </c>
      <c r="B97" t="s">
        <v>474</v>
      </c>
      <c r="C97" t="s">
        <v>27</v>
      </c>
      <c r="D97" s="2" t="s">
        <v>533</v>
      </c>
      <c r="E97" s="2" t="s">
        <v>534</v>
      </c>
      <c r="F97" s="2" t="s">
        <v>535</v>
      </c>
      <c r="G97" s="2" t="s">
        <v>536</v>
      </c>
      <c r="H97" t="s">
        <v>537</v>
      </c>
      <c r="I97" t="s">
        <v>538</v>
      </c>
      <c r="J97" s="4">
        <v>0.6</v>
      </c>
      <c r="K97">
        <v>0.66666666666666663</v>
      </c>
      <c r="L97">
        <v>0.33333333329999998</v>
      </c>
      <c r="M97">
        <v>0.73250791114405867</v>
      </c>
      <c r="N97">
        <v>9.9999999950000001E-2</v>
      </c>
      <c r="O97">
        <v>0.85483197119871135</v>
      </c>
      <c r="P97">
        <v>0.25766077637672419</v>
      </c>
      <c r="Q97">
        <v>0.23181289434432981</v>
      </c>
      <c r="R97">
        <v>0.28041985630989069</v>
      </c>
      <c r="S97">
        <v>0</v>
      </c>
      <c r="T97">
        <v>0</v>
      </c>
      <c r="U97">
        <v>14.68747782707214</v>
      </c>
      <c r="V97">
        <v>2268</v>
      </c>
      <c r="W97">
        <v>335</v>
      </c>
      <c r="X97">
        <v>2603</v>
      </c>
      <c r="Y97">
        <v>5</v>
      </c>
      <c r="Z97">
        <v>14.68747782707214</v>
      </c>
    </row>
    <row r="98" spans="1:26" ht="409.5" x14ac:dyDescent="0.25">
      <c r="A98">
        <v>97</v>
      </c>
      <c r="B98" t="s">
        <v>474</v>
      </c>
      <c r="C98" t="s">
        <v>70</v>
      </c>
      <c r="D98" s="2" t="s">
        <v>539</v>
      </c>
      <c r="E98" s="2" t="s">
        <v>540</v>
      </c>
      <c r="F98" s="2" t="s">
        <v>541</v>
      </c>
      <c r="G98" s="2" t="s">
        <v>542</v>
      </c>
      <c r="H98" t="s">
        <v>543</v>
      </c>
      <c r="I98" t="s">
        <v>64</v>
      </c>
      <c r="J98" s="4">
        <v>0.75</v>
      </c>
      <c r="K98">
        <v>0.75</v>
      </c>
      <c r="L98">
        <v>0.99999999998</v>
      </c>
      <c r="M98">
        <v>0.77643784727117393</v>
      </c>
      <c r="N98">
        <v>0.16666666638888891</v>
      </c>
      <c r="O98">
        <v>0.99348820999864274</v>
      </c>
      <c r="P98">
        <v>0.2382437139749527</v>
      </c>
      <c r="Q98">
        <v>0.1665060222148895</v>
      </c>
      <c r="R98">
        <v>0.30841892957687378</v>
      </c>
      <c r="S98">
        <v>0</v>
      </c>
      <c r="T98">
        <v>0</v>
      </c>
      <c r="U98">
        <v>15.70211482048035</v>
      </c>
      <c r="V98">
        <v>2346</v>
      </c>
      <c r="W98">
        <v>323</v>
      </c>
      <c r="X98">
        <v>2669</v>
      </c>
      <c r="Y98">
        <v>5</v>
      </c>
      <c r="Z98">
        <v>15.70211482048035</v>
      </c>
    </row>
    <row r="99" spans="1:26" ht="409.5" x14ac:dyDescent="0.25">
      <c r="A99">
        <v>98</v>
      </c>
      <c r="B99" t="s">
        <v>474</v>
      </c>
      <c r="C99" t="s">
        <v>70</v>
      </c>
      <c r="D99" s="2" t="s">
        <v>544</v>
      </c>
      <c r="E99" s="2" t="s">
        <v>545</v>
      </c>
      <c r="F99" s="2" t="s">
        <v>546</v>
      </c>
      <c r="G99" s="2" t="s">
        <v>547</v>
      </c>
      <c r="H99" t="s">
        <v>548</v>
      </c>
      <c r="I99" t="s">
        <v>64</v>
      </c>
      <c r="J99" s="4">
        <v>0.72222222222222221</v>
      </c>
      <c r="K99">
        <v>0.66666666666666663</v>
      </c>
      <c r="L99">
        <v>0.88749999997781248</v>
      </c>
      <c r="M99">
        <v>0.87676358619907102</v>
      </c>
      <c r="N99">
        <v>0</v>
      </c>
      <c r="O99">
        <v>0</v>
      </c>
      <c r="P99">
        <v>0.18719497323036191</v>
      </c>
      <c r="Q99">
        <v>7.0650495588779449E-2</v>
      </c>
      <c r="R99">
        <v>0.30517444014549261</v>
      </c>
      <c r="S99">
        <v>0.25</v>
      </c>
      <c r="T99">
        <v>1</v>
      </c>
      <c r="U99">
        <v>13.781653165817261</v>
      </c>
      <c r="V99">
        <v>2019</v>
      </c>
      <c r="W99">
        <v>311</v>
      </c>
      <c r="X99">
        <v>2330</v>
      </c>
      <c r="Y99">
        <v>5</v>
      </c>
      <c r="Z99">
        <v>13.781653165817261</v>
      </c>
    </row>
    <row r="100" spans="1:26" ht="409.5" x14ac:dyDescent="0.25">
      <c r="A100">
        <v>99</v>
      </c>
      <c r="B100" t="s">
        <v>474</v>
      </c>
      <c r="C100" t="s">
        <v>27</v>
      </c>
      <c r="D100" s="2" t="s">
        <v>549</v>
      </c>
      <c r="E100" s="2" t="s">
        <v>550</v>
      </c>
      <c r="F100" s="2" t="s">
        <v>551</v>
      </c>
      <c r="G100" s="2" t="s">
        <v>552</v>
      </c>
      <c r="H100" t="s">
        <v>553</v>
      </c>
      <c r="I100" t="s">
        <v>64</v>
      </c>
      <c r="J100" s="3">
        <v>0.8</v>
      </c>
      <c r="K100">
        <v>1</v>
      </c>
      <c r="L100">
        <v>0.99999999996666666</v>
      </c>
      <c r="M100">
        <v>0.78356277793455587</v>
      </c>
      <c r="N100">
        <v>0.36363636330578508</v>
      </c>
      <c r="O100">
        <v>0</v>
      </c>
      <c r="P100">
        <v>0.28025561571121221</v>
      </c>
      <c r="Q100">
        <v>0.22911196947097781</v>
      </c>
      <c r="R100">
        <v>0.32909449934959412</v>
      </c>
      <c r="S100">
        <v>1</v>
      </c>
      <c r="T100">
        <v>1</v>
      </c>
      <c r="U100">
        <v>13.13556337356567</v>
      </c>
      <c r="V100">
        <v>2337</v>
      </c>
      <c r="W100">
        <v>258</v>
      </c>
      <c r="X100">
        <v>2595</v>
      </c>
      <c r="Y100">
        <v>5</v>
      </c>
      <c r="Z100">
        <v>13.13556337356567</v>
      </c>
    </row>
    <row r="101" spans="1:26" ht="409.5" x14ac:dyDescent="0.25">
      <c r="A101">
        <v>100</v>
      </c>
      <c r="B101" t="s">
        <v>474</v>
      </c>
      <c r="C101" t="s">
        <v>27</v>
      </c>
      <c r="D101" s="2" t="s">
        <v>554</v>
      </c>
      <c r="E101" s="2" t="s">
        <v>555</v>
      </c>
      <c r="F101" s="2" t="s">
        <v>556</v>
      </c>
      <c r="G101" s="2" t="s">
        <v>557</v>
      </c>
      <c r="H101" t="s">
        <v>558</v>
      </c>
      <c r="I101" t="s">
        <v>64</v>
      </c>
      <c r="J101" s="5">
        <v>0.46153846153846162</v>
      </c>
      <c r="K101">
        <v>0</v>
      </c>
      <c r="L101">
        <v>0</v>
      </c>
      <c r="M101">
        <v>0.7876210340742521</v>
      </c>
      <c r="N101">
        <v>0.17647058813148789</v>
      </c>
      <c r="O101">
        <v>0</v>
      </c>
      <c r="P101">
        <v>0.27501183748245239</v>
      </c>
      <c r="Q101">
        <v>0.20705622434616089</v>
      </c>
      <c r="R101">
        <v>0.34136536717414862</v>
      </c>
      <c r="S101">
        <v>1</v>
      </c>
      <c r="T101">
        <v>1</v>
      </c>
      <c r="U101">
        <v>11.43424224853516</v>
      </c>
      <c r="V101">
        <v>2224</v>
      </c>
      <c r="W101">
        <v>250</v>
      </c>
      <c r="X101">
        <v>2474</v>
      </c>
      <c r="Y101">
        <v>5</v>
      </c>
      <c r="Z101">
        <v>11.43424224853516</v>
      </c>
    </row>
    <row r="102" spans="1:26" ht="409.5" x14ac:dyDescent="0.25">
      <c r="A102">
        <v>101</v>
      </c>
      <c r="B102" t="s">
        <v>474</v>
      </c>
      <c r="C102" t="s">
        <v>27</v>
      </c>
      <c r="D102" s="2" t="s">
        <v>559</v>
      </c>
      <c r="E102" s="2" t="s">
        <v>560</v>
      </c>
      <c r="F102" s="2" t="s">
        <v>561</v>
      </c>
      <c r="G102" s="2" t="s">
        <v>562</v>
      </c>
      <c r="H102" t="s">
        <v>563</v>
      </c>
      <c r="I102" t="s">
        <v>64</v>
      </c>
      <c r="J102" s="4">
        <v>0.625</v>
      </c>
      <c r="K102">
        <v>0</v>
      </c>
      <c r="L102">
        <v>0.99999999989999999</v>
      </c>
      <c r="M102">
        <v>0.72444411731993374</v>
      </c>
      <c r="N102">
        <v>0</v>
      </c>
      <c r="O102">
        <v>0.93925477634427845</v>
      </c>
      <c r="P102">
        <v>0.16804096102714541</v>
      </c>
      <c r="Q102">
        <v>0.1184627413749695</v>
      </c>
      <c r="R102">
        <v>0.2147679328918457</v>
      </c>
      <c r="S102">
        <v>0.5</v>
      </c>
      <c r="T102">
        <v>1</v>
      </c>
      <c r="U102">
        <v>10.6093635559082</v>
      </c>
      <c r="V102">
        <v>833</v>
      </c>
      <c r="W102">
        <v>36</v>
      </c>
      <c r="X102">
        <v>869</v>
      </c>
      <c r="Y102">
        <v>5</v>
      </c>
      <c r="Z102">
        <v>10.6093635559082</v>
      </c>
    </row>
    <row r="103" spans="1:26" ht="409.5" x14ac:dyDescent="0.25">
      <c r="A103">
        <v>102</v>
      </c>
      <c r="B103" t="s">
        <v>474</v>
      </c>
      <c r="C103" t="s">
        <v>70</v>
      </c>
      <c r="D103" s="2" t="s">
        <v>564</v>
      </c>
      <c r="E103" s="2" t="s">
        <v>565</v>
      </c>
      <c r="F103" s="2" t="s">
        <v>566</v>
      </c>
      <c r="G103" s="2" t="s">
        <v>567</v>
      </c>
      <c r="H103" t="s">
        <v>568</v>
      </c>
      <c r="I103" t="s">
        <v>64</v>
      </c>
      <c r="J103" s="3">
        <v>0.84615384615384615</v>
      </c>
      <c r="K103">
        <v>0.75</v>
      </c>
      <c r="L103">
        <v>0.88749999997781248</v>
      </c>
      <c r="M103">
        <v>0.88433715611717922</v>
      </c>
      <c r="N103">
        <v>0</v>
      </c>
      <c r="O103">
        <v>0.84344896311739892</v>
      </c>
      <c r="P103">
        <v>0.34012326598167419</v>
      </c>
      <c r="Q103">
        <v>0.38851726055145258</v>
      </c>
      <c r="R103">
        <v>0.28969317674636841</v>
      </c>
      <c r="S103">
        <v>1</v>
      </c>
      <c r="T103">
        <v>1</v>
      </c>
      <c r="U103">
        <v>19.64039063453674</v>
      </c>
      <c r="V103">
        <v>1975</v>
      </c>
      <c r="W103">
        <v>279</v>
      </c>
      <c r="X103">
        <v>2254</v>
      </c>
      <c r="Y103">
        <v>5</v>
      </c>
      <c r="Z103">
        <v>19.64039063453674</v>
      </c>
    </row>
    <row r="104" spans="1:26" ht="409.5" x14ac:dyDescent="0.25">
      <c r="A104">
        <v>103</v>
      </c>
      <c r="B104" t="s">
        <v>474</v>
      </c>
      <c r="C104" t="s">
        <v>27</v>
      </c>
      <c r="D104" s="2" t="s">
        <v>569</v>
      </c>
      <c r="E104" s="2" t="s">
        <v>570</v>
      </c>
      <c r="F104" s="2" t="s">
        <v>571</v>
      </c>
      <c r="G104" s="2" t="s">
        <v>572</v>
      </c>
      <c r="H104" t="s">
        <v>573</v>
      </c>
      <c r="I104" t="s">
        <v>307</v>
      </c>
      <c r="J104" s="5">
        <v>0.5</v>
      </c>
      <c r="K104">
        <v>0</v>
      </c>
      <c r="L104">
        <v>0</v>
      </c>
      <c r="M104">
        <v>0.89188003975341279</v>
      </c>
      <c r="N104">
        <v>0</v>
      </c>
      <c r="O104">
        <v>0.9616181275403568</v>
      </c>
      <c r="P104">
        <v>0.50460052490234375</v>
      </c>
      <c r="Q104">
        <v>0.42803391814231873</v>
      </c>
      <c r="R104">
        <v>0.58098691701889038</v>
      </c>
      <c r="S104">
        <v>0</v>
      </c>
      <c r="T104">
        <v>0</v>
      </c>
      <c r="U104">
        <v>8.079118013381958</v>
      </c>
      <c r="V104">
        <v>2290</v>
      </c>
      <c r="W104">
        <v>111</v>
      </c>
      <c r="X104">
        <v>2401</v>
      </c>
      <c r="Y104">
        <v>5</v>
      </c>
      <c r="Z104">
        <v>8.079118013381958</v>
      </c>
    </row>
    <row r="105" spans="1:26" ht="409.5" x14ac:dyDescent="0.25">
      <c r="A105">
        <v>104</v>
      </c>
      <c r="B105" t="s">
        <v>474</v>
      </c>
      <c r="C105" t="s">
        <v>27</v>
      </c>
      <c r="D105" s="2" t="s">
        <v>574</v>
      </c>
      <c r="E105" s="2" t="s">
        <v>575</v>
      </c>
      <c r="F105" s="2" t="s">
        <v>576</v>
      </c>
      <c r="G105" s="2" t="s">
        <v>572</v>
      </c>
      <c r="H105" t="s">
        <v>573</v>
      </c>
      <c r="I105" t="s">
        <v>307</v>
      </c>
      <c r="J105" s="5">
        <v>0</v>
      </c>
      <c r="K105">
        <v>0</v>
      </c>
      <c r="L105">
        <v>0</v>
      </c>
      <c r="M105">
        <v>0.95947917764822011</v>
      </c>
      <c r="N105">
        <v>0</v>
      </c>
      <c r="O105">
        <v>0.88401819367539414</v>
      </c>
      <c r="P105">
        <v>0.48778373003005981</v>
      </c>
      <c r="Q105">
        <v>0.42122578620910639</v>
      </c>
      <c r="R105">
        <v>0.553580641746521</v>
      </c>
      <c r="S105">
        <v>0</v>
      </c>
      <c r="T105">
        <v>0</v>
      </c>
      <c r="U105">
        <v>9.1435592174530029</v>
      </c>
      <c r="V105">
        <v>2290</v>
      </c>
      <c r="W105">
        <v>111</v>
      </c>
      <c r="X105">
        <v>2401</v>
      </c>
      <c r="Y105">
        <v>5</v>
      </c>
      <c r="Z105">
        <v>9.1435592174530029</v>
      </c>
    </row>
    <row r="106" spans="1:26" ht="409.5" x14ac:dyDescent="0.25">
      <c r="A106">
        <v>105</v>
      </c>
      <c r="B106" t="s">
        <v>474</v>
      </c>
      <c r="C106" t="s">
        <v>34</v>
      </c>
      <c r="D106" s="2" t="s">
        <v>577</v>
      </c>
      <c r="E106" s="2" t="s">
        <v>578</v>
      </c>
      <c r="F106" s="2" t="s">
        <v>579</v>
      </c>
      <c r="G106" s="2" t="s">
        <v>580</v>
      </c>
      <c r="H106" t="s">
        <v>581</v>
      </c>
      <c r="I106" t="s">
        <v>132</v>
      </c>
      <c r="J106" s="4">
        <v>0.77777777777777779</v>
      </c>
      <c r="K106">
        <v>0</v>
      </c>
      <c r="L106">
        <v>0</v>
      </c>
      <c r="M106">
        <v>0.49487193498454729</v>
      </c>
      <c r="N106">
        <v>0</v>
      </c>
      <c r="O106">
        <v>0.80228874093366154</v>
      </c>
      <c r="P106">
        <v>5.9045169502496719E-2</v>
      </c>
      <c r="Q106">
        <v>-5.9814909473061562E-3</v>
      </c>
      <c r="R106">
        <v>0.12140724062919619</v>
      </c>
      <c r="S106">
        <v>0</v>
      </c>
      <c r="T106">
        <v>0</v>
      </c>
      <c r="U106">
        <v>11.930235624313349</v>
      </c>
      <c r="V106">
        <v>2106</v>
      </c>
      <c r="W106">
        <v>242</v>
      </c>
      <c r="X106">
        <v>2348</v>
      </c>
      <c r="Y106">
        <v>5</v>
      </c>
      <c r="Z106">
        <v>11.930235624313349</v>
      </c>
    </row>
    <row r="107" spans="1:26" ht="409.5" x14ac:dyDescent="0.25">
      <c r="A107">
        <v>106</v>
      </c>
      <c r="B107" t="s">
        <v>474</v>
      </c>
      <c r="C107" t="s">
        <v>70</v>
      </c>
      <c r="D107" s="2" t="s">
        <v>582</v>
      </c>
      <c r="E107" s="2" t="s">
        <v>583</v>
      </c>
      <c r="F107" s="2" t="s">
        <v>584</v>
      </c>
      <c r="G107" s="2" t="s">
        <v>585</v>
      </c>
      <c r="H107" t="s">
        <v>586</v>
      </c>
      <c r="I107" t="s">
        <v>307</v>
      </c>
      <c r="J107" s="4">
        <v>0.75</v>
      </c>
      <c r="K107">
        <v>1</v>
      </c>
      <c r="L107">
        <v>0.41666666664583329</v>
      </c>
      <c r="M107">
        <v>0.75987960674536681</v>
      </c>
      <c r="N107">
        <v>0</v>
      </c>
      <c r="O107">
        <v>0.81075350589504702</v>
      </c>
      <c r="P107">
        <v>0.18906079232692721</v>
      </c>
      <c r="Q107">
        <v>0.18308538198471069</v>
      </c>
      <c r="R107">
        <v>0.19144000113010409</v>
      </c>
      <c r="S107">
        <v>0</v>
      </c>
      <c r="T107">
        <v>0</v>
      </c>
      <c r="U107">
        <v>10.02691435813904</v>
      </c>
      <c r="V107">
        <v>2112</v>
      </c>
      <c r="W107">
        <v>192</v>
      </c>
      <c r="X107">
        <v>2304</v>
      </c>
      <c r="Y107">
        <v>5</v>
      </c>
      <c r="Z107">
        <v>10.02691435813904</v>
      </c>
    </row>
    <row r="108" spans="1:26" ht="409.5" x14ac:dyDescent="0.25">
      <c r="A108">
        <v>107</v>
      </c>
      <c r="B108" t="s">
        <v>474</v>
      </c>
      <c r="C108" t="s">
        <v>27</v>
      </c>
      <c r="D108" s="2" t="s">
        <v>587</v>
      </c>
      <c r="E108" s="2" t="s">
        <v>588</v>
      </c>
      <c r="F108" s="2" t="s">
        <v>589</v>
      </c>
      <c r="G108" s="2" t="s">
        <v>590</v>
      </c>
      <c r="H108" t="s">
        <v>591</v>
      </c>
      <c r="I108" t="s">
        <v>40</v>
      </c>
      <c r="J108" s="3">
        <v>0.8</v>
      </c>
      <c r="K108">
        <v>1</v>
      </c>
      <c r="L108">
        <v>0.91666666663611107</v>
      </c>
      <c r="M108">
        <v>0.82234291136495097</v>
      </c>
      <c r="N108">
        <v>0.99999999666666672</v>
      </c>
      <c r="O108">
        <v>0.73035119047811181</v>
      </c>
      <c r="P108">
        <v>0.30175161361694341</v>
      </c>
      <c r="Q108">
        <v>0.12675538659095761</v>
      </c>
      <c r="R108">
        <v>0.48521110415458679</v>
      </c>
      <c r="S108">
        <v>0.5</v>
      </c>
      <c r="T108">
        <v>1</v>
      </c>
      <c r="U108">
        <v>20.734745740890499</v>
      </c>
      <c r="V108">
        <v>2303</v>
      </c>
      <c r="W108">
        <v>343</v>
      </c>
      <c r="X108">
        <v>2646</v>
      </c>
      <c r="Y108">
        <v>5</v>
      </c>
      <c r="Z108">
        <v>20.734745740890499</v>
      </c>
    </row>
    <row r="109" spans="1:26" ht="409.5" x14ac:dyDescent="0.25">
      <c r="A109">
        <v>108</v>
      </c>
      <c r="B109" t="s">
        <v>474</v>
      </c>
      <c r="C109" t="s">
        <v>34</v>
      </c>
      <c r="D109" s="2" t="s">
        <v>592</v>
      </c>
      <c r="E109" s="2" t="s">
        <v>593</v>
      </c>
      <c r="F109" s="2" t="s">
        <v>594</v>
      </c>
      <c r="G109" s="2" t="s">
        <v>595</v>
      </c>
      <c r="H109" t="s">
        <v>596</v>
      </c>
      <c r="I109" t="s">
        <v>597</v>
      </c>
      <c r="J109" s="5">
        <v>0.54545454545454541</v>
      </c>
      <c r="K109">
        <v>1</v>
      </c>
      <c r="L109">
        <v>0.99999999998</v>
      </c>
      <c r="M109">
        <v>0.67907379099097476</v>
      </c>
      <c r="N109">
        <v>0.28571428530612247</v>
      </c>
      <c r="O109">
        <v>0.80598371643153965</v>
      </c>
      <c r="P109">
        <v>0.2377205491065979</v>
      </c>
      <c r="Q109">
        <v>0.20929209887981409</v>
      </c>
      <c r="R109">
        <v>0.26301842927932739</v>
      </c>
      <c r="S109">
        <v>0</v>
      </c>
      <c r="T109">
        <v>0</v>
      </c>
      <c r="U109">
        <v>12.269369125366209</v>
      </c>
      <c r="V109">
        <v>2285</v>
      </c>
      <c r="W109">
        <v>228</v>
      </c>
      <c r="X109">
        <v>2513</v>
      </c>
      <c r="Y109">
        <v>5</v>
      </c>
      <c r="Z109">
        <v>12.269369125366209</v>
      </c>
    </row>
    <row r="110" spans="1:26" ht="409.5" x14ac:dyDescent="0.25">
      <c r="A110">
        <v>109</v>
      </c>
      <c r="B110" t="s">
        <v>474</v>
      </c>
      <c r="C110" t="s">
        <v>27</v>
      </c>
      <c r="D110" s="2" t="s">
        <v>598</v>
      </c>
      <c r="E110" s="2" t="s">
        <v>599</v>
      </c>
      <c r="F110" s="2" t="s">
        <v>600</v>
      </c>
      <c r="G110" s="2" t="s">
        <v>601</v>
      </c>
      <c r="H110" t="s">
        <v>602</v>
      </c>
      <c r="I110" t="s">
        <v>64</v>
      </c>
      <c r="J110" s="5">
        <v>0.5</v>
      </c>
      <c r="K110">
        <v>0.5</v>
      </c>
      <c r="L110">
        <v>0.99999999998</v>
      </c>
      <c r="M110">
        <v>0.88257117170265609</v>
      </c>
      <c r="N110">
        <v>0</v>
      </c>
      <c r="O110">
        <v>0.93663346268747227</v>
      </c>
      <c r="P110">
        <v>0.56564438343048096</v>
      </c>
      <c r="Q110">
        <v>0.62437582015991211</v>
      </c>
      <c r="R110">
        <v>0.50620776414871216</v>
      </c>
      <c r="S110">
        <v>0</v>
      </c>
      <c r="T110">
        <v>0</v>
      </c>
      <c r="U110">
        <v>8.6660101413726807</v>
      </c>
      <c r="V110">
        <v>2373</v>
      </c>
      <c r="W110">
        <v>146</v>
      </c>
      <c r="X110">
        <v>2519</v>
      </c>
      <c r="Y110">
        <v>5</v>
      </c>
      <c r="Z110">
        <v>8.6660101413726807</v>
      </c>
    </row>
    <row r="111" spans="1:26" ht="409.5" x14ac:dyDescent="0.25">
      <c r="A111">
        <v>110</v>
      </c>
      <c r="B111" t="s">
        <v>474</v>
      </c>
      <c r="C111" t="s">
        <v>70</v>
      </c>
      <c r="D111" s="2" t="s">
        <v>603</v>
      </c>
      <c r="E111" s="2" t="s">
        <v>604</v>
      </c>
      <c r="F111" s="2" t="s">
        <v>605</v>
      </c>
      <c r="G111" s="2" t="s">
        <v>606</v>
      </c>
      <c r="H111" t="s">
        <v>607</v>
      </c>
      <c r="I111" t="s">
        <v>64</v>
      </c>
      <c r="J111" s="3">
        <v>0.81818181818181823</v>
      </c>
      <c r="K111">
        <v>0.75</v>
      </c>
      <c r="L111">
        <v>0.99999999995</v>
      </c>
      <c r="M111">
        <v>0.79638127920933033</v>
      </c>
      <c r="N111">
        <v>0.10526315783933519</v>
      </c>
      <c r="O111">
        <v>0</v>
      </c>
      <c r="P111">
        <v>0.1765894144773483</v>
      </c>
      <c r="Q111">
        <v>0.1652985215187073</v>
      </c>
      <c r="R111">
        <v>0.18425215780735019</v>
      </c>
      <c r="S111">
        <v>0</v>
      </c>
      <c r="T111">
        <v>0</v>
      </c>
      <c r="U111">
        <v>11.97834372520447</v>
      </c>
      <c r="V111">
        <v>2158</v>
      </c>
      <c r="W111">
        <v>231</v>
      </c>
      <c r="X111">
        <v>2389</v>
      </c>
      <c r="Y111">
        <v>5</v>
      </c>
      <c r="Z111">
        <v>11.97834372520447</v>
      </c>
    </row>
    <row r="112" spans="1:26" ht="409.5" x14ac:dyDescent="0.25">
      <c r="A112">
        <v>111</v>
      </c>
      <c r="B112" t="s">
        <v>474</v>
      </c>
      <c r="C112" t="s">
        <v>34</v>
      </c>
      <c r="D112" s="2" t="s">
        <v>608</v>
      </c>
      <c r="E112" s="2" t="s">
        <v>609</v>
      </c>
      <c r="F112" s="2" t="s">
        <v>610</v>
      </c>
      <c r="G112" s="2" t="s">
        <v>611</v>
      </c>
      <c r="H112" t="s">
        <v>612</v>
      </c>
      <c r="I112" t="s">
        <v>40</v>
      </c>
      <c r="J112" s="3">
        <v>1</v>
      </c>
      <c r="K112">
        <v>1</v>
      </c>
      <c r="L112">
        <v>0.63888888886759254</v>
      </c>
      <c r="M112">
        <v>0.82203680032431237</v>
      </c>
      <c r="N112">
        <v>0.33333333222222222</v>
      </c>
      <c r="O112">
        <v>0.96582514106336048</v>
      </c>
      <c r="P112">
        <v>0.52269679307937622</v>
      </c>
      <c r="Q112">
        <v>0.32967883348464971</v>
      </c>
      <c r="R112">
        <v>0.72728186845779419</v>
      </c>
      <c r="S112">
        <v>0.33333333333333331</v>
      </c>
      <c r="T112">
        <v>1</v>
      </c>
      <c r="U112">
        <v>8.0509190559387207</v>
      </c>
      <c r="V112">
        <v>2265</v>
      </c>
      <c r="W112">
        <v>114</v>
      </c>
      <c r="X112">
        <v>2379</v>
      </c>
      <c r="Y112">
        <v>5</v>
      </c>
      <c r="Z112">
        <v>8.0509190559387207</v>
      </c>
    </row>
    <row r="113" spans="1:26" ht="409.5" x14ac:dyDescent="0.25">
      <c r="A113">
        <v>112</v>
      </c>
      <c r="B113" t="s">
        <v>474</v>
      </c>
      <c r="C113" t="s">
        <v>70</v>
      </c>
      <c r="D113" s="2" t="s">
        <v>613</v>
      </c>
      <c r="E113" s="2" t="s">
        <v>614</v>
      </c>
      <c r="F113" s="2" t="s">
        <v>615</v>
      </c>
      <c r="G113" s="2" t="s">
        <v>616</v>
      </c>
      <c r="H113" t="s">
        <v>617</v>
      </c>
      <c r="I113" t="s">
        <v>618</v>
      </c>
      <c r="J113" s="3">
        <v>0.8</v>
      </c>
      <c r="K113">
        <v>0.66666666666666663</v>
      </c>
      <c r="L113">
        <v>0</v>
      </c>
      <c r="M113">
        <v>0.72992130503344188</v>
      </c>
      <c r="N113">
        <v>7.6923076863905315E-2</v>
      </c>
      <c r="O113">
        <v>0.89533606566982149</v>
      </c>
      <c r="P113">
        <v>0.20780929923057559</v>
      </c>
      <c r="Q113">
        <v>0.22731481492519379</v>
      </c>
      <c r="R113">
        <v>0.18495771288871771</v>
      </c>
      <c r="S113">
        <v>0</v>
      </c>
      <c r="T113">
        <v>0</v>
      </c>
      <c r="U113">
        <v>17.922158718109131</v>
      </c>
      <c r="V113">
        <v>2139</v>
      </c>
      <c r="W113">
        <v>160</v>
      </c>
      <c r="X113">
        <v>2299</v>
      </c>
      <c r="Y113">
        <v>5</v>
      </c>
      <c r="Z113">
        <v>17.922158718109131</v>
      </c>
    </row>
    <row r="114" spans="1:26" ht="409.5" x14ac:dyDescent="0.25">
      <c r="A114">
        <v>113</v>
      </c>
      <c r="B114" t="s">
        <v>474</v>
      </c>
      <c r="C114" t="s">
        <v>70</v>
      </c>
      <c r="D114" s="2" t="s">
        <v>619</v>
      </c>
      <c r="E114" s="2" t="s">
        <v>620</v>
      </c>
      <c r="F114" s="2" t="s">
        <v>621</v>
      </c>
      <c r="G114" s="2" t="s">
        <v>622</v>
      </c>
      <c r="H114" t="s">
        <v>623</v>
      </c>
      <c r="I114" t="s">
        <v>64</v>
      </c>
      <c r="J114" s="3">
        <v>1</v>
      </c>
      <c r="K114">
        <v>1</v>
      </c>
      <c r="L114">
        <v>0.99999999995</v>
      </c>
      <c r="M114">
        <v>0.87621659116119144</v>
      </c>
      <c r="N114">
        <v>0.39999999920000001</v>
      </c>
      <c r="O114">
        <v>0.97558496853441146</v>
      </c>
      <c r="P114">
        <v>0.3809608519077301</v>
      </c>
      <c r="Q114">
        <v>0.20732954144477839</v>
      </c>
      <c r="R114">
        <v>0.56307202577590942</v>
      </c>
      <c r="S114">
        <v>1</v>
      </c>
      <c r="T114">
        <v>1</v>
      </c>
      <c r="U114">
        <v>12.533671617507929</v>
      </c>
      <c r="V114">
        <v>2276</v>
      </c>
      <c r="W114">
        <v>284</v>
      </c>
      <c r="X114">
        <v>2560</v>
      </c>
      <c r="Y114">
        <v>5</v>
      </c>
      <c r="Z114">
        <v>12.533671617507929</v>
      </c>
    </row>
    <row r="115" spans="1:26" ht="409.5" x14ac:dyDescent="0.25">
      <c r="A115">
        <v>114</v>
      </c>
      <c r="B115" t="s">
        <v>474</v>
      </c>
      <c r="C115" t="s">
        <v>34</v>
      </c>
      <c r="D115" s="2" t="s">
        <v>624</v>
      </c>
      <c r="E115" s="2" t="s">
        <v>625</v>
      </c>
      <c r="F115" s="2" t="s">
        <v>626</v>
      </c>
      <c r="G115" s="2" t="s">
        <v>627</v>
      </c>
      <c r="H115" t="s">
        <v>628</v>
      </c>
      <c r="I115" t="s">
        <v>46</v>
      </c>
      <c r="J115" s="5">
        <v>0.5</v>
      </c>
      <c r="K115">
        <v>0</v>
      </c>
      <c r="L115">
        <v>0</v>
      </c>
      <c r="M115">
        <v>0.6315812452241123</v>
      </c>
      <c r="N115">
        <v>0.249999999375</v>
      </c>
      <c r="O115">
        <v>0.9167919526278322</v>
      </c>
      <c r="P115">
        <v>0.25671103596687322</v>
      </c>
      <c r="Q115">
        <v>7.6861917972564697E-2</v>
      </c>
      <c r="R115">
        <v>0.44559738039970398</v>
      </c>
      <c r="S115">
        <v>0</v>
      </c>
      <c r="T115">
        <v>0</v>
      </c>
      <c r="U115">
        <v>8.0324621200561523</v>
      </c>
      <c r="V115">
        <v>2358</v>
      </c>
      <c r="W115">
        <v>113</v>
      </c>
      <c r="X115">
        <v>2471</v>
      </c>
      <c r="Y115">
        <v>5</v>
      </c>
      <c r="Z115">
        <v>8.0324621200561523</v>
      </c>
    </row>
    <row r="116" spans="1:26" ht="409.5" x14ac:dyDescent="0.25">
      <c r="A116">
        <v>115</v>
      </c>
      <c r="B116" t="s">
        <v>474</v>
      </c>
      <c r="C116" t="s">
        <v>27</v>
      </c>
      <c r="D116" s="2" t="s">
        <v>629</v>
      </c>
      <c r="E116" s="2" t="s">
        <v>630</v>
      </c>
      <c r="F116" s="2" t="s">
        <v>631</v>
      </c>
      <c r="G116" s="2" t="s">
        <v>632</v>
      </c>
      <c r="H116" t="s">
        <v>633</v>
      </c>
      <c r="I116" t="s">
        <v>307</v>
      </c>
      <c r="J116" s="3">
        <v>1</v>
      </c>
      <c r="K116">
        <v>1</v>
      </c>
      <c r="L116">
        <v>0.99999999989999999</v>
      </c>
      <c r="M116">
        <v>0.88874975923695976</v>
      </c>
      <c r="N116">
        <v>0.1111111109876543</v>
      </c>
      <c r="O116">
        <v>0.7978920020219159</v>
      </c>
      <c r="P116">
        <v>0.43611416220664978</v>
      </c>
      <c r="Q116">
        <v>0.36561411619186401</v>
      </c>
      <c r="R116">
        <v>0.5058247447013855</v>
      </c>
      <c r="S116">
        <v>1</v>
      </c>
      <c r="T116">
        <v>1</v>
      </c>
      <c r="U116">
        <v>10.13855648040771</v>
      </c>
      <c r="V116">
        <v>2342</v>
      </c>
      <c r="W116">
        <v>189</v>
      </c>
      <c r="X116">
        <v>2531</v>
      </c>
      <c r="Y116">
        <v>5</v>
      </c>
      <c r="Z116">
        <v>10.13855648040771</v>
      </c>
    </row>
    <row r="117" spans="1:26" ht="409.5" x14ac:dyDescent="0.25">
      <c r="A117">
        <v>116</v>
      </c>
      <c r="B117" t="s">
        <v>474</v>
      </c>
      <c r="C117" t="s">
        <v>27</v>
      </c>
      <c r="D117" s="2" t="s">
        <v>634</v>
      </c>
      <c r="E117" s="2" t="s">
        <v>635</v>
      </c>
      <c r="F117" s="2" t="s">
        <v>636</v>
      </c>
      <c r="G117" s="2" t="s">
        <v>637</v>
      </c>
      <c r="H117" t="s">
        <v>638</v>
      </c>
      <c r="I117" t="s">
        <v>64</v>
      </c>
      <c r="J117" s="5">
        <v>6.6666666666666666E-2</v>
      </c>
      <c r="K117">
        <v>0</v>
      </c>
      <c r="L117">
        <v>0</v>
      </c>
      <c r="M117">
        <v>0.77032110685190824</v>
      </c>
      <c r="N117">
        <v>0</v>
      </c>
      <c r="O117">
        <v>0</v>
      </c>
      <c r="P117">
        <v>7.3790833353996277E-2</v>
      </c>
      <c r="Q117">
        <v>2.6263821870088581E-2</v>
      </c>
      <c r="R117">
        <v>0.1179829388856888</v>
      </c>
      <c r="S117">
        <v>0</v>
      </c>
      <c r="T117">
        <v>0</v>
      </c>
      <c r="U117">
        <v>15.07934999465942</v>
      </c>
      <c r="V117">
        <v>2309</v>
      </c>
      <c r="W117">
        <v>367</v>
      </c>
      <c r="X117">
        <v>2676</v>
      </c>
      <c r="Y117">
        <v>5</v>
      </c>
      <c r="Z117">
        <v>15.07934999465942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8"/>
  <sheetViews>
    <sheetView tabSelected="1" workbookViewId="0">
      <selection activeCell="D14" sqref="D14"/>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s>
  <sheetData>
    <row r="1" spans="1:4" ht="18.75" x14ac:dyDescent="0.3">
      <c r="A1" s="10" t="s">
        <v>639</v>
      </c>
      <c r="B1" s="11"/>
      <c r="C1" s="11"/>
      <c r="D1" s="11"/>
    </row>
    <row r="3" spans="1:4" ht="15.75" x14ac:dyDescent="0.25">
      <c r="A3" s="6" t="s">
        <v>640</v>
      </c>
    </row>
    <row r="4" spans="1:4" x14ac:dyDescent="0.25">
      <c r="A4" t="s">
        <v>9</v>
      </c>
      <c r="B4" s="4">
        <v>0.66936233067698581</v>
      </c>
    </row>
    <row r="5" spans="1:4" x14ac:dyDescent="0.25">
      <c r="A5" t="s">
        <v>10</v>
      </c>
      <c r="B5" s="4">
        <v>0.65504926108374384</v>
      </c>
    </row>
    <row r="6" spans="1:4" x14ac:dyDescent="0.25">
      <c r="A6" t="s">
        <v>11</v>
      </c>
      <c r="B6" s="4">
        <v>0.60202346740651802</v>
      </c>
    </row>
    <row r="7" spans="1:4" x14ac:dyDescent="0.25">
      <c r="A7" t="s">
        <v>12</v>
      </c>
      <c r="B7" s="4">
        <v>0.77266715225317173</v>
      </c>
    </row>
    <row r="8" spans="1:4" x14ac:dyDescent="0.25">
      <c r="A8" t="s">
        <v>13</v>
      </c>
      <c r="B8" s="5">
        <v>0.26607588900293039</v>
      </c>
    </row>
    <row r="9" spans="1:4" x14ac:dyDescent="0.25">
      <c r="A9" t="s">
        <v>14</v>
      </c>
      <c r="B9" s="4">
        <v>0.65048744930491142</v>
      </c>
    </row>
    <row r="10" spans="1:4" x14ac:dyDescent="0.25">
      <c r="A10" t="s">
        <v>641</v>
      </c>
      <c r="B10" s="5">
        <v>0.25812369585037231</v>
      </c>
    </row>
    <row r="11" spans="1:4" x14ac:dyDescent="0.25">
      <c r="A11" t="s">
        <v>642</v>
      </c>
      <c r="B11" s="5">
        <v>0.2025190740823746</v>
      </c>
    </row>
    <row r="12" spans="1:4" x14ac:dyDescent="0.25">
      <c r="A12" t="s">
        <v>643</v>
      </c>
      <c r="B12" s="5">
        <v>0.31497648358345032</v>
      </c>
    </row>
    <row r="13" spans="1:4" x14ac:dyDescent="0.25">
      <c r="A13" t="s">
        <v>644</v>
      </c>
      <c r="B13" s="5">
        <v>0.3718390804597701</v>
      </c>
      <c r="C13">
        <f>AVERAGE('Detaillierte Ergebnisse'!S2:S117)</f>
        <v>0.37356321839080464</v>
      </c>
      <c r="D13" t="s">
        <v>666</v>
      </c>
    </row>
    <row r="14" spans="1:4" x14ac:dyDescent="0.25">
      <c r="A14" t="s">
        <v>645</v>
      </c>
      <c r="B14" s="5">
        <v>0.50862068965517238</v>
      </c>
      <c r="C14">
        <f>AVERAGE('Detaillierte Ergebnisse'!T2:T117)</f>
        <v>0.51724137931034486</v>
      </c>
      <c r="D14" t="s">
        <v>666</v>
      </c>
    </row>
    <row r="15" spans="1:4" x14ac:dyDescent="0.25">
      <c r="A15" t="s">
        <v>20</v>
      </c>
      <c r="B15" s="7">
        <v>11.864161242698801</v>
      </c>
    </row>
    <row r="16" spans="1:4" x14ac:dyDescent="0.25">
      <c r="A16" t="s">
        <v>646</v>
      </c>
      <c r="B16" s="8">
        <v>2108.3362068965521</v>
      </c>
    </row>
    <row r="17" spans="1:16" x14ac:dyDescent="0.25">
      <c r="A17" t="s">
        <v>647</v>
      </c>
      <c r="B17" s="8">
        <v>209.72413793103451</v>
      </c>
    </row>
    <row r="18" spans="1:16" x14ac:dyDescent="0.25">
      <c r="A18" t="s">
        <v>648</v>
      </c>
      <c r="B18" s="8">
        <v>2318.0603448275861</v>
      </c>
    </row>
    <row r="21" spans="1:16" ht="15.75" x14ac:dyDescent="0.25">
      <c r="A21" s="6" t="s">
        <v>649</v>
      </c>
    </row>
    <row r="22" spans="1:16" x14ac:dyDescent="0.25">
      <c r="A22" s="9" t="s">
        <v>650</v>
      </c>
      <c r="B22" s="9" t="s">
        <v>651</v>
      </c>
      <c r="C22" s="9" t="s">
        <v>652</v>
      </c>
      <c r="D22" s="9" t="s">
        <v>653</v>
      </c>
      <c r="E22" s="9" t="s">
        <v>654</v>
      </c>
      <c r="F22" s="9" t="s">
        <v>655</v>
      </c>
      <c r="G22" s="9" t="s">
        <v>656</v>
      </c>
      <c r="H22" s="9" t="s">
        <v>641</v>
      </c>
      <c r="I22" s="9" t="s">
        <v>642</v>
      </c>
      <c r="J22" s="9" t="s">
        <v>643</v>
      </c>
      <c r="K22" s="9" t="s">
        <v>644</v>
      </c>
      <c r="L22" s="9" t="s">
        <v>645</v>
      </c>
      <c r="M22" s="9" t="s">
        <v>657</v>
      </c>
      <c r="N22" s="9" t="s">
        <v>658</v>
      </c>
      <c r="O22" s="9" t="s">
        <v>659</v>
      </c>
      <c r="P22" s="9" t="s">
        <v>660</v>
      </c>
    </row>
    <row r="23" spans="1:16" x14ac:dyDescent="0.25">
      <c r="A23" t="s">
        <v>26</v>
      </c>
      <c r="B23" s="7">
        <v>0.57253487253487256</v>
      </c>
      <c r="C23" s="7">
        <v>0.51388888888888884</v>
      </c>
      <c r="D23" s="7">
        <v>0.35960648146283081</v>
      </c>
      <c r="E23" s="7">
        <v>0.71240047306648957</v>
      </c>
      <c r="F23" s="7">
        <v>0.23492063383284051</v>
      </c>
      <c r="G23" s="7">
        <v>0.65350379147537607</v>
      </c>
      <c r="H23" s="7">
        <v>0.17339968681335449</v>
      </c>
      <c r="I23" s="7">
        <v>0.107539139688015</v>
      </c>
      <c r="J23" s="7">
        <v>0.23921847343444819</v>
      </c>
      <c r="K23" s="7">
        <v>0.12083333333333331</v>
      </c>
      <c r="L23" s="7">
        <v>0.25</v>
      </c>
      <c r="M23" s="7">
        <v>14.93767180045446</v>
      </c>
      <c r="N23" s="8">
        <v>2177.833333333333</v>
      </c>
      <c r="O23" s="8">
        <v>259.5</v>
      </c>
      <c r="P23" s="8">
        <v>2437.333333333333</v>
      </c>
    </row>
    <row r="24" spans="1:16" x14ac:dyDescent="0.25">
      <c r="A24" t="s">
        <v>116</v>
      </c>
      <c r="B24" s="7">
        <v>0.72530864197530864</v>
      </c>
      <c r="C24" s="7">
        <v>0.62962962962962954</v>
      </c>
      <c r="D24" s="7">
        <v>0.45231481479650071</v>
      </c>
      <c r="E24" s="7">
        <v>0.82160999728238293</v>
      </c>
      <c r="F24" s="7">
        <v>0.4276895936436102</v>
      </c>
      <c r="G24" s="7">
        <v>0.71025163540505076</v>
      </c>
      <c r="H24" s="7">
        <v>0.31499215960502619</v>
      </c>
      <c r="I24" s="7">
        <v>0.16983677446842191</v>
      </c>
      <c r="J24" s="7">
        <v>0.46625646948814392</v>
      </c>
      <c r="K24" s="7">
        <v>0.55555555555555558</v>
      </c>
      <c r="L24" s="7">
        <v>0.66666666666666663</v>
      </c>
      <c r="M24" s="7">
        <v>11.17720588048299</v>
      </c>
      <c r="N24" s="8">
        <v>2043.1111111111111</v>
      </c>
      <c r="O24" s="8">
        <v>194.88888888888891</v>
      </c>
      <c r="P24" s="8">
        <v>2238</v>
      </c>
    </row>
    <row r="25" spans="1:16" x14ac:dyDescent="0.25">
      <c r="A25" t="s">
        <v>324</v>
      </c>
      <c r="B25" s="7">
        <v>0.49852564102564101</v>
      </c>
      <c r="C25" s="7">
        <v>0.49682539682539678</v>
      </c>
      <c r="D25" s="7">
        <v>0.43953703701723068</v>
      </c>
      <c r="E25" s="7">
        <v>0.78250098976293725</v>
      </c>
      <c r="F25" s="7">
        <v>0.3312931030573969</v>
      </c>
      <c r="G25" s="7">
        <v>0.35417589837469099</v>
      </c>
      <c r="H25" s="7">
        <v>0.2171108424663544</v>
      </c>
      <c r="I25" s="7">
        <v>0.25540235638618469</v>
      </c>
      <c r="J25" s="7">
        <v>0.17706608772277829</v>
      </c>
      <c r="K25" s="7">
        <v>0.33555555555555561</v>
      </c>
      <c r="L25" s="7">
        <v>0.46666666666666667</v>
      </c>
      <c r="M25" s="7">
        <v>10.4111955165863</v>
      </c>
      <c r="N25" s="8">
        <v>1941.4666666666669</v>
      </c>
      <c r="O25" s="8">
        <v>158.6</v>
      </c>
      <c r="P25" s="8">
        <v>2100.0666666666671</v>
      </c>
    </row>
    <row r="26" spans="1:16" x14ac:dyDescent="0.25">
      <c r="A26" t="s">
        <v>280</v>
      </c>
      <c r="B26" s="7">
        <v>0.81728715728715728</v>
      </c>
      <c r="C26" s="7">
        <v>1</v>
      </c>
      <c r="D26" s="7">
        <v>0.90083333329064585</v>
      </c>
      <c r="E26" s="7">
        <v>0.81015191926521157</v>
      </c>
      <c r="F26" s="7">
        <v>0.2554901958457737</v>
      </c>
      <c r="G26" s="7">
        <v>0.74297371006946655</v>
      </c>
      <c r="H26" s="7">
        <v>0.2271030247211456</v>
      </c>
      <c r="I26" s="7">
        <v>0.18392291665077209</v>
      </c>
      <c r="J26" s="7">
        <v>0.2679017186164856</v>
      </c>
      <c r="K26" s="7">
        <v>0.8</v>
      </c>
      <c r="L26" s="7">
        <v>1</v>
      </c>
      <c r="M26" s="7">
        <v>12.665593910217289</v>
      </c>
      <c r="N26" s="8">
        <v>2082.8000000000002</v>
      </c>
      <c r="O26" s="8">
        <v>268</v>
      </c>
      <c r="P26" s="8">
        <v>2350.8000000000002</v>
      </c>
    </row>
    <row r="27" spans="1:16" x14ac:dyDescent="0.25">
      <c r="A27" t="s">
        <v>158</v>
      </c>
      <c r="B27" s="7">
        <v>0.59722222222222221</v>
      </c>
      <c r="C27" s="7">
        <v>0.66666666666666663</v>
      </c>
      <c r="D27" s="7">
        <v>0.42777777775638892</v>
      </c>
      <c r="E27" s="7">
        <v>0.77620199772094789</v>
      </c>
      <c r="F27" s="7">
        <v>0.22222222185185181</v>
      </c>
      <c r="G27" s="7">
        <v>0.86199074219811411</v>
      </c>
      <c r="H27" s="7">
        <v>0.38626909255981451</v>
      </c>
      <c r="I27" s="7">
        <v>0.23432457447051999</v>
      </c>
      <c r="J27" s="7">
        <v>0.54801154136657715</v>
      </c>
      <c r="K27" s="7">
        <v>0</v>
      </c>
      <c r="L27" s="7">
        <v>0</v>
      </c>
      <c r="M27" s="7">
        <v>10.120787382125849</v>
      </c>
      <c r="N27" s="8">
        <v>2196.666666666667</v>
      </c>
      <c r="O27" s="8">
        <v>182</v>
      </c>
      <c r="P27" s="8">
        <v>2378.666666666667</v>
      </c>
    </row>
    <row r="28" spans="1:16" x14ac:dyDescent="0.25">
      <c r="A28" t="s">
        <v>76</v>
      </c>
      <c r="B28" s="7">
        <v>0.82460317460317456</v>
      </c>
      <c r="C28" s="7">
        <v>0.8571428571428571</v>
      </c>
      <c r="D28" s="7">
        <v>0.7142857142557143</v>
      </c>
      <c r="E28" s="7">
        <v>0.7598290319305675</v>
      </c>
      <c r="F28" s="7">
        <v>0.24251700642448171</v>
      </c>
      <c r="G28" s="7">
        <v>0.66880074192073591</v>
      </c>
      <c r="H28" s="7">
        <v>0.35008960962295532</v>
      </c>
      <c r="I28" s="7">
        <v>0.28808119893074041</v>
      </c>
      <c r="J28" s="7">
        <v>0.41441172361373901</v>
      </c>
      <c r="K28" s="7">
        <v>0.35714285714285721</v>
      </c>
      <c r="L28" s="7">
        <v>0.42857142857142849</v>
      </c>
      <c r="M28" s="7">
        <v>9.490159784044538</v>
      </c>
      <c r="N28" s="8">
        <v>2251.571428571428</v>
      </c>
      <c r="O28" s="8">
        <v>160.14285714285711</v>
      </c>
      <c r="P28" s="8">
        <v>2411.7142857142858</v>
      </c>
    </row>
    <row r="29" spans="1:16" x14ac:dyDescent="0.25">
      <c r="A29" t="s">
        <v>474</v>
      </c>
      <c r="B29" s="7">
        <v>0.6579634774947275</v>
      </c>
      <c r="C29" s="7">
        <v>0.59739583333333335</v>
      </c>
      <c r="D29" s="7">
        <v>0.60772569441885915</v>
      </c>
      <c r="E29" s="7">
        <v>0.77773532076047625</v>
      </c>
      <c r="F29" s="7">
        <v>0.1785893100165015</v>
      </c>
      <c r="G29" s="7">
        <v>0.72269529226945028</v>
      </c>
      <c r="H29" s="7">
        <v>0.27620857954025269</v>
      </c>
      <c r="I29" s="7">
        <v>0.20534661412239069</v>
      </c>
      <c r="J29" s="7">
        <v>0.34798884391784668</v>
      </c>
      <c r="K29" s="7">
        <v>0.35416666666666657</v>
      </c>
      <c r="L29" s="7">
        <v>0.5</v>
      </c>
      <c r="M29" s="7">
        <v>12.77023068070412</v>
      </c>
      <c r="N29" s="8">
        <v>2144.34375</v>
      </c>
      <c r="O29" s="8">
        <v>230.65625</v>
      </c>
      <c r="P29" s="8">
        <v>2375</v>
      </c>
    </row>
    <row r="30" spans="1:16" x14ac:dyDescent="0.25">
      <c r="A30" t="s">
        <v>133</v>
      </c>
      <c r="B30" s="7">
        <v>0.77253828043301742</v>
      </c>
      <c r="C30" s="7">
        <v>0.84210526315789469</v>
      </c>
      <c r="D30" s="7">
        <v>0.85767543856330952</v>
      </c>
      <c r="E30" s="7">
        <v>0.78338762268168494</v>
      </c>
      <c r="F30" s="7">
        <v>0.32791874622945311</v>
      </c>
      <c r="G30" s="7">
        <v>0.59037486497979774</v>
      </c>
      <c r="H30" s="7">
        <v>0.25814399123191828</v>
      </c>
      <c r="I30" s="7">
        <v>0.2409783601760864</v>
      </c>
      <c r="J30" s="7">
        <v>0.27627062797546392</v>
      </c>
      <c r="K30" s="7">
        <v>0.5307017543859649</v>
      </c>
      <c r="L30" s="7">
        <v>0.68421052631578949</v>
      </c>
      <c r="M30" s="7">
        <v>11.14884064072057</v>
      </c>
      <c r="N30" s="8">
        <v>2116.947368421052</v>
      </c>
      <c r="O30" s="8">
        <v>187.21052631578951</v>
      </c>
      <c r="P30" s="8">
        <v>2304.1578947368421</v>
      </c>
    </row>
    <row r="31" spans="1:16" x14ac:dyDescent="0.25">
      <c r="A31" t="s">
        <v>194</v>
      </c>
      <c r="B31" s="7">
        <v>0.67046901511187229</v>
      </c>
      <c r="C31" s="7">
        <v>0.61309523809523814</v>
      </c>
      <c r="D31" s="7">
        <v>0.59464285711117071</v>
      </c>
      <c r="E31" s="7">
        <v>0.7484653753067434</v>
      </c>
      <c r="F31" s="7">
        <v>0.26000727436063908</v>
      </c>
      <c r="G31" s="7">
        <v>0.75598411926957187</v>
      </c>
      <c r="H31" s="7">
        <v>0.23440015316009519</v>
      </c>
      <c r="I31" s="7">
        <v>0.1466669887304306</v>
      </c>
      <c r="J31" s="7">
        <v>0.32465311884880071</v>
      </c>
      <c r="K31" s="7">
        <v>0.26666666666666672</v>
      </c>
      <c r="L31" s="7">
        <v>0.42857142857142849</v>
      </c>
      <c r="M31" s="7">
        <v>11.402218052319119</v>
      </c>
      <c r="N31" s="8">
        <v>2094.071428571428</v>
      </c>
      <c r="O31" s="8">
        <v>224</v>
      </c>
      <c r="P31" s="8">
        <v>2318.071428571428</v>
      </c>
    </row>
    <row r="34" spans="1:16" ht="15.75" x14ac:dyDescent="0.25">
      <c r="A34" s="6" t="s">
        <v>661</v>
      </c>
    </row>
    <row r="35" spans="1:16" x14ac:dyDescent="0.25">
      <c r="A35" s="9" t="s">
        <v>662</v>
      </c>
      <c r="B35" s="9" t="s">
        <v>651</v>
      </c>
      <c r="C35" s="9" t="s">
        <v>652</v>
      </c>
      <c r="D35" s="9" t="s">
        <v>653</v>
      </c>
      <c r="E35" s="9" t="s">
        <v>654</v>
      </c>
      <c r="F35" s="9" t="s">
        <v>655</v>
      </c>
      <c r="G35" s="9" t="s">
        <v>656</v>
      </c>
      <c r="H35" s="9" t="s">
        <v>641</v>
      </c>
      <c r="I35" s="9" t="s">
        <v>642</v>
      </c>
      <c r="J35" s="9" t="s">
        <v>643</v>
      </c>
      <c r="K35" s="9" t="s">
        <v>644</v>
      </c>
      <c r="L35" s="9" t="s">
        <v>645</v>
      </c>
      <c r="M35" s="9" t="s">
        <v>657</v>
      </c>
      <c r="N35" s="9" t="s">
        <v>658</v>
      </c>
      <c r="O35" s="9" t="s">
        <v>659</v>
      </c>
      <c r="P35" s="9" t="s">
        <v>660</v>
      </c>
    </row>
    <row r="36" spans="1:16" x14ac:dyDescent="0.25">
      <c r="A36" t="s">
        <v>663</v>
      </c>
      <c r="B36" s="7">
        <v>0.71584896584896585</v>
      </c>
      <c r="C36" s="7">
        <v>0.77272727272727271</v>
      </c>
      <c r="D36" s="7">
        <v>0.63880471377929571</v>
      </c>
      <c r="E36" s="7">
        <v>0.74801409581932266</v>
      </c>
      <c r="F36" s="7">
        <v>0.31542808921514148</v>
      </c>
      <c r="G36" s="7">
        <v>0.74811564285990373</v>
      </c>
      <c r="H36" s="7">
        <v>0.31257161498069758</v>
      </c>
      <c r="I36" s="7">
        <v>0.17718307673931119</v>
      </c>
      <c r="J36" s="7">
        <v>0.45412486791610718</v>
      </c>
      <c r="K36" s="7">
        <v>0.32676767676767682</v>
      </c>
      <c r="L36" s="7">
        <v>0.51515151515151514</v>
      </c>
      <c r="M36" s="7">
        <v>10.71729264114842</v>
      </c>
      <c r="N36" s="8">
        <v>2092.181818181818</v>
      </c>
      <c r="O36" s="8">
        <v>185.6363636363636</v>
      </c>
      <c r="P36" s="8">
        <v>2277.818181818182</v>
      </c>
    </row>
    <row r="37" spans="1:16" x14ac:dyDescent="0.25">
      <c r="A37" t="s">
        <v>664</v>
      </c>
      <c r="B37" s="7">
        <v>0.63456190894715481</v>
      </c>
      <c r="C37" s="7">
        <v>0.60878220140515227</v>
      </c>
      <c r="D37" s="7">
        <v>0.5794398906830458</v>
      </c>
      <c r="E37" s="7">
        <v>0.77629445429217425</v>
      </c>
      <c r="F37" s="7">
        <v>0.25359737664752691</v>
      </c>
      <c r="G37" s="7">
        <v>0.61159573988286053</v>
      </c>
      <c r="H37" s="7">
        <v>0.25260749459266663</v>
      </c>
      <c r="I37" s="7">
        <v>0.21623079478740689</v>
      </c>
      <c r="J37" s="7">
        <v>0.28865537047386169</v>
      </c>
      <c r="K37" s="7">
        <v>0.40601092896174862</v>
      </c>
      <c r="L37" s="7">
        <v>0.52459016393442626</v>
      </c>
      <c r="M37" s="7">
        <v>12.089204026050259</v>
      </c>
      <c r="N37" s="8">
        <v>2165.7377049180332</v>
      </c>
      <c r="O37" s="8">
        <v>218.91803278688519</v>
      </c>
      <c r="P37" s="8">
        <v>2384.655737704918</v>
      </c>
    </row>
    <row r="38" spans="1:16" x14ac:dyDescent="0.25">
      <c r="A38" t="s">
        <v>665</v>
      </c>
      <c r="B38" s="7">
        <v>0.69612445635172915</v>
      </c>
      <c r="C38" s="7">
        <v>0.6068181818181817</v>
      </c>
      <c r="D38" s="7">
        <v>0.6094696969442519</v>
      </c>
      <c r="E38" s="7">
        <v>0.79958921761398394</v>
      </c>
      <c r="F38" s="7">
        <v>0.2266471002155053</v>
      </c>
      <c r="G38" s="7">
        <v>0.61188126236992801</v>
      </c>
      <c r="H38" s="7">
        <v>0.19174675643444061</v>
      </c>
      <c r="I38" s="7">
        <v>0.20250420272350311</v>
      </c>
      <c r="J38" s="7">
        <v>0.1792353838682175</v>
      </c>
      <c r="K38" s="7">
        <v>0.34469696969696972</v>
      </c>
      <c r="L38" s="7">
        <v>0.45454545454545447</v>
      </c>
      <c r="M38" s="7">
        <v>12.96048188209534</v>
      </c>
      <c r="N38" s="8">
        <v>1973.409090909091</v>
      </c>
      <c r="O38" s="8">
        <v>220.3636363636364</v>
      </c>
      <c r="P38" s="8">
        <v>2193.772727272727</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2026-01-20T09:22:59Z</dcterms:created>
  <dcterms:modified xsi:type="dcterms:W3CDTF">2026-01-20T12:42:41Z</dcterms:modified>
</cp:coreProperties>
</file>