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FCDBFE3B-DE6B-4A78-91E8-C434986E7E6E}" xr6:coauthVersionLast="47" xr6:coauthVersionMax="47" xr10:uidLastSave="{00000000-0000-0000-0000-000000000000}"/>
  <bookViews>
    <workbookView xWindow="-120" yWindow="-120" windowWidth="29040" windowHeight="15840" activeTab="2" xr2:uid="{00000000-000D-0000-FFFF-FFFF00000000}"/>
  </bookViews>
  <sheets>
    <sheet name="Statistiken" sheetId="1" r:id="rId1"/>
    <sheet name="Similarity-Verteilung" sheetId="2" r:id="rId2"/>
    <sheet name="Satz-Analyse" sheetId="3" r:id="rId3"/>
    <sheet name="Chunks_Static" sheetId="4" r:id="rId4"/>
    <sheet name="Chunks_Percentil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3" l="1"/>
  <c r="J9" i="3"/>
  <c r="I8" i="3"/>
  <c r="H2" i="3"/>
  <c r="G11" i="3"/>
  <c r="G4" i="3"/>
</calcChain>
</file>

<file path=xl/sharedStrings.xml><?xml version="1.0" encoding="utf-8"?>
<sst xmlns="http://schemas.openxmlformats.org/spreadsheetml/2006/main" count="132" uniqueCount="77">
  <si>
    <t>Metrik</t>
  </si>
  <si>
    <t>Wert</t>
  </si>
  <si>
    <t>Dokument URL</t>
  </si>
  <si>
    <t>https://wiso.uni-koeln.de/de/studium/bewerbung/studium-an-der-wiso-fakultaet</t>
  </si>
  <si>
    <t>Dokument Titel</t>
  </si>
  <si>
    <t>Studium an der WiSo-Fakultät</t>
  </si>
  <si>
    <t>Text-Länge (Zeichen)</t>
  </si>
  <si>
    <t>Anzahl Sätze</t>
  </si>
  <si>
    <t>Anzahl Satzübergänge</t>
  </si>
  <si>
    <t>Min Similarity</t>
  </si>
  <si>
    <t>Max Similarity</t>
  </si>
  <si>
    <t>Mean Similarity</t>
  </si>
  <si>
    <t>Median Similarity</t>
  </si>
  <si>
    <t>Std Similarity</t>
  </si>
  <si>
    <t>Static Threshold (aus rag.env)</t>
  </si>
  <si>
    <t>10th Percentile Threshold (berechnet)</t>
  </si>
  <si>
    <t>Static Breakpoints</t>
  </si>
  <si>
    <t>Percentile Breakpoints</t>
  </si>
  <si>
    <t>Static → Chunks (tatsächlich)</t>
  </si>
  <si>
    <t>Percentile → Chunks (tatsächlich)</t>
  </si>
  <si>
    <t>Similarity_Bereich</t>
  </si>
  <si>
    <t>Anzahl</t>
  </si>
  <si>
    <t>Anteil_%</t>
  </si>
  <si>
    <t>0.0 - 0.1</t>
  </si>
  <si>
    <t>0.1 - 0.2</t>
  </si>
  <si>
    <t>0.2 - 0.3</t>
  </si>
  <si>
    <t>0.3 - 0.4</t>
  </si>
  <si>
    <t>0.4 - 0.5</t>
  </si>
  <si>
    <t>0.5 - 0.6</t>
  </si>
  <si>
    <t>0.6 - 0.7</t>
  </si>
  <si>
    <t>0.7 - 0.8</t>
  </si>
  <si>
    <t>0.8 - 0.9</t>
  </si>
  <si>
    <t>0.9 - 1.0</t>
  </si>
  <si>
    <t>Satz_Index</t>
  </si>
  <si>
    <t>Satz_Text</t>
  </si>
  <si>
    <t>Satz_Länge</t>
  </si>
  <si>
    <t>Similarity_zum_nächsten</t>
  </si>
  <si>
    <t>Static_Breakpoint</t>
  </si>
  <si>
    <t>Percentile_Breakpoint</t>
  </si>
  <si>
    <t>JA</t>
  </si>
  <si>
    <t>NEIN</t>
  </si>
  <si>
    <t># Starten Sie mit uns Ihren persönlichen Karriereweg!</t>
  </si>
  <si>
    <t>Unsere Studierenden profitieren in unseren Bachelor- und Masterstudiengängen vom theorie- und methodenorientierten Ansatz, der sowohl Forschung als auch Lehre mit der Praxis vereint.</t>
  </si>
  <si>
    <t>Die Nähe zur Praxis zeigt sich in der Lehre durch unsere langjährige Erfahrung in der Zusammenarbeit mit Unternehmen und Lehrbeauftragten aus verschiedenen Berufsfeldern.</t>
  </si>
  <si>
    <t>Ein Großteil unserer Lehrbeauftragten sind Fach- und Führungskräfte, die über wichtige Praxiserfahrungen verfügen.</t>
  </si>
  <si>
    <t>Dadurch können branchenspezifische und aktuelle Lehrinhalte kompetent und praxisnah vermittelt werden.</t>
  </si>
  <si>
    <t>Die Praxisorientierung, und somit die Verzahnung zwischen Praxis und Theorie im Studium, wird somit sicherstellt und der Austausch zwischen Studierenden und Unternehmen gefördert.</t>
  </si>
  <si>
    <t>## Top im Ranking</t>
  </si>
  <si>
    <t>Mehrere DAX40-Vorstände studierten an der Universität zu Köln, soviele wie von keiner ansderen Universität.</t>
  </si>
  <si>
    <t>Dies unterstreicht die Fach- und Führungskompetenzen unserer Absolventen.</t>
  </si>
  <si>
    <t>Laut aktuellem Ranking des Wirtschaftsmagazins „Wirtschaftswoche“ werden unsere Absolventen bei der Einstellung durch Personaler bevorzugt.</t>
  </si>
  <si>
    <t>Eine deutschlandweite Spitzenposition halten wir derzeit in der Rubrik „Careers Rank“ des Financial Times Masters in Management Ranking.</t>
  </si>
  <si>
    <t>Hierbei wird betrachtet, wie viele der Absolventen drei Jahre nach Studienabschluss Führungspositionen verantworten und wie groß das jeweilige Unternehmen ist.</t>
  </si>
  <si>
    <t>## Internationale Ausrichtung</t>
  </si>
  <si>
    <t>Als einziges deutsches Mitglied sind wir Teil des CEMS (The Global Alliance In Management Education)-Netzwerk und bieten in Zusammenarbeit mit anderen Mitgliedern den Master in International Management (CEMS MIM) an.</t>
  </si>
  <si>
    <t>Alle unsere Studienprogramme weisen einen hohen Anteil englischsprachiger Module auf.</t>
  </si>
  <si>
    <t>Außerdem sind nahezu alle unsere Masterprogramme komplett in englischer Sprache studierbar.</t>
  </si>
  <si>
    <t>Interkulturelle Kompetenzen werden im internationalen Umfeld am Campus und in einem Auslandssemester an einer der über 130 Partnerhochschulen vermittelt.</t>
  </si>
  <si>
    <t>Als staatlich finanzierte Hochschule beschränken sich bei unseren regulären Studienprogrammen die Studienkosten auf den halbjährlichen Semesterbeitrag, der bereits das Semesterticket für den öffentlichen Nahverkehr in ganz Nordrhein-Westfalen beinhaltet.</t>
  </si>
  <si>
    <t>Ausgezeichnete Ausbildung ist bei uns nicht teuer – als Studierender haben Sie bei uns ausgezeichnete Ausgangsbedingungen, um mit uns in Ihre persönliche und berufliche Zukunft zu starten!</t>
  </si>
  <si>
    <t>Eine vollständige Übersicht der Fächer, die Sie bei uns aktuell studieren können, Sie auf den folgenden Seiten:</t>
  </si>
  <si>
    <t>Übersicht Bachelorstudiengänge
Übersicht Masterstudiengänge</t>
  </si>
  <si>
    <t>&gt; Der inter-, multi-, z.T. transdisziplinäre Ansatz der WiSo-Fakultät ist in allen unseren Studiengängen fest verankert.</t>
  </si>
  <si>
    <t>Die breite Fächervielfalt bietet jedem einzelnen Studierenden optimale Möglichkeiten, individuelle berufsperspektivische Schwerpunkte zu setzen.</t>
  </si>
  <si>
    <t>Das internationale und interkulturelle Umfeld sind optimale Voraussetzungen für die berufliche und persönliche Weiterentwicklung.</t>
  </si>
  <si>
    <t>HI</t>
  </si>
  <si>
    <t>zum Seitenanfang</t>
  </si>
  <si>
    <t>-</t>
  </si>
  <si>
    <t>Chunk_Index</t>
  </si>
  <si>
    <t>Chunk_Länge</t>
  </si>
  <si>
    <t>Chunk_Text</t>
  </si>
  <si>
    <t>Studium an der WiSo-Fakultät # Starten Sie mit uns Ihren persönlichen Karriereweg!</t>
  </si>
  <si>
    <t>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 ## Internationale Ausrichtung Als einziges deutsches Mitglied sind wir Teil des CEMS (The Global Alliance In Management Education)-Netzwerk und bieten in Zusammenarbeit mit anderen Mitgliedern den Master in International Management (CEMS MIM) an.</t>
  </si>
  <si>
    <t>und wie groß das jeweilige Unternehmen ist. ## Internationale Ausrichtung Als einziges deutsches Mitglied sind wir Teil des CEMS (The Global Alliance In Management Education)-Netzwerk und bieten in Zusammenarbeit mit anderen Mitgliedern den Master in International Management (CEMS MIM) an. Alle unsere Studienprogramme weisen einen hohen Anteil englischsprachiger Module auf. Außerdem sind nahezu alle unsere Masterprogramme komplett in englischer Sprache studierbar. Interkulturelle Kompetenzen werden im internationalen Umfeld am Campus und in einem Auslandssemester an einer der über 130 Partnerhochschulen vermittelt.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
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</si>
  <si>
    <t>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</si>
  <si>
    <t>somit sicherstellt und der Austausch zwischen Studierenden und Unternehmen gefördert. ## Top im Ranking 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 ## Internationale Ausrichtung Als einziges deutsches Mitglied sind wir Teil des CEMS (The Global Alliance In Management Education)-Netzwerk und bieten in Zusammenarbeit mit anderen Mitgliedern den Master in International Management (CEMS MIM) an. Alle unsere Studienprogramme weisen einen hohen Anteil englischsprachiger Module auf. Außerdem sind nahezu alle unsere Masterprogramme komplett in englischer Sprache studierbar. Interkulturelle Kompetenzen werden im internationalen Umfeld am Campus und in einem Auslandssemester an einer der über 130 Partnerhochschulen vermittelt.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t>
  </si>
  <si>
    <t>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
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</si>
</sst>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applyAlignment="1">
      <alignment horizontal="center" vertical="center"/>
    </xf>
    <xf numFmtId="0" fontId="0" fillId="2" borderId="0" xfId="0" applyFill="1"/>
    <xf numFmtId="0" fontId="0" fillId="3" borderId="0" xfId="0" applyFill="1" applyAlignment="1">
      <alignment horizontal="center" vertic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workbookViewId="0">
      <selection activeCell="A15" sqref="A15"/>
    </sheetView>
  </sheetViews>
  <sheetFormatPr baseColWidth="10" defaultColWidth="9.140625" defaultRowHeight="15" x14ac:dyDescent="0.25"/>
  <sheetData>
    <row r="1" spans="1:2" x14ac:dyDescent="0.25">
      <c r="A1" s="1" t="s">
        <v>0</v>
      </c>
      <c r="B1" s="1" t="s">
        <v>1</v>
      </c>
    </row>
    <row r="2" spans="1:2" x14ac:dyDescent="0.25">
      <c r="A2" t="s">
        <v>2</v>
      </c>
      <c r="B2" t="s">
        <v>3</v>
      </c>
    </row>
    <row r="3" spans="1:2" x14ac:dyDescent="0.25">
      <c r="A3" t="s">
        <v>4</v>
      </c>
      <c r="B3" t="s">
        <v>5</v>
      </c>
    </row>
    <row r="4" spans="1:2" x14ac:dyDescent="0.25">
      <c r="A4" t="s">
        <v>6</v>
      </c>
      <c r="B4">
        <v>3094</v>
      </c>
    </row>
    <row r="5" spans="1:2" x14ac:dyDescent="0.25">
      <c r="A5" t="s">
        <v>7</v>
      </c>
      <c r="B5">
        <v>27</v>
      </c>
    </row>
    <row r="6" spans="1:2" x14ac:dyDescent="0.25">
      <c r="A6" t="s">
        <v>8</v>
      </c>
      <c r="B6">
        <v>26</v>
      </c>
    </row>
    <row r="8" spans="1:2" x14ac:dyDescent="0.25">
      <c r="A8" t="s">
        <v>9</v>
      </c>
      <c r="B8">
        <v>0.30590000748634338</v>
      </c>
    </row>
    <row r="9" spans="1:2" x14ac:dyDescent="0.25">
      <c r="A9" t="s">
        <v>10</v>
      </c>
      <c r="B9">
        <v>0.83319997787475586</v>
      </c>
    </row>
    <row r="10" spans="1:2" x14ac:dyDescent="0.25">
      <c r="A10" t="s">
        <v>11</v>
      </c>
      <c r="B10">
        <v>0.52179998159408569</v>
      </c>
    </row>
    <row r="11" spans="1:2" x14ac:dyDescent="0.25">
      <c r="A11" t="s">
        <v>12</v>
      </c>
      <c r="B11">
        <v>0.51569998264312744</v>
      </c>
    </row>
    <row r="12" spans="1:2" x14ac:dyDescent="0.25">
      <c r="A12" t="s">
        <v>13</v>
      </c>
      <c r="B12">
        <v>0.13060000538825989</v>
      </c>
    </row>
    <row r="14" spans="1:2" x14ac:dyDescent="0.25">
      <c r="A14" t="s">
        <v>14</v>
      </c>
      <c r="B14">
        <v>0.6</v>
      </c>
    </row>
    <row r="15" spans="1:2" x14ac:dyDescent="0.25">
      <c r="A15" t="s">
        <v>15</v>
      </c>
      <c r="B15">
        <v>0.34729999303817749</v>
      </c>
    </row>
    <row r="17" spans="1:2" x14ac:dyDescent="0.25">
      <c r="A17" t="s">
        <v>16</v>
      </c>
      <c r="B17">
        <v>18</v>
      </c>
    </row>
    <row r="18" spans="1:2" x14ac:dyDescent="0.25">
      <c r="A18" t="s">
        <v>17</v>
      </c>
      <c r="B18">
        <v>3</v>
      </c>
    </row>
    <row r="20" spans="1:2" x14ac:dyDescent="0.25">
      <c r="A20" t="s">
        <v>18</v>
      </c>
      <c r="B20">
        <v>3</v>
      </c>
    </row>
    <row r="21" spans="1:2" x14ac:dyDescent="0.25">
      <c r="A21" t="s">
        <v>19</v>
      </c>
      <c r="B21">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heetViews>
  <sheetFormatPr baseColWidth="10" defaultColWidth="9.140625" defaultRowHeight="15" x14ac:dyDescent="0.25"/>
  <sheetData>
    <row r="1" spans="1:3" x14ac:dyDescent="0.25">
      <c r="A1" s="1" t="s">
        <v>20</v>
      </c>
      <c r="B1" s="1" t="s">
        <v>21</v>
      </c>
      <c r="C1" s="1" t="s">
        <v>22</v>
      </c>
    </row>
    <row r="2" spans="1:3" x14ac:dyDescent="0.25">
      <c r="A2" t="s">
        <v>23</v>
      </c>
      <c r="B2">
        <v>0</v>
      </c>
      <c r="C2">
        <v>0</v>
      </c>
    </row>
    <row r="3" spans="1:3" x14ac:dyDescent="0.25">
      <c r="A3" t="s">
        <v>24</v>
      </c>
      <c r="B3">
        <v>0</v>
      </c>
      <c r="C3">
        <v>0</v>
      </c>
    </row>
    <row r="4" spans="1:3" x14ac:dyDescent="0.25">
      <c r="A4" t="s">
        <v>25</v>
      </c>
      <c r="B4">
        <v>0</v>
      </c>
      <c r="C4">
        <v>0</v>
      </c>
    </row>
    <row r="5" spans="1:3" x14ac:dyDescent="0.25">
      <c r="A5" t="s">
        <v>26</v>
      </c>
      <c r="B5">
        <v>6</v>
      </c>
      <c r="C5">
        <v>23.1</v>
      </c>
    </row>
    <row r="6" spans="1:3" x14ac:dyDescent="0.25">
      <c r="A6" t="s">
        <v>27</v>
      </c>
      <c r="B6">
        <v>6</v>
      </c>
      <c r="C6">
        <v>23.1</v>
      </c>
    </row>
    <row r="7" spans="1:3" x14ac:dyDescent="0.25">
      <c r="A7" t="s">
        <v>28</v>
      </c>
      <c r="B7">
        <v>6</v>
      </c>
      <c r="C7">
        <v>23.1</v>
      </c>
    </row>
    <row r="8" spans="1:3" x14ac:dyDescent="0.25">
      <c r="A8" t="s">
        <v>29</v>
      </c>
      <c r="B8">
        <v>6</v>
      </c>
      <c r="C8">
        <v>23.1</v>
      </c>
    </row>
    <row r="9" spans="1:3" x14ac:dyDescent="0.25">
      <c r="A9" t="s">
        <v>30</v>
      </c>
      <c r="B9">
        <v>1</v>
      </c>
      <c r="C9">
        <v>3.8</v>
      </c>
    </row>
    <row r="10" spans="1:3" x14ac:dyDescent="0.25">
      <c r="A10" t="s">
        <v>31</v>
      </c>
      <c r="B10">
        <v>1</v>
      </c>
      <c r="C10">
        <v>3.8</v>
      </c>
    </row>
    <row r="11" spans="1:3" x14ac:dyDescent="0.25">
      <c r="A11" t="s">
        <v>32</v>
      </c>
      <c r="B11">
        <v>0</v>
      </c>
      <c r="C11">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tabSelected="1" workbookViewId="0">
      <selection activeCell="J10" sqref="J10:J23"/>
    </sheetView>
  </sheetViews>
  <sheetFormatPr baseColWidth="10" defaultColWidth="9.140625" defaultRowHeight="15" x14ac:dyDescent="0.25"/>
  <sheetData>
    <row r="1" spans="1:10" x14ac:dyDescent="0.25">
      <c r="A1" s="1" t="s">
        <v>33</v>
      </c>
      <c r="B1" s="1" t="s">
        <v>34</v>
      </c>
      <c r="C1" s="1" t="s">
        <v>35</v>
      </c>
      <c r="D1" s="1" t="s">
        <v>36</v>
      </c>
      <c r="E1" s="1" t="s">
        <v>37</v>
      </c>
      <c r="F1" s="1" t="s">
        <v>38</v>
      </c>
    </row>
    <row r="2" spans="1:10" x14ac:dyDescent="0.25">
      <c r="A2">
        <v>1</v>
      </c>
      <c r="B2" t="s">
        <v>5</v>
      </c>
      <c r="C2">
        <v>28</v>
      </c>
      <c r="D2">
        <v>0.34799998998641968</v>
      </c>
      <c r="E2" t="s">
        <v>39</v>
      </c>
      <c r="F2" t="s">
        <v>40</v>
      </c>
      <c r="G2">
        <v>28</v>
      </c>
      <c r="H2" s="2">
        <f>SUM(G2:G10)</f>
        <v>952</v>
      </c>
      <c r="J2" s="3"/>
    </row>
    <row r="3" spans="1:10" x14ac:dyDescent="0.25">
      <c r="A3">
        <v>2</v>
      </c>
      <c r="B3" t="s">
        <v>41</v>
      </c>
      <c r="C3">
        <v>53</v>
      </c>
      <c r="D3">
        <v>0.40790000557899481</v>
      </c>
      <c r="E3" t="s">
        <v>39</v>
      </c>
      <c r="F3" t="s">
        <v>40</v>
      </c>
      <c r="G3">
        <v>53</v>
      </c>
      <c r="H3" s="2"/>
      <c r="J3" s="3"/>
    </row>
    <row r="4" spans="1:10" x14ac:dyDescent="0.25">
      <c r="A4">
        <v>3</v>
      </c>
      <c r="B4" t="s">
        <v>42</v>
      </c>
      <c r="C4">
        <v>182</v>
      </c>
      <c r="D4">
        <v>0.65850001573562622</v>
      </c>
      <c r="E4" t="s">
        <v>40</v>
      </c>
      <c r="F4" t="s">
        <v>40</v>
      </c>
      <c r="G4" s="2">
        <f>SUM(C4:C8)</f>
        <v>747</v>
      </c>
      <c r="H4" s="2"/>
      <c r="J4" s="3"/>
    </row>
    <row r="5" spans="1:10" x14ac:dyDescent="0.25">
      <c r="A5">
        <v>4</v>
      </c>
      <c r="B5" t="s">
        <v>43</v>
      </c>
      <c r="C5">
        <v>170</v>
      </c>
      <c r="D5">
        <v>0.73879998922348022</v>
      </c>
      <c r="E5" t="s">
        <v>40</v>
      </c>
      <c r="F5" t="s">
        <v>40</v>
      </c>
      <c r="G5" s="2"/>
      <c r="H5" s="2"/>
      <c r="J5" s="3"/>
    </row>
    <row r="6" spans="1:10" x14ac:dyDescent="0.25">
      <c r="A6">
        <v>5</v>
      </c>
      <c r="B6" t="s">
        <v>44</v>
      </c>
      <c r="C6">
        <v>114</v>
      </c>
      <c r="D6">
        <v>0.58810001611709595</v>
      </c>
      <c r="E6" t="s">
        <v>39</v>
      </c>
      <c r="F6" t="s">
        <v>40</v>
      </c>
      <c r="G6" s="2"/>
      <c r="H6" s="2"/>
      <c r="J6" s="3"/>
    </row>
    <row r="7" spans="1:10" x14ac:dyDescent="0.25">
      <c r="A7">
        <v>6</v>
      </c>
      <c r="B7" t="s">
        <v>45</v>
      </c>
      <c r="C7">
        <v>102</v>
      </c>
      <c r="D7">
        <v>0.68339997529983521</v>
      </c>
      <c r="E7" t="s">
        <v>40</v>
      </c>
      <c r="F7" t="s">
        <v>40</v>
      </c>
      <c r="G7" s="2"/>
      <c r="H7" s="2"/>
      <c r="J7" s="3"/>
    </row>
    <row r="8" spans="1:10" x14ac:dyDescent="0.25">
      <c r="A8">
        <v>7</v>
      </c>
      <c r="B8" t="s">
        <v>46</v>
      </c>
      <c r="C8">
        <v>179</v>
      </c>
      <c r="D8">
        <v>0.34670001268386841</v>
      </c>
      <c r="E8" t="s">
        <v>39</v>
      </c>
      <c r="F8" t="s">
        <v>39</v>
      </c>
      <c r="G8" s="2"/>
      <c r="H8" s="2"/>
      <c r="I8">
        <f>SUM(C2:C8)</f>
        <v>828</v>
      </c>
      <c r="J8" s="3"/>
    </row>
    <row r="9" spans="1:10" x14ac:dyDescent="0.25">
      <c r="A9">
        <v>8</v>
      </c>
      <c r="B9" t="s">
        <v>47</v>
      </c>
      <c r="C9">
        <v>17</v>
      </c>
      <c r="D9">
        <v>0.30590000748634338</v>
      </c>
      <c r="E9" t="s">
        <v>39</v>
      </c>
      <c r="F9" t="s">
        <v>39</v>
      </c>
      <c r="G9">
        <v>17</v>
      </c>
      <c r="H9" s="2"/>
      <c r="I9">
        <v>17</v>
      </c>
      <c r="J9" s="3">
        <f>I9+I8</f>
        <v>845</v>
      </c>
    </row>
    <row r="10" spans="1:10" x14ac:dyDescent="0.25">
      <c r="A10">
        <v>9</v>
      </c>
      <c r="B10" t="s">
        <v>48</v>
      </c>
      <c r="C10">
        <v>107</v>
      </c>
      <c r="D10">
        <v>0.38519999384880071</v>
      </c>
      <c r="E10" t="s">
        <v>39</v>
      </c>
      <c r="F10" t="s">
        <v>40</v>
      </c>
      <c r="G10">
        <v>107</v>
      </c>
      <c r="H10" s="2"/>
      <c r="J10" s="4">
        <f>SUM(C10:C22)</f>
        <v>1741</v>
      </c>
    </row>
    <row r="11" spans="1:10" x14ac:dyDescent="0.25">
      <c r="A11">
        <v>10</v>
      </c>
      <c r="B11" t="s">
        <v>49</v>
      </c>
      <c r="C11">
        <v>73</v>
      </c>
      <c r="D11">
        <v>0.6194000244140625</v>
      </c>
      <c r="E11" t="s">
        <v>40</v>
      </c>
      <c r="F11" t="s">
        <v>40</v>
      </c>
      <c r="G11">
        <f>73+139+136</f>
        <v>348</v>
      </c>
      <c r="J11" s="4"/>
    </row>
    <row r="12" spans="1:10" x14ac:dyDescent="0.25">
      <c r="A12">
        <v>11</v>
      </c>
      <c r="B12" t="s">
        <v>50</v>
      </c>
      <c r="C12">
        <v>139</v>
      </c>
      <c r="D12">
        <v>0.63779997825622559</v>
      </c>
      <c r="E12" t="s">
        <v>40</v>
      </c>
      <c r="F12" t="s">
        <v>40</v>
      </c>
      <c r="J12" s="4"/>
    </row>
    <row r="13" spans="1:10" x14ac:dyDescent="0.25">
      <c r="A13">
        <v>12</v>
      </c>
      <c r="B13" t="s">
        <v>51</v>
      </c>
      <c r="C13">
        <v>136</v>
      </c>
      <c r="D13">
        <v>0.4666999876499176</v>
      </c>
      <c r="E13" t="s">
        <v>39</v>
      </c>
      <c r="F13" t="s">
        <v>40</v>
      </c>
      <c r="J13" s="4"/>
    </row>
    <row r="14" spans="1:10" x14ac:dyDescent="0.25">
      <c r="A14">
        <v>13</v>
      </c>
      <c r="B14" t="s">
        <v>52</v>
      </c>
      <c r="C14">
        <v>159</v>
      </c>
      <c r="D14">
        <v>0.38659998774528498</v>
      </c>
      <c r="E14" t="s">
        <v>39</v>
      </c>
      <c r="F14" t="s">
        <v>40</v>
      </c>
      <c r="J14" s="4"/>
    </row>
    <row r="15" spans="1:10" x14ac:dyDescent="0.25">
      <c r="A15">
        <v>14</v>
      </c>
      <c r="B15" t="s">
        <v>53</v>
      </c>
      <c r="C15">
        <v>29</v>
      </c>
      <c r="D15">
        <v>0.49639999866485601</v>
      </c>
      <c r="E15" t="s">
        <v>39</v>
      </c>
      <c r="F15" t="s">
        <v>40</v>
      </c>
      <c r="J15" s="4"/>
    </row>
    <row r="16" spans="1:10" x14ac:dyDescent="0.25">
      <c r="A16">
        <v>15</v>
      </c>
      <c r="B16" t="s">
        <v>54</v>
      </c>
      <c r="C16">
        <v>216</v>
      </c>
      <c r="D16">
        <v>0.50830000638961792</v>
      </c>
      <c r="E16" t="s">
        <v>39</v>
      </c>
      <c r="F16" t="s">
        <v>40</v>
      </c>
      <c r="J16" s="4"/>
    </row>
    <row r="17" spans="1:10" x14ac:dyDescent="0.25">
      <c r="A17">
        <v>16</v>
      </c>
      <c r="B17" t="s">
        <v>55</v>
      </c>
      <c r="C17">
        <v>85</v>
      </c>
      <c r="D17">
        <v>0.83319997787475586</v>
      </c>
      <c r="E17" t="s">
        <v>40</v>
      </c>
      <c r="F17" t="s">
        <v>40</v>
      </c>
      <c r="J17" s="4"/>
    </row>
    <row r="18" spans="1:10" x14ac:dyDescent="0.25">
      <c r="A18">
        <v>17</v>
      </c>
      <c r="B18" t="s">
        <v>56</v>
      </c>
      <c r="C18">
        <v>91</v>
      </c>
      <c r="D18">
        <v>0.52300000190734863</v>
      </c>
      <c r="E18" t="s">
        <v>39</v>
      </c>
      <c r="F18" t="s">
        <v>40</v>
      </c>
      <c r="J18" s="4"/>
    </row>
    <row r="19" spans="1:10" x14ac:dyDescent="0.25">
      <c r="A19">
        <v>18</v>
      </c>
      <c r="B19" t="s">
        <v>57</v>
      </c>
      <c r="C19">
        <v>153</v>
      </c>
      <c r="D19">
        <v>0.43630000948905939</v>
      </c>
      <c r="E19" t="s">
        <v>39</v>
      </c>
      <c r="F19" t="s">
        <v>40</v>
      </c>
      <c r="J19" s="4"/>
    </row>
    <row r="20" spans="1:10" x14ac:dyDescent="0.25">
      <c r="A20">
        <v>19</v>
      </c>
      <c r="B20" t="s">
        <v>58</v>
      </c>
      <c r="C20">
        <v>254</v>
      </c>
      <c r="D20">
        <v>0.54490000009536743</v>
      </c>
      <c r="E20" t="s">
        <v>39</v>
      </c>
      <c r="F20" t="s">
        <v>40</v>
      </c>
      <c r="J20" s="4"/>
    </row>
    <row r="21" spans="1:10" x14ac:dyDescent="0.25">
      <c r="A21">
        <v>20</v>
      </c>
      <c r="B21" t="s">
        <v>59</v>
      </c>
      <c r="C21">
        <v>188</v>
      </c>
      <c r="D21">
        <v>0.58009999990463257</v>
      </c>
      <c r="E21" t="s">
        <v>39</v>
      </c>
      <c r="F21" t="s">
        <v>40</v>
      </c>
      <c r="J21" s="4"/>
    </row>
    <row r="22" spans="1:10" x14ac:dyDescent="0.25">
      <c r="A22">
        <v>21</v>
      </c>
      <c r="B22" t="s">
        <v>60</v>
      </c>
      <c r="C22">
        <v>111</v>
      </c>
      <c r="D22">
        <v>0.56220000982284546</v>
      </c>
      <c r="E22" t="s">
        <v>39</v>
      </c>
      <c r="F22" t="s">
        <v>40</v>
      </c>
      <c r="J22" s="4"/>
    </row>
    <row r="23" spans="1:10" x14ac:dyDescent="0.25">
      <c r="A23">
        <v>22</v>
      </c>
      <c r="B23" t="s">
        <v>61</v>
      </c>
      <c r="C23">
        <v>59</v>
      </c>
      <c r="D23">
        <v>0.44929999113082891</v>
      </c>
      <c r="E23" t="s">
        <v>39</v>
      </c>
      <c r="F23" t="s">
        <v>40</v>
      </c>
      <c r="J23" s="4"/>
    </row>
    <row r="24" spans="1:10" x14ac:dyDescent="0.25">
      <c r="A24">
        <v>23</v>
      </c>
      <c r="B24" t="s">
        <v>62</v>
      </c>
      <c r="C24">
        <v>120</v>
      </c>
      <c r="D24">
        <v>0.60829997062683105</v>
      </c>
      <c r="E24" t="s">
        <v>40</v>
      </c>
      <c r="F24" t="s">
        <v>40</v>
      </c>
    </row>
    <row r="25" spans="1:10" x14ac:dyDescent="0.25">
      <c r="A25">
        <v>24</v>
      </c>
      <c r="B25" t="s">
        <v>63</v>
      </c>
      <c r="C25">
        <v>144</v>
      </c>
      <c r="D25">
        <v>0.61360001564025879</v>
      </c>
      <c r="E25" t="s">
        <v>40</v>
      </c>
      <c r="F25" t="s">
        <v>40</v>
      </c>
    </row>
    <row r="26" spans="1:10" x14ac:dyDescent="0.25">
      <c r="A26">
        <v>25</v>
      </c>
      <c r="B26" t="s">
        <v>64</v>
      </c>
      <c r="C26">
        <v>129</v>
      </c>
      <c r="D26">
        <v>0.34529998898506159</v>
      </c>
      <c r="E26" t="s">
        <v>39</v>
      </c>
      <c r="F26" t="s">
        <v>39</v>
      </c>
    </row>
    <row r="27" spans="1:10" x14ac:dyDescent="0.25">
      <c r="A27">
        <v>26</v>
      </c>
      <c r="B27" t="s">
        <v>65</v>
      </c>
      <c r="C27">
        <v>2</v>
      </c>
      <c r="D27">
        <v>0.49390000104904169</v>
      </c>
      <c r="E27" t="s">
        <v>39</v>
      </c>
      <c r="F27" t="s">
        <v>40</v>
      </c>
    </row>
    <row r="28" spans="1:10" x14ac:dyDescent="0.25">
      <c r="A28">
        <v>27</v>
      </c>
      <c r="B28" t="s">
        <v>66</v>
      </c>
      <c r="C28">
        <v>16</v>
      </c>
      <c r="E28" t="s">
        <v>67</v>
      </c>
      <c r="F28" t="s">
        <v>67</v>
      </c>
    </row>
  </sheetData>
  <mergeCells count="3">
    <mergeCell ref="G4:G8"/>
    <mergeCell ref="H2:H10"/>
    <mergeCell ref="J10:J2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election activeCell="B2" sqref="B2"/>
    </sheetView>
  </sheetViews>
  <sheetFormatPr baseColWidth="10" defaultColWidth="9.140625" defaultRowHeight="15" x14ac:dyDescent="0.25"/>
  <cols>
    <col min="2" max="2" width="12.7109375" bestFit="1" customWidth="1"/>
  </cols>
  <sheetData>
    <row r="1" spans="1:3" x14ac:dyDescent="0.25">
      <c r="A1" s="1" t="s">
        <v>68</v>
      </c>
      <c r="B1" s="1" t="s">
        <v>69</v>
      </c>
      <c r="C1" s="1" t="s">
        <v>70</v>
      </c>
    </row>
    <row r="2" spans="1:3" x14ac:dyDescent="0.25">
      <c r="A2">
        <v>1</v>
      </c>
      <c r="B2">
        <v>82</v>
      </c>
      <c r="C2" t="s">
        <v>71</v>
      </c>
    </row>
    <row r="3" spans="1:3" x14ac:dyDescent="0.25">
      <c r="A3">
        <v>2</v>
      </c>
      <c r="B3">
        <v>1718</v>
      </c>
      <c r="C3" t="s">
        <v>72</v>
      </c>
    </row>
    <row r="4" spans="1:3" x14ac:dyDescent="0.25">
      <c r="A4">
        <v>3</v>
      </c>
      <c r="B4">
        <v>1654</v>
      </c>
      <c r="C4" t="s">
        <v>73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election activeCell="I36" sqref="I36"/>
    </sheetView>
  </sheetViews>
  <sheetFormatPr baseColWidth="10" defaultColWidth="9.140625" defaultRowHeight="15" x14ac:dyDescent="0.25"/>
  <sheetData>
    <row r="1" spans="1:3" x14ac:dyDescent="0.25">
      <c r="A1" s="1" t="s">
        <v>68</v>
      </c>
      <c r="B1" s="1" t="s">
        <v>69</v>
      </c>
      <c r="C1" s="1" t="s">
        <v>70</v>
      </c>
    </row>
    <row r="2" spans="1:3" x14ac:dyDescent="0.25">
      <c r="A2">
        <v>1</v>
      </c>
      <c r="B2">
        <v>852</v>
      </c>
      <c r="C2" t="s">
        <v>74</v>
      </c>
    </row>
    <row r="3" spans="1:3" x14ac:dyDescent="0.25">
      <c r="A3">
        <v>2</v>
      </c>
      <c r="B3">
        <v>1745</v>
      </c>
      <c r="C3" t="s">
        <v>75</v>
      </c>
    </row>
    <row r="4" spans="1:3" x14ac:dyDescent="0.25">
      <c r="A4">
        <v>3</v>
      </c>
      <c r="B4">
        <v>776</v>
      </c>
      <c r="C4" t="s">
        <v>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Statistiken</vt:lpstr>
      <vt:lpstr>Similarity-Verteilung</vt:lpstr>
      <vt:lpstr>Satz-Analyse</vt:lpstr>
      <vt:lpstr>Chunks_Static</vt:lpstr>
      <vt:lpstr>Chunks_Percentile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2025-12-23T10:11:22Z</dcterms:created>
  <dcterms:modified xsi:type="dcterms:W3CDTF">2025-12-23T10:43:49Z</dcterms:modified>
</cp:coreProperties>
</file>