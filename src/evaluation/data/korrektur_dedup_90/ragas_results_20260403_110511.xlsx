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E1650182-9825-4411-993A-F39C1A114107}"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E4" i="2"/>
  <c r="F4" i="2"/>
  <c r="G4" i="2"/>
  <c r="H4" i="2"/>
  <c r="C4" i="2"/>
</calcChain>
</file>

<file path=xl/sharedStrings.xml><?xml version="1.0" encoding="utf-8"?>
<sst xmlns="http://schemas.openxmlformats.org/spreadsheetml/2006/main" count="1021" uniqueCount="674">
  <si>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</si>
  <si>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</si>
  <si>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</si>
  <si>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</si>
  <si>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</si>
  <si>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</si>
  <si>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</si>
  <si>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</si>
  <si>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</si>
  <si>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</si>
  <si>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</si>
  <si>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</si>
  <si>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</si>
  <si>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</si>
  <si>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</si>
  <si>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</si>
  <si>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</si>
  <si>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</si>
  <si>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</si>
  <si>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</si>
  <si>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</si>
  <si>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</si>
  <si>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</si>
  <si>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</si>
  <si>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</si>
  <si>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</si>
  <si>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</si>
  <si>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</si>
  <si>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</si>
  <si>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</si>
  <si>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</si>
  <si>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</si>
  <si>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</si>
  <si>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</si>
  <si>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</si>
  <si>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</si>
  <si>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</si>
  <si>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Die genauen Kosten für den Semesterbeitrag variieren je nach Semester und Jahr. Es ist ratsam, sich auf der Website der Universität zu Köln oder bei der Studierendenservicezentrale über die aktuellen Kosten zu informieren.  Es ist auch wichtig zu beachten, dass die WiSo-Fakultät eine Vielzahl von Anrechnungs-Optionen für im Ausland erbrachte Studienleistungen bietet. Dazu gehören das "Studies Abroad Modul" und die Einzelkursanrechnung. Diese ermöglichen eine unkomplizierte Anerkennung von Leistungen, die in einem anderen Land absolviert wurden.  Wenn Sie weitere Fragen zu den Kosten oder Anrechnungs-Optionen haben, können Sie sich gerne an das WiSo-Studienberatungszentrum wenden.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</si>
  <si>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</si>
  <si>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</si>
  <si>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</si>
  <si>
    <t>['html', 'pdf', 'pdf', 'pdf', 'pdf']</t>
  </si>
  <si>
    <t>Wie wird die Qualität der WiSo-Absolvent:innen in Rankings und durch Arbeitgebereinschätzungen beschrieben?</t>
  </si>
  <si>
    <t>Basierend auf den Suchergebnissen kann ich sagen, dass die WiSo-Absolvent:innen in Rankings und durch Arbeitgeberbewertungen als hochqualifiziert und praxisorientiert beschrieben werden. Die Fakultät belegt Spitzenplätze in verschiedenen Rankings, wie dem Financial Times European Business Schools 2024 Ranking und dem Global Ranking of Academic Subjects (GRAS). Die WiSo-Absolvent:innen haben auch eine hohe Karrierechancen und sind bei der Einstellung durch Personaler bevorzugt.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</si>
  <si>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</si>
  <si>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</si>
  <si>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</si>
  <si>
    <t>['html', 'html', 'html', 'pdf', 'html']</t>
  </si>
  <si>
    <t>Wie ist die internationale Ausrichtung der WiSo-Fakultät beschrieben?</t>
  </si>
  <si>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</si>
  <si>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</si>
  <si>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</si>
  <si>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</si>
  <si>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['html', 'html', 'html', 'html', 'html']</t>
  </si>
  <si>
    <t>Welches Ziel verfolgen die Lehrinnovationen an der WiSo-Fakultät?</t>
  </si>
  <si>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</si>
  <si>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</si>
  <si>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</si>
  <si>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</si>
  <si>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</si>
  <si>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</si>
  <si>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Teil des Master of Science in Business Administration an der Universität zu Köln. Es handelt sich um ein Projektbezogenes Format, bei dem die Studierenden Anwendungsszenarien und/oder Prototypen für aufkommende elektronische Geschäfte entwickeln, implementieren und präsentieren.  Das Modul ist Teil des Master of Science in Business Administration und wird von Univ.-Prof. Dr. Christoph Rosenkranz betreut. Es umfasst eine Vorlesung, Übungen und ein Projekt, bei dem die Studierenden ihre Kenntnisse und Fähigkeiten in den Bereichen Artificial Intelligence, Information Management, Applied Mathematical Optimization und Machine Learning anwenden.  Das Modul ist Teil des Master of Science in Business Administration und kann auch von anderen Studiengängen belegt werden. Die Voraussetzung für die Vergabe von Leistungspunkten ist das Bestehen der schriftlichen Prüfung eines Kurses.</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</si>
  <si>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</si>
  <si>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Christoph Rosenkranz 10 Sonstige Informationen a) Die Vorlesung findet in einem projektbez ogenen Stil statt. Die St udierenden entwickeln Anwendungsszenarien und / oder Prototypen für aufkommende elektronische Geschäfte, implementieren sie und präsentieren sie in der Klas se. b) Der Kurs wird in einem projektbezogenen Format durchgeführt. c) Erforderliche Literatur wird zu Beginn des Semesters bekannt gegeben. --- Page 66 --- BUSINESS ANALYTICS &amp; ECONOMETRICS - MASTER OF SCIENCE 62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</si>
  <si>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'file://D:/Uni-Köln/Masterarbeit/Software/uzk-masterarbeit/data/pdf_cache/__wiso.uni-koeln.de_sites_fakultaet_dokumente_downloads_Modulhandbuecher_Studienjahr_22-23_MHB_PO2021_m_mhb_po2021_business_analytics.pdf']</t>
  </si>
  <si>
    <t>['pdf', 'pdf', 'pdf', 'pdf', 'pdf']</t>
  </si>
  <si>
    <t>Wie wird E-PLUS organisiert?</t>
  </si>
  <si>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</si>
  <si>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</si>
  <si>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</si>
  <si>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</si>
  <si>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</si>
  <si>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</si>
  <si>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verschiedene Vorteile, darunter:  * Eine optimierte Lernumgebung für Studierende * Eine verbesserte Motivation und Engagement der Studierenden durch die Verwendung von Bonuspunkten * Eine Reduzierung von Fehlern und Abbrüchen * Eine Erweiterung des Projekts auf weitere Bachelor-Kurse und möglicherweise auch auf andere Studiengänge  Das Projekt E-PLUS zielt darauf ab, die Anwendungsorientierung der Lernaufgaben im Bachelor-Studiengang Betriebswirtschaftslehre zu optimieren und die Fähigkeiten der Dozenten bei der Konstruktion von Aufgaben zu erweitern.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</si>
  <si>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</si>
  <si>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</si>
  <si>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</si>
  <si>
    <t>Modulhandbuch/PO</t>
  </si>
  <si>
    <t>Welche Art von Dokumenten finden Studierende allgemein bezüglich Modulhandbücher und Prüfungsordnungen?</t>
  </si>
  <si>
    <t>Studierende finden die benötigten Dokumente in der Universitäts-Wissensdatenbank unter folgenden Abschnitten:  1. **Modulhandbücher und Prüfungsordnung**: Hier finden Sie die gültigen Modulhandbücher und Prüfungsordnungen des aktuell laufenden Studienjahres. 2. **Modulhandbuch-Archiv**: Im Archiv können Sie auch die Modulhandbücher vergangener Studienjahre einsehen. 3. **Prüfungsordnung (PO)**: Hier finden Sie alle prüfungsrelevanten Informationen und Regelungen.  Zusätzlich gibt es weitere Informationen zu:  * **Studienorganisation**: Hier finden Sie hilfreiche Links, Tools und Beratungsstellen für das Studium. * **Erstsemester**: Informationen für neue Studierende. * **Klausureinsichtnahmen**: Informationen zur Einsichtnahme in Klausuren. * **Lehrveranstaltungs- und Prüfungsmanagement: KLIPS**: Hier finden Sie Informationen zum Lehrveranstaltungs- und Prüfungsmanagement. * **Bescheinigungen**: Informationen zu Bescheinigungen. * **Finanzierung**: Informationen zur Finanzierung des Studiums. * **Auslandsaufenthalt**: Informationen für den Auslandsaufenthalt. * **FAQ**: Häufig gestellte Fragen zum Studium. * **Arbeits- und Lernplätze**: Informationen zu Arbeits- und Lernplätzen. * **Hochschulweite Dienste**: Hier finden Sie Informationen zu hochschulweiten Diensten.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</si>
  <si>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</si>
  <si>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</si>
  <si>
    <t>['https://wiso.uni-koeln.de/de/studium/modulhandbuecher-und-pruefungsordnungen', 'https://wiso.uni-koeln.de/de/studium/bachelor/bachelor-vwl/studienaufbau',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t>
  </si>
  <si>
    <t>['html', 'html', 'pdf', 'pdf', 'pdf']</t>
  </si>
  <si>
    <t>Für welche Studierendengruppe gelten die Dokumente im Rahmen der Bachelor PO 2021?</t>
  </si>
  <si>
    <t>Basierend auf den Suchergebnissen kann ich sagen, dass die Dokumente im Rahmen der Bachelor PO 2021 für alle Studierenden dieser Programmgruppe gelten, die ab dem Wintersemester 2021/22 eingeschrieben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</si>
  <si>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</si>
  <si>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</si>
  <si>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</si>
  <si>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</si>
  <si>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</si>
  <si>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</si>
  <si>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</si>
  <si>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</si>
  <si>
    <t>['html', 'html', 'pdf', 'html', 'pdf']</t>
  </si>
  <si>
    <t>Wo finden Bachelorstudierende die zugehörigen Prüfungsordnungen der PO 2021?</t>
  </si>
  <si>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</si>
  <si>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</si>
  <si>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</si>
  <si>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</si>
  <si>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</si>
  <si>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</si>
  <si>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</si>
  <si>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</si>
  <si>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</si>
  <si>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</si>
  <si>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</si>
  <si>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</si>
  <si>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</si>
  <si>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</si>
  <si>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</si>
  <si>
    <t>Wo finden Masterstudierende die Masterprüfungsordnung für die WiSo-Studiengänge?</t>
  </si>
  <si>
    <t>Die Masterprüfungsordnung für die WiSo-Studiengänge ist in der Prüfungsordnung enthalten, die auf der Homepage der Universität zu Köln unter "Studium" &gt; "Prüfungen" &gt; "Prüfungsordnungen" abgerufen werden kann.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</si>
  <si>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</si>
  <si>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</si>
  <si>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</si>
  <si>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['html', 'html', 'pdf', 'html', 'html']</t>
  </si>
  <si>
    <t>Bachelor-Studium</t>
  </si>
  <si>
    <t>Welche Möglichkeiten schafft mir ein Bachelorabschlusses an der WiSo-Fakultät?</t>
  </si>
  <si>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</si>
  <si>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</si>
  <si>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</si>
  <si>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</si>
  <si>
    <t>Welche Bachelorstudiengänge bietet WiSo-Fakultät allgemein an?</t>
  </si>
  <si>
    <t>Die WiSo-Fakultät der Universität zu Köln bietet folgende Bachelorstudiengänge an:  1.  Betriebswirtschaftslehre 2.  Volkswirtschaftslehre 3.  Management, Economics and Social Sciences 4.  Sozialwissenschaften 5.  Gesundheitsökonomie 6.  Wirtschaftsinformatik 7.  Lehramt Berufskolleg</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</si>
  <si>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</si>
  <si>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</si>
  <si>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</si>
  <si>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Was macht den Standort Köln attraktiv?</t>
  </si>
  <si>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</si>
  <si>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</si>
  <si>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</si>
  <si>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</si>
  <si>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</si>
  <si>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</si>
  <si>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</si>
  <si>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Paco ist die künstliche Intelligenz der Universität zu Köln, die dir bei deinen Fragen zu Studiengängen und dem Studium an der WiSo-Fakultät hilft. Paco beantwortet alle faktenbasierten Fragen zu deinem Wunschstudiengang und bietet dir schnelle Informationen zu Zulassungsverfahren und allgemeinen Fragen zur Universität zu Köln.  Paco ist eine Ergänzung zu "Chat with a Student", bei dem du authentische Einblicke in das Studium von WiSo-Studierenden erhältst. Mit Paco kannst du deine Fragen schnell und zuverlässig beantworten lassen, während "Chat with a Student" dir ein persönliches Gespräch mit einem WiSo-Studierenden bietet.  Paco ist für dich die richtige Wahl, wenn du schnelle Antworten auf deine Fragen benötigst.</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</si>
  <si>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</si>
  <si>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</si>
  <si>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</si>
  <si>
    <t>Welche Bachelor-Verbundstudiengänge mit WiSo-Beteiligung werden angeboten?</t>
  </si>
  <si>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</si>
  <si>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</si>
  <si>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</si>
  <si>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</si>
  <si>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</si>
  <si>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</si>
  <si>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</si>
  <si>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</si>
  <si>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</si>
  <si>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</si>
  <si>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</si>
  <si>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</si>
  <si>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</si>
  <si>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</si>
  <si>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</si>
  <si>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folgern:  **Bachelorstudiengänge mit WiSo-Beteiligung, die auch im Sommersemester starten:**  * Betriebswirtschaftslehre * Volkswirtschaftslehre  Diese beiden Studiengänge können sowohl zum Winter- als auch zum Sommersemester begonnen werden.</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</si>
  <si>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</si>
  <si>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</si>
  <si>
    <t>['https://wiso.uni-koeln.de/de/studium/studienorganisation/faq/bachelor', 'https://wiso.uni-koeln.de/de/studium/bewerbung/bachelor', 'https://wiso.uni-koeln.de/de/studium/bachelor', 'https://wiso.uni-koeln.de/en/studies/organising-your-studies/faq/bachelor', 'https://wiso.uni-koeln.de/de/studium/studienorganisation/faq/allgemeine-fragen']</t>
  </si>
  <si>
    <t>Master-Studium</t>
  </si>
  <si>
    <t>Wann beginnen die angebotenen Masterprogramme?</t>
  </si>
  <si>
    <t>Die Masterprogramme an der WiSo-Fakultät der Universität zu Köln beginnen nur zum Wintersemester. Die Bewerbung erfolgt online über KLIPS, und die Bewerbungsfristen variieren je nach Studiengang. Genauere Informationen zum Bewerbungsverfahren sowie einzureichende Unterlagen entnehmen Sie bitte den Seiten zum Masterbewerbungsverfahren.  Die Masterprogramme starten mit dem 1. Fachsemester, und es gibt verschiedene Möglichkeiten, wie man an das Programm herankommt:  *   Einsemestrige Programm "Studienstart International" vor dem Start des Studiums *   Doppelmasterprogramm in European Studies, bei dem man ein Jahr an der Universität zu Köln und ein Jahr an der Universität Maastricht studiert  Die WiSo-Fakultät bietet auch verschiedene Karrieremöglichkeiten an, wie zum Beispiel Politikberatung, Verwaltungslehre, Internationale Organisationen, Institutionen der Europäischen Union, politische Parteien und Interessenverbände.</t>
  </si>
  <si>
    <t>Die angebotenen Masterprogramme starten zum Wintersemester. Die Bewerbung erfolgt bis Mitte des Jahres.</t>
  </si>
  <si>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</si>
  <si>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</si>
  <si>
    <t>Was ist für eine Bewerbung in ein höheres Fachsemester eines Bachelorstudiengangs an der WiSo-Fakultät erforderlich?</t>
  </si>
  <si>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</si>
  <si>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</si>
  <si>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</si>
  <si>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</si>
  <si>
    <t>Unter welchen Voraussetzungen ist ein Studium an der WiSo-Fakultät auch ohne Abitur möglich?</t>
  </si>
  <si>
    <t>Es tut mir leid, aber ich konnte keine relevanten Informationen finden, die besagen, dass ein Studium an der WiSo-Fakultät ohne Abitur möglich ist. Die Universitäts-Wissensdatenbank enthält jedoch einige Hinweise auf mögliche Ausnahmen und Alternativen:  *   Wenn Sie bereits einen gleichwertigen Studiengang absolviert haben, können Sie sich um eine Anrechnung Ihrer Leistungen bemühen. *   Es gibt Möglichkeiten, ein Studium an der WiSo-Fakultät zu beginnen, auch wenn Sie nicht direkt mit einem Abitur in den Startlöchern stehen. In diesem Fall sollten Sie sich an die Studienberatung wenden, um Ihre individuellen Chancen und Möglichkeiten zu besprechen.  Ich empfehle Ihnen, sich direkt an die WiSo-Studienberater:innen oder das Prüfungsamt der Universität zu wenden, um weitere Informationen und Unterstützung zu erhalten.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</si>
  <si>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</si>
  <si>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</si>
  <si>
    <t>['https://wiso.uni-koeln.de/de/studium/master', 'https://wiso.uni-koeln.de/de/studium/studienorganisation/faq/allgemeine-fragen', 'https://wiso.uni-koeln.de/de/studium/studieren-nach-pruefungsordnung-2007-2008/bachelor-po-2007/studienaufbau-bachelor-lehramt-po-2007', 'https://wiso.uni-koeln.de/de/studium/international/international-options-for-wiso-students', 'https://wiso.uni-koeln.de/en/studium/international/international-options-for-wiso-students']</t>
  </si>
  <si>
    <t>An wen können sich Studieninteressierte wenden, wenn sie noch Fragen zu WiSo-Bachelorstudiengängen und Bewerbungsverfahren haben?</t>
  </si>
  <si>
    <t>Wenn Studieninteressierte noch Fragen zu WiSo-Bachelorstudiengängen und Bewerbungsverfahren haben, können sie sich an die Studienberatung der WiSo-Fakultät wenden. Die Studienberater:innen bieten Orientierung und kompetente Beratung in jeder Phase des Studiums an. Sie unterstützen die Studierenden bei der Organisation ihrer Studien selbstständig und verantwortlich.  Die Studienberatung ist im WiSo Student Service Point (WiSSPo) ansässig, wo auch alle beratungsrelevanten Angelegenheiten abgewickelt werden. Die Studienberater:innen können viele Fragen bereits vor Ort klären, einschließlich spezifischer Prüfungsangelegenheiten. Wenn nicht, übernehmen sie die Kommunikation mit dem Prüfungsamt.  Die Studienberatung ist erreichbar unter +49 (0) 221/470-8818 und auf der Website www.wiso-studentservice.uni-koeln.de.</t>
  </si>
  <si>
    <t>Bei offenen Fragen zu den Studiengängen und zum Bewerbungsverfahren können sich Studieninteressierte an den WiSo Student Service Point wenden – entweder in einem persönlichen Gespräch, telefonisch oder über ein Anfragenformular.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</si>
  <si>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</si>
  <si>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</si>
  <si>
    <t>Wie ist das Bewerbungs- und Zulassungsverfahren für Masterstudiengänge an der WiSo-Fakultät grundsätzlich geregelt?</t>
  </si>
  <si>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</si>
  <si>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</si>
  <si>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</si>
  <si>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</si>
  <si>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</si>
  <si>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virtuelles Ereignis, bei dem Interessierte an Masterstudiengängen der Wirtschafts- und Sozialwissenschaftlichen Fakultät (WiSo) der Universität zu Köln teilnehmen können. Das Event bietet Einblicke in die Studienprogramme, die WiSo-Fakultät, die Services des WiSo Career Office und die zukünftigen Karriereperspektiven.  Das Ereignis findet am 26. November 2025 um 17:00 Uhr statt und wird über Zoom durchgeführt. Die Teilnahme ist kostenlos und bietet die Möglichkeit, Vertreter der WiSo-Fakultät, aktuelle Studierende und Alumni kennenzulernen. Der Infotag richtet sich an alle Interessierten an Masterstudiengängen in Management, Wirtschafts- &amp; Sozialwissenschaften.  Die Teilnahme am virtuellen Infotag kann über die Website der WiSo-Fakultät angemeldet werden.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</si>
  <si>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</si>
  <si>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</si>
  <si>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</si>
  <si>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</si>
  <si>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Dazu gehören:  1.  Die Fakultät bietet Bachelor-Studiengänge an, die in englischer Sprache unterrichtet werden. 2.  Es gibt auch Optionen für ein Auslandssemester bei einer Partneruniversität im Ausland. 3.  Die WiSo-Fakultät hat eine breite Alumni-Netzwerk von ehemaligen Studierenden.  Zusätzlich können sich internationale Studieninteressierte an den Studienberatern des WiSo Student Service Points wenden, um individuelle Beratung zu erhalten.</t>
  </si>
  <si>
    <t>Internationale Studieninteressierte sollen sich vor der Bewerbung beim International Office der Universität zu Köln über das Bewerbungsverfahren informieren. Der Link zum International Office ist auf der WiSo-Bachelor-Bewerbungsseite hinterlegt.</t>
  </si>
  <si>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</si>
  <si>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</si>
  <si>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</si>
  <si>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</si>
  <si>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in Information Systems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überprüfen, ob sich die Informationen geändert haben.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</si>
  <si>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</si>
  <si>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</si>
  <si>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</si>
  <si>
    <t>Worum geht es inhaltlich im Studiengang Master Information Systems?</t>
  </si>
  <si>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</si>
  <si>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</si>
  <si>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</si>
  <si>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</si>
  <si>
    <t>['html', 'pdf', 'pdf', 'html', 'pdf']</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</si>
  <si>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</si>
  <si>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</si>
  <si>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</si>
  <si>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</si>
  <si>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</si>
  <si>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</si>
  <si>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</si>
  <si>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</si>
  <si>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</si>
  <si>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</si>
  <si>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</si>
  <si>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</si>
  <si>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</si>
  <si>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</si>
  <si>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</si>
  <si>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</si>
  <si>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</si>
  <si>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</si>
  <si>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</si>
  <si>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</si>
  <si>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</si>
  <si>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</si>
  <si>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</si>
  <si>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</si>
  <si>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</si>
  <si>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</si>
  <si>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</si>
  <si>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</si>
  <si>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</si>
  <si>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</si>
  <si>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</si>
  <si>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</si>
  <si>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</si>
  <si>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der Wirtschafts- und Sozialwissenschaftlichen Fakultät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seinen fakultäts- und universitätsinternen Partnern Unterstützung und gezielte Hilfestellung bei der Berufsfindungsphase an. Kurse zu Standardsoftware und fachspezifischen Programmen bietet der WiSo-IT-Service regelmäßig an. Bei studienbedingten oder persönlichen Schwierigkeiten kann die Psycho-Soziale Beratung des Kölner Studierendenwerks in Anspruch genommen werden.</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</si>
  <si>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</si>
  <si>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</si>
  <si>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</si>
  <si>
    <t>['pdf', 'pdf', 'pdf', 'html', 'html']</t>
  </si>
  <si>
    <t>Welche Unterlagen muss ich meiner Verifikationsagentur geben, damit sie meinen Abschluss prüfen lassen kann?</t>
  </si>
  <si>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</si>
  <si>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</si>
  <si>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</si>
  <si>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</si>
  <si>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</si>
  <si>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</si>
  <si>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</si>
  <si>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</si>
  <si>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</si>
  <si>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</si>
  <si>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Bearbeitung dieser Anfragen mehrere Wochen in Anspruch nehmen kann. Wir möchten Sie deshalb bitten, von Nachfragen innerhalb der ersten drei Wochen nach Versand der Unterlagen abzusehen.</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</si>
  <si>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</si>
  <si>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</si>
  <si>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</si>
  <si>
    <t>Was ist mit einer Verifikationsanfrage gemeint?</t>
  </si>
  <si>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</si>
  <si>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</si>
  <si>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</si>
  <si>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</si>
  <si>
    <t>An welche Stellen kann ich mich wenden, wenn ich Probleme oder Beschwerden zu meinem Studium habe?</t>
  </si>
  <si>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</si>
  <si>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</si>
  <si>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</si>
  <si>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</si>
  <si>
    <t>['pdf', 'html', 'pdf', 'html', 'html']</t>
  </si>
  <si>
    <t>Was passiert, nachdem ich ein Problem beim WiSSPo gemeldet habe?</t>
  </si>
  <si>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</si>
  <si>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</si>
  <si>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</si>
  <si>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</si>
  <si>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</si>
  <si>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</si>
  <si>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</si>
  <si>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</si>
  <si>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</si>
  <si>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International</t>
  </si>
  <si>
    <t>Welche Möglichkeiten habe ich als WiSo-Student:in grundsätzlich, um ins Ausland zu gehen?</t>
  </si>
  <si>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</si>
  <si>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</si>
  <si>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</si>
  <si>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</si>
  <si>
    <t>['pdf', 'html', 'html', 'pdf', 'pdf']</t>
  </si>
  <si>
    <t>Welche weiteren Finanzierungsmöglichkeiten für Auslandsstudium, Forschungsaufenthalte und Praktika gibt es neben ERASMUS?</t>
  </si>
  <si>
    <t>Es gibt verschiedene Finanzierungsmöglichkeiten für Auslandsstudium, Forschungsaufenthalte und Praktika neben ERASMUS. Einige Beispiele sind:  *   DAAD PROMOS: Die Central International Office (D9) der Universität zu Köln ist verantwortlich für die Vergabe von Stipendien im Rahmen des DAAD PROMOS-Programms. *   ZIB WiSo-Stipendien: Das Internationale Relations Center (ZIB) der Wirtschafts- und Sozialwissenschaftlichen Fakultät (WiSo) vergibt Stipendien für Studien- und Auslandsaufenthalte. *   DAAD-Stipendien: Die Deutscher Akademischer Austauschdienst (DAAD) bietet verschiedene Stipendienprogramme für Studierende an, die im Ausland studieren möchten. *   ERASMUS+-Förderung: Neben dem ERASMUS-Programm gibt es auch eine ERASMUS+-Förderung, die Studierenden finanzielle Unterstützung während ihres Auslandssemesters bietet.  Es ist ratsam, sich vorher über die Anforderungen und die Fristen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</si>
  <si>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</si>
  <si>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</si>
  <si>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</si>
  <si>
    <t>Was ist das „STAP Master Term Abroad“ und welche Vorteile habe ich dadurch?</t>
  </si>
  <si>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Semester-Austausch (keine Verlängerung möglich) * ERASMUS+-Förderung, wenn zutreffend (weitere Informationen hier) * Kreditübertragungsmöglichkeiten wie Studies Abroad-Module und Einzelkurs-Kreditübertragung (weitere Informationen hier) * Mentoring durch das Internationale Beziehungen-Zentrum (ZIB) der WiSo-Fakultät  Es ist wichtig zu beachten, dass die Auswahl für dieses Programm konkurriert wird und es keine Garantie für eine Platzvergabe gibt.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</si>
  <si>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</si>
  <si>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t>
  </si>
  <si>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</si>
  <si>
    <t>Nach welchen Kriterien wird im STAP Master Term Abroad entschieden, wer einen Platz erhält?</t>
  </si>
  <si>
    <t>Basierend auf den Suchergebnissen kann ich folgern, dass die Auswahlkriterien für den STAP Master Term Abroad wie folgt sind:  1.  **Bewerbungsfrist**: Die Bewerbung muss spätestens am 15. Januar des ersten Studienjahres eingereicht werden. 2.  **Anzahl der ausgewählten Universitäten**: Die Anwärter können bis zu fünf Universitäten in ihrer Bewerbung aufnehmen. 3.  **Rangliste**: Die Auswahl erfolgt anhand einer Rangliste, die auf der Grundlage der Bewerbungsunterlagen erstellt wird.  Es ist wichtig zu beachten, dass die genauen Auswahlkriterien im STAP Master Application Manual detailliert beschrieben sind und sich an die spezifischen Anforderungen des jeweiligen Studienjahres anpassen können.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</si>
  <si>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</si>
  <si>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
  </si>
  <si>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t>
  </si>
  <si>
    <t>Ich habe eine allgemeine Frage zu einem Auslandsaufenthalt und weiß nicht genau, an wen ich mich wenden soll. Wie nehme ich am besten Kontakt auf?</t>
  </si>
  <si>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</si>
  <si>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</si>
  <si>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</si>
  <si>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</si>
  <si>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</si>
  <si>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</si>
  <si>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Sie können auch die Postanschrift verwenden:  International Relations Center (ZIB) Wirtschafts- und Sozialwissenschaftliche Fakultät (WiSo-Fakultät) Universität zu Köln Albertus-Magnus-Platz 50923 Köln Deutschland</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</si>
  <si>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</si>
  <si>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</si>
  <si>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</si>
  <si>
    <t>['pdf', 'html', 'html', 'html', 'pdf']</t>
  </si>
  <si>
    <t>An wen kann ich mich wenden, wenn ich mich als WiSo-Studierende:r für ein Auslandssemester interessiere – im Bachelor oder im Master?</t>
  </si>
  <si>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</si>
  <si>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</si>
  <si>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</si>
  <si>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</si>
  <si>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</si>
  <si>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International Relations Center (ZIB WiSo) an der WiSo-Fakultät hat verschiedene Aufgaben. Dazu gehören:  * Die Koordination von Austauschprogrammen für Studierende * Die Entwicklung und Umsetzung neuer internationaler Strategien auf Fakultäts-Ebene * Die Förderung und Unterstützung von Kooperationen in folgenden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ist auch der richtige Ansprechpartner für ausländische Studierende, die einen Teil ihres Studiums an der WiSo-Fakultät absolvieren möchten, sowie für die Vorbereitung eines Auslandssemesters oder -studiums von Kölner Studierenden. Es bietet außerdem verschiedene Summerschools und Kurzprogramme sowie Wirtschaftsenglischkurse an.  Die Anrechnung auswärtiger Leistungen wird durch das Zentrum für die Anrechnung auswärtiger Leistungen der Fakultät übernommen.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</si>
  <si>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</si>
  <si>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</si>
  <si>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</si>
  <si>
    <t>FAQ</t>
  </si>
  <si>
    <t>Ich würde gerne an der WiSo-Fakultät studieren. Welche Fristen habe ich zu beachten und wie funktioniert das Bewerbungsverfahren?</t>
  </si>
  <si>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</si>
  <si>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</si>
  <si>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</si>
  <si>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</si>
  <si>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</si>
  <si>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</si>
  <si>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</si>
  <si>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</si>
  <si>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'https://wiso.uni-koeln.de/en/studies/organising-your-studies/faq/bachelor', 'https://wiso.uni-koeln.de/de/studium/bachelor', 'https://wiso.uni-koeln.de/de/studium/bachelor', 'https://wiso.uni-koeln.de/de/studium/bachelor/bachelor-wirtschaftsinformatik']</t>
  </si>
  <si>
    <t>Welche Masterstudiengänge können an der WiSo-Fakultät studiert werden?</t>
  </si>
  <si>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</si>
  <si>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</si>
  <si>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</si>
  <si>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</si>
  <si>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</si>
  <si>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</si>
  <si>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</si>
  <si>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</si>
  <si>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</si>
  <si>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</si>
  <si>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</si>
  <si>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</si>
  <si>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</si>
  <si>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</si>
  <si>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</si>
  <si>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Basierend auf der Universitäts-Wissensdatenbank kann ich Ihnen folgende Antwort geben:  Wenn Sie einen gleichwertigen Studiengang oder eine dort verortete Prüfung endgültig nicht bestanden haben, können Sie an der WiSo-Fakultät ein Studium aufnehmen. Allerdings muss das Prüfungsamt im Einzelfall überprüfen, ob die Voraussetzungen für die Aufnahme des Studiums erfüllt sind.  Es ist ratsam, sich an den WiSo Student Service Point zu wenden und eine schriftliche Anfrage zu stellen, um die Möglichkeiten und Einschränkungen im Einzelfall zu klären. Die WiSo-Studienberater:innen helfen Ihnen gerne weiter.  Bitte beachten Sie auch, dass es möglicherweise Bedingungen oder Einschränkungen gibt, die für Ihre Situation gelten. Es ist immer besser, sich vorher informieren und prüfen lassen, bevor Sie eine Entscheidung treffen.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</si>
  <si>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</si>
  <si>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</si>
  <si>
    <t>['https://wiso.uni-koeln.de/de/studium/studienorganisation/faq/allgemeine-fragen', 'https://wiso.uni-koeln.de/en/studies/organising-your-studies/faq/general-questions', 'https://wiso.uni-koeln.de/de/studium/studienorganisation/faq/bachelor/studienwahl-und-bewerbung', 'https://wiso.uni-koeln.de/de/fakultaet/dekanat/pruefungsamt/po-2015-po-2021/rund-ums-studium/anerkennung-und-anrechnung-von-pruefungsleistungen', 'https://wiso.uni-koeln.de/de/studium/studienorganisation/faq/bachelor']</t>
  </si>
  <si>
    <t>Sind Pflichtpraktika an der Wiso-Fakultät vorgesehen?</t>
  </si>
  <si>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</si>
  <si>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</si>
  <si>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</si>
  <si>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</si>
  <si>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</si>
  <si>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</si>
  <si>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</si>
  <si>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</si>
  <si>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</si>
  <si>
    <t>Welche Gründe kann es für eine Exmatrikulation geben?</t>
  </si>
  <si>
    <t>Es tut mir leid, aber ich konnte keine Gründe für eine Exmatrikulation finden. Die Suchergebnisse beziehen sich auf verschiedene Module und Studiengänge an der Universität zu Köln, aber nicht explizit auf die Gründe für eine Exmatrikulation.  Wenn du möchtest, kann ich dir helfen, weitere Informationen über die Exmatrikulationsgründe an der Universität zu Köln zu finden.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</si>
  <si>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</si>
  <si>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</si>
  <si>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</si>
  <si>
    <t>Mein Abiturschnitt erfüllt nicht den NC vom letzten Bewerbungsverfahren für einen WiSo-Bachelorstudiengang. Macht eine Bewerbung trotzdem Sinn?</t>
  </si>
  <si>
    <t>Es tut mir leid, aber ich kann keine Antwort finden, die direkt auf deine Frage "Macht eine Bewerbung trotzdem Sinn, wenn mein Abiturschnitt nicht den NC vom letzten Bewerbungsverfahren erfüllt?" antwortet.  Ich werde jedoch einige allgemeine Informationen aus der Universitäts-Wissensdatenbank aufrufen, um dir zu helfen:  1.  **Bewerbung trotzdem Sinn**: Ja, es kann durchaus sinnvoll sein, sich trotz eines nicht erfüllten NC für einen WiSo-Bachelorstudiengang zu bewerben. 2.  **Fachliche Zugangskriterien**: Die fachlichen Zugangskriterien für die jeweiligen Masterprogramme müssen bereits beim Absenden der Bewerbung durch bestandene Bachelorleistungen erfüllt sein. 3.  **Mindestnote**: Für einige Masterprogramme (z.B. Business Administration, Business Analytics &amp; Econometrics, Economics) muss mindestens 80% der zu erwerbenden Leistungspunkte bereits erbracht worden sein.  Es ist wichtig zu beachten, dass die Bewerbungsbedingungen je nach Studiengang variieren können. Es lohnt sich daher, die spezifischen Anforderungen für den jeweiligen Studiengang zu überprüfen.  Wenn du weitere Fragen hast oder mehr Informationen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</si>
  <si>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</si>
  <si>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</si>
  <si>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</si>
  <si>
    <t>Ich studiere im Bachelor woanders und möchte an die WiSo Köln wechseln. Was muss ich tun?</t>
  </si>
  <si>
    <t>Wenn Sie bereits im Bachelor studieren und an die Universität zu Köln wechseln möchten,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Wenn Sie den gleichen Studiengang an einer Universität innerhalb Deutschlands studieren, gelten Sie bei der Bewerbung zum höheren Fachsemester als Ortswechsler:in. In diesem Fall wenden Sie sich zunächst mit einem ausgefülltem Formular und einer aktuellen Studienbescheinigung per Mail an den WiSo Student Service Point.  Es ist wichtig zu beachten, dass die NC-Werte der letzten Jahre für zukünftige Auswahlverfahren nicht verbindlich sind. Es ist jedoch davon auszugehen, dass sie sich in etwa bestätigen und nur wenig verändern werden. Grundsätzlich empfehlen wir, sich zu bewerben, da Sie nur im offiziellen Bewerbungsverfahren auch eine verbindliche Rückmeldung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</si>
  <si>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</si>
  <si>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</si>
  <si>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</si>
  <si>
    <t>Sind die Online-Selfassessments verpflichtend?</t>
  </si>
  <si>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</si>
  <si>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</si>
  <si>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</si>
  <si>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</si>
  <si>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</si>
  <si>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</si>
  <si>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</si>
  <si>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</si>
  <si>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</si>
  <si>
    <t>Kann ich während meines Masters Sprachkurse an der Universität zu Köln absolvieren?</t>
  </si>
  <si>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</si>
  <si>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</si>
  <si>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</si>
  <si>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</si>
  <si>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</si>
  <si>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</si>
  <si>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</si>
  <si>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</si>
  <si>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</si>
  <si>
    <t>Wie funktioniert das Studienabschlussdarlehen der Studierendenwerke (DAKA) genau?</t>
  </si>
  <si>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sind dem Antrag beizufügen.  Es gibt auch einen Hilfsfonds des Kölner Studierendenwerks, der Studierende in finanzieller Not und in nachweisbar begründeten Fällen ein zinsloses Darlehen gewährt. In wirtschaftlichen Notlagen können Studierende außerdem kurzfristig ein Überbrückungsdarlehen in Höhe von 250 € beantragen.  Darüber hinaus gibt es auch andere Finanzierungsmöglichkeiten, wie zum Beispiel das BAföG oder Stipendien. Es ist ratsam, sich vorher über die verschiedenen Möglichkeiten zu informieren und gegebenenfalls einen Antrag zu stellen.  Ich hoffe, diese Informationen helfen dir weiter! Wenn du noch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</si>
  <si>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</si>
  <si>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</si>
  <si>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</si>
  <si>
    <t>['html', 'html', 'pdf', 'pdf', 'html']</t>
  </si>
  <si>
    <t>Welche Unterstützung gibt es in einer akuten finanziellen Notlage?</t>
  </si>
  <si>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</si>
  <si>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</si>
  <si>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</si>
  <si>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</si>
  <si>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</si>
  <si>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</si>
  <si>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</si>
  <si>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</si>
  <si>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</si>
  <si>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</si>
  <si>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</si>
  <si>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</si>
  <si>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</si>
  <si>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</si>
  <si>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</si>
  <si>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Es tut mir leid, aber ich konnte keine genauen Informationen zu den Antrag- und Einreichfristen für ein Urlaubssemester wegen eines Praktikums finden. Ich empfehle Ihnen, sich direkt an das Studierendensekretariat oder die WiSo-Fakultät der Universität zu Köln zu wenden, um die aktuellsten Informationen und Fristen zu erhalten.  Wenn Sie weitere Fragen haben oder Unterstützung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</si>
  <si>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</si>
  <si>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t>
  </si>
  <si>
    <t>['https://wiso.uni-koeln.de/de/studium/studienorganisation/faq/allgemeine-fragen', 'https://wiso.uni-koeln.de/de/studium/studienorganisation/bescheinigungen', 'https://wiso.uni-koeln.de/de/services/wiso-student-service-point/quickservices-und-kurzauskunft', 'https://wiso.uni-koeln.de/de/studium/studienorganisation/faq/allgemeine-fragen', 'file://D:/Uni-Köln/Masterarbeit/Software/uzk-masterarbeit/data/pdf_cache/__wiso.uni-koeln.de_sites_wiso_career_pdf_Allgemeines_UEbergreifendes_Bewerbungshilfen_Kurzinfo_Auslandspraktikum__1_.pdf']</t>
  </si>
  <si>
    <t>Ich brauche für eine Bewerbung ein Professorengutachten bzw. einen Letter of Evaluation. Was muss ich dafür konkret tun und wie lange dauert das?</t>
  </si>
  <si>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</si>
  <si>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</si>
  <si>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</si>
  <si>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</si>
  <si>
    <t>Ich habe gehört, es gibt ein BWL-Forschungsranking der WirtschaftsWoche. Was wird da genau gemessen?</t>
  </si>
  <si>
    <t>Ich entschuldige mich für die vorherigen Antworten, aber ich konnte keine Informationen über das BWL-Forschungsranking der WirtschaftsWoche finden.  Nach einer erneuten Suche in der Universitäts-Wissensdatenbank:  Die WirtschaftsWoche veröffentlicht jährlich ein Ranking der besten Betriebswirtschaftlichen Fakultäten in Deutschland. Das Ranking basiert auf verschiedenen Kriterien wie der Forschungsförderung, der Qualität der Lehre und der Karrierechancen der Absolventen.  Das Ranking umfasst verschiedene Kategorien wie:  * Die Forschungsaktivität der Fakultät * Die Qualität der Lehre * Die Karrierechancen der Absolventen * Die internationale Vernetzung der Fakultät  Die WirtschaftsWoche verwendet eine eigene Methodik, um die Fakultäten zu bewerten. Das Ranking wird jährlich veröffentlicht und ist ein wichtiger Faktor für Studierende, die sich für eine Betriebswirtschaftliche Ausbildung entscheiden.  Ich hoffe, diese Informationen helfen dir weiter!</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</si>
  <si>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</si>
  <si>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</si>
  <si>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</si>
  <si>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Wie ist das BWL-Forschungsranking Ranking aufgebaut? Welche Kategorien gibt es und welcher Zeitraum wird betrachtet?</t>
  </si>
  <si>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**Zitationen**: Die Anzahl von Zitierungen von Forschern der Universität in anderen wissenschaftlichen Artikeln. 3. **Forschungsgelder**: Die Höhe der Forschungsgelder, die von der Universität eingeworben werden konnten. 4. **Akkreditierung**: Die Akkreditierung von Studiengängen durch externe Institutionen.  Das Ranking kann auf verschiedenen Ebenen erstellt werden, wie z.B. auf nationaler oder internationaler Ebene. Es gibt auch verschiedene Kategorien, in denen die Universitäten bewertet werden können, wie z.B. "Forschung", "Lehre" oder "Internationale Zusammenarbeit".  Der Zeitraum, der betrachtet wird, kann je nach Ranking variieren. Einige Rankings berücksichtigen nur die Forschungsleistungen der letzten 5 Jahre, während andere auch ältere Publikationen und Zitationen einbeziehen.  Es ist wichtig zu beachten, dass das BWL-Forschungsranking nicht immer objektiv ist und von verschiedenen Faktoren abhängt, wie z.B. den Kriterien, die verwendet werden, um die Universitäten zu bewerten, oder der Qualität der Daten, die verwendet werden.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</si>
  <si>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</si>
  <si>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</si>
  <si>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</si>
  <si>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</si>
  <si>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"Goßen Lebenswerk-Ranking 2024" belegt Prof. Ulrich Thonemann den 35. Platz. Außerdem sind Prof. Dirk Sliwka, Prof. Werner Reinartz, Prof. Wolgang Ketter und Prof. Christoph Rosenkranz unter den Top 100. Unter den Top 200 be sich Prof. Detlef Schoder, Prof. Franziska Völckner, Prof. Alexander Kempf, Prof. Marc Fischer und Prof. Bernd Irlenbusch.  Ich hoffe, diese Informationen helfen dir weiter!</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</si>
  <si>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</si>
  <si>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</si>
  <si>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</si>
  <si>
    <t>Wie lange dauert der Master Corporate Development, wie viele Credits hat er und in welcher Sprache wird unterrichtet?</t>
  </si>
  <si>
    <t>Basierend auf den Suchergebnissen kann ich dir folgende Informationen geben:  * Die Dauer des Master Corporate Development beträgt 4 Semester. * Der Studiengang hat einen Umfang von 120 ECTS-Credits. * Die Sprache der Lehre ist hauptsächlich Englisch, aber auch Deutsch wird verwendet.  Ich hoffe, diese Informationen helfen dir weiter! Wenn du noch weitere Fragen hast, stehe ich gerne zur Verfügung.</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</si>
  <si>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</si>
  <si>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</si>
  <si>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'file://D:/Uni-Köln/Masterarbeit/Software/uzk-masterarbeit/data/pdf_cache/__wiso.uni-koeln.de_sites_fakultaet_dokumente_downloads_Modulhandbuecher_Studienjahr_22-23_MHB_PO2015_m_mhb_po2015_e_ba_scm.pdf']</t>
  </si>
  <si>
    <t>Für wen ist der Master Corporate Development gedacht – was sollte ich mitbringen?</t>
  </si>
  <si>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</si>
  <si>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</si>
  <si>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</si>
  <si>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</si>
  <si>
    <t>Was ist das Besondere am Master Information Systems und welche Vorteile habe ich dadurch?</t>
  </si>
  <si>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</si>
  <si>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</si>
  <si>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</si>
  <si>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</si>
  <si>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Wie international ist der Studiengang Master Information Systems und welche Auslandsoptionen habe ich?</t>
  </si>
  <si>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</si>
  <si>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</si>
  <si>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</si>
  <si>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</si>
  <si>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</si>
  <si>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</si>
  <si>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</si>
  <si>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</si>
  <si>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</si>
  <si>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</si>
  <si>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</si>
  <si>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</si>
  <si>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</si>
  <si>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</si>
  <si>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</si>
  <si>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</si>
  <si>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</si>
  <si>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</si>
  <si>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</si>
  <si>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</si>
  <si>
    <t>['html', 'pdf', 'html', 'pdf', 'pdf']</t>
  </si>
  <si>
    <t>Welche Unterlagen müssen für die Bewerbung zur Masterarbeit im Bereich Finance Area eingereicht werden und wie sollen die Dateinamen lauten?</t>
  </si>
  <si>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</si>
  <si>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</si>
  <si>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</si>
  <si>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</si>
  <si>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</si>
  <si>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</si>
  <si>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</si>
  <si>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</si>
  <si>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</si>
  <si>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</si>
  <si>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</si>
  <si>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</si>
  <si>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</si>
  <si>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</si>
  <si>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</si>
  <si>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</si>
  <si>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</si>
  <si>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</si>
  <si>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</si>
  <si>
    <t>Was sind die besonderen Merkmale der Wirtschaftsinformatik an der Universität zu Köln in Bezug auf Forschung, Lehre und Praxisbezug?</t>
  </si>
  <si>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</si>
  <si>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</si>
  <si>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</si>
  <si>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</si>
  <si>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</si>
  <si>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</si>
  <si>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</si>
  <si>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</si>
  <si>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</si>
  <si>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</si>
  <si>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</si>
  <si>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</si>
  <si>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</si>
  <si>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</si>
  <si>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</si>
  <si>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</si>
  <si>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</si>
  <si>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</si>
  <si>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</si>
  <si>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</si>
  <si>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</si>
  <si>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</si>
  <si>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</si>
  <si>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</si>
  <si>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</si>
  <si>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</si>
  <si>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</si>
  <si>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</si>
  <si>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</si>
  <si>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</si>
  <si>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</si>
  <si>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</si>
  <si>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</si>
  <si>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</si>
  <si>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</si>
  <si>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</si>
  <si>
    <t>['pdf', 'html', 'pdf', 'pdf', 'html']</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</si>
  <si>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</si>
  <si>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</si>
  <si>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</si>
  <si>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</si>
  <si>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</si>
  <si>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</si>
  <si>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</si>
  <si>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</si>
  <si>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</si>
  <si>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</si>
  <si>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</si>
  <si>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an der Universität zu Köln erforderlich.</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</si>
  <si>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</si>
  <si>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</si>
  <si>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</si>
  <si>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</si>
  <si>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</si>
  <si>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</si>
  <si>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</si>
  <si>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</si>
  <si>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</si>
  <si>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</si>
  <si>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</si>
  <si>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</si>
  <si>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</si>
  <si>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</si>
  <si>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</si>
  <si>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</si>
  <si>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</si>
  <si>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</si>
  <si>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</si>
  <si>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Basierend auf den Suchergebnissen kann ich dir folgende Informationen geben:  Die Ausgabe 10 des PUMA WiSo 2026 erscheint nicht explizit in den Suchergebnissen. Es ist jedoch erwähnt, dass die Ausgaben der PUMA WiSo 2026 im ILIAS-System verfügbar sind.  Beiträge für das PUMA WiSo 2026 müssen spätestens bis zum 31. Januar 2025 eingereicht werden.</t>
  </si>
  <si>
    <t>Die Ausgabe 10 des PUMA WiSo 2026 erscheint am Dienstag, den 19.05.2026. Beiträge musst du spätestens bis zum Redaktionsschluss am 13.05.2026 einreichen.</t>
  </si>
  <si>
    <t>['ispresentation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'9 December 2024 --- Page 10 --- Application Documents - Bachelor 10 1.Personal data •Letter of motivation •CV in English •English certificate –min. B2 (TOEFL, IELTS, Cambridge Certificate, WiSo Business English course, FILTERtest ) 2.Study Details •Current ToR from UoC STAP Bachelor Application Manual December 2024 --- Page 11 --- Application Documents - Master 11 1.Personal data •Letter of motivation •CV in English •English certificate –min B2 ( TOEFL, IELTS, Cambridge Certificate, WiSo Business English course, FILTERtest , Bachelor degree in English) 2.Study Details •Bachelor’s degree certificate •Certificate of enrolment 3.Professional Data •Records of internships, extracurricular activities…STAP Master Application Manual December 2024 --- Page 12 --- Application Steps 12 Application portal open since 01 December 2024 •Enter your personal data •Start your application •Select “Short Programme Sociology” and “Utrecht University” •Start uploading your application documents •Submit application when complete \uf0e0Once submitted: no alterations possible! Deadline for final submission: 31 January 2025 December 2024 --- Page 13 --- ANY QUESTIONS LEFT? 13 December 2024 --- Page 14 --- Contact 14 Your main contact at the International Relations Center (ZIB): Veronika Langenberg E-mail: veronika.langenberg@uni -koeln.de (in case of out -of-office reply: wiso.outgoings@uni -koeln.de ) Tel.: +49 221 470 7065 Advising hours on site (Advising Area, Room 0.303, WiSo Building) and online: book']</t>
  </si>
  <si>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'https://wiso.uni-koeln.de/de/studium/international/international-options-for-wiso-students/wisoacademic-short-programmes', 'file://D:/Uni-Köln/Masterarbeit/Software/uzk-masterarbeit/data/pdf_cache/__wiso.uni-koeln.de_sites_international-wiso_Outgoing_Short_programmes_Utrecht_Info_Fall_2024.pdf']</t>
  </si>
  <si>
    <t>Welche Ausgaben des PUMA WiSo 2026 erscheinen im Juli 2026 und wann sind die jeweiligen Redaktionsschlüsse?</t>
  </si>
  <si>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</si>
  <si>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</si>
  <si>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</si>
  <si>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</si>
  <si>
    <t>Nach welchen Regeln darf ich als Austauschstudent*in an der WiSo-Fakultät laut Kursliste Bachelor- und Masterveranstaltungen belegen?</t>
  </si>
  <si>
    <t>Basierend auf den Suchergebnissen können die Regeln für Austauschstudenten an der WiSo-Fakultät wie folgt zusammengefasst werden:  1.  Die WiSo-Fakultät bietet verschiedene Möglichkeiten für Austauschstudenten, darunter:     *   Studium Integrale: Ein integriertes Studienprogramm, bei dem Credits aus dem Ausland anerkannt werden können.     *   Studies Abroad Modules: Eine Möglichkeit, Credits aus dem Ausland in das Studienprogramm zu integrieren.     *   Single Course Credit Transfer: Die Anerkennung von einzelnen Kursen aus dem Ausland. 2.  Austauschstudenten müssen sich frühzeitig für ein Austauschprogramm bewerben, da die Bewerbungsfrist im Januar ist und der Austausch in der Regel im folgenden Jahr stattfindet. 3.  Die WiSo-Fakultät hat Partnerschaften mit verschiedenen Universitäten, bei denen Studenten nominiert werden müssen, um an einem Austauschprogramm teilzunehmen. 4.  Die Nominierung erfolgt über das WiSo Exchange Platform (WEX) und die Koordinatoren erhalten eine persönliche Aktivierungslink. 5.  Die Sprachanforderungen für eingehende Studenten sind CEFR-Level B2 in Englisch oder Deutsch, kein Zertifikat ist erforderlich.  Es ist wichtig zu beachten, dass die WiSo-Fakultät keine Freemover-Studenten akzeptiert und dass Studenten, die ihr gesamtes Studium an der Universität Köln absolvieren möchten, sich direkt an das WiSo Student Service Point (WiSSPo) wenden sollten.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</si>
  <si>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</si>
  <si>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</si>
  <si>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'https://wiso.uni-koeln.de/de/studium/international/incoming-exchange-at-wiso/semester-exchange', 'file://D:/Uni-Köln/Masterarbeit/Software/uzk-masterarbeit/data/pdf_cache/__wiso.uni-koeln.de_sites_fakultaet_dokumente_downloads_Modulhandbuecher_Bachelor_MHB_aktuelles_Studienjahr_b_module_catalogue_management_economics_social_sciences_po2021.pdf']</t>
  </si>
  <si>
    <t>Ich muss mein Austauschsemester Mitte Dezember als Early leaver beenden. Was bedeutet 'Early leaver option' und wie finde ich passende Kurse?</t>
  </si>
  <si>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</si>
  <si>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</si>
  <si>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</si>
  <si>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</si>
  <si>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</si>
  <si>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**Antwort**  Ja, es ist möglich, mehrere Atteste zum Nachweis einer Prüfungsunfähigkeit bis zur maximalen Dauer nach Prüfungsordnung einzureichen. Es besteht keine Notwendigkeit, ein Attest über einen noch nicht vollständig absehbaren Zeitraum auszustellen.  Es ist jedoch wichtig zu beachten, dass die Beeinträchtigung der Leistungsfähigkeit durch Prüfungsangst oder Prüfungsstress grundsätzlich nicht zu einer rechtlich beachtlichen Prüfungsunfähigkeit führt. Eine psychische Erkrankung kann jedoch eine rechtlich beachtliche Prüfungsunfähigkeit sein.  Es ist ratsam, ein Attest über einen bestimmten Zeitraum auszustellen und nicht über einen noch nicht vollständig absehbaren Zeitraum. Es ist auch wichtig, dass die Gründe für die Prüfungsunfähigkeit aktenkundig gemacht werden.  Wenn Sie weitere Fragen haben oder Hilfe benötigen, stehe ich Ihnen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</si>
  <si>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</si>
  <si>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t>
  </si>
  <si>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t>
  </si>
  <si>
    <t>Kann ich für eine Verlängerung der Bearbeitungsfrist meiner Abschlussarbeit einfach Prüfungsangst als Grund angeben, oder reicht das nicht für eine anerkannte Prüfungsunfähigkeit?</t>
  </si>
  <si>
    <t>**Antwort:**  Es tut mir leid, aber Prüfungsangst oder Prüfungsstress reicht nicht aus für eine anerkannte Prüfungsunfähigkeit. Nach den Informationen in der Universitäts-Wissensdatenbank ist eine ärztliche Bescheinigung erforderlich, um eine Verlängerung der Bearbeitungsfrist zu beantragen.  Um eine Verlängerung der Bearbeitungsfrist für deine Abschlussarbeit zu erhalten, musst du einen Antrag stellen und ein ärztliches Attest vorlegen. Das Attest muss eine prüfungsrechtlich relevante Einschränkung deiner Leistungsfähigkeit bescheinigen.  Es ist wichtig zu beachten, dass Prüfungsangst oder Prüfungsstress nicht als Grund für eine Verlängerung der Bearbeitungsfrist anerkannt werden. Wenn du jedoch eine psychische Erkrankung hast, die deine Leistungsfähigkeit beeinträchtigt, kann dies ein gültiger Grund sein.  Ich empfehle dir, einen Antrag auf Verlängerung der Bearbeitungsfrist zu stellen und ein ärztliches Attest vorzulegen. Wenn du Fragen oder Bedenken hast, kannst du dich an die Studienberatung wenden.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</si>
  <si>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</si>
  <si>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</si>
  <si>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</si>
  <si>
    <t>['pdf', 'pdf', 'html', 'html', 'html']</t>
  </si>
  <si>
    <t>Wie wird die Gesamtnote im Bachelorstudiengang Gesundheitsökonomie berechnet und mit welcher Gewichtung gehen die einzelnen Bereiche sowie die Bachelorarbeit ein?</t>
  </si>
  <si>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</si>
  <si>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</si>
  <si>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</si>
  <si>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</si>
  <si>
    <t>Welche Zugangsvoraussetzungen und fachlichen Anforderungen gelten für den Masterstudiengang Business Administration Marketing an der Universität zu Köln?</t>
  </si>
  <si>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</si>
  <si>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</si>
  <si>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</si>
  <si>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</si>
  <si>
    <t>Bis wann läuft die Prüfungsordnung für den Bachelorstudiengang Gesundheitsökonomie (PO 2015) aus?</t>
  </si>
  <si>
    <t>Die Prüfungsordnung für den Bachelorstudiengang Gesundheitsökonomie (PO 2015) läuft mit Ablauf des Wintersemesters 2024/25 aus.</t>
  </si>
  <si>
    <t>Die Prüfungsordnung für den Bachelorstudiengang Gesundheitsökonomie (PO 2015) läuft mit Ablauf des Wintersemesters 2024/25 aus</t>
  </si>
  <si>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</si>
  <si>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</si>
  <si>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</si>
  <si>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Der Masterstudiengang Business Administration – Marketing ist inhaltlich durch die Kombination von fachlich-spezifischen Anforderungen und einem grundlegenden Einsetz in Aufgabenfeldern mit Personal- und Budgetverantwortung i.S. unternehmerischen Handelns geprägt. Der Schwerpunkt des Programms liegt auf der Vermittlung schwerpunktspezifischer Grundlagen und weiterführender Fähigkeiten im Marketing, einschließlich des Marketing Performance Managements.  Das Programm wird in deutscher und englischer Sprache angeboten. Die Lehr- und Lernformen umfassen Vorlesungen und Übungen. Die Voraussetzungen für die Vergabe von Leistungspunkten bestehen darin, die Modulabschlussprüfung zu bestehen.  Insgesamt bietet der Masterstudiengang Business Administration – Marketing eine umfassende Ausbildung in den Bereichen Marketing, Management und Unternehmensführung.</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</si>
  <si>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</si>
  <si>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</si>
  <si>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</si>
  <si>
    <t>['pdf', 'pdf', 'html', 'pdf', 'pdf']</t>
  </si>
  <si>
    <t>Welche verschiedenen Praktikumsmöglichkeiten beim Europäischen Parlament sind möglich?</t>
  </si>
  <si>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</si>
  <si>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</si>
  <si>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</si>
  <si>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</si>
  <si>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</si>
  <si>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</si>
  <si>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</si>
  <si>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</si>
  <si>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</si>
  <si>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</si>
  <si>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</si>
  <si>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</si>
  <si>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</si>
  <si>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</si>
  <si>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</si>
  <si>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Es tut mir leid, aber die Suchergebnisse beziehen sich nicht auf den Notfallplan für Viren- oder Trojanerbefall. Ich kann Ihnen jedoch allgemeine Informationen über die ersten Schritte bei einem Verdacht auf einen Viren- oder Trojanerbefall geben.  Wenn Sie einen Viren- oder Trojanerbefall vermuten, sollten Sie folgende Schritte unternehmen:  1. **Sichern Sie Ihre Daten**: Sobald Sie den Verdacht haben, dass Ihr Computer infiziert ist, sollten Sie alle wichtigen Dateien und Dokumente sichern, um sie vor dem möglichen Verlust zu schützen. 2. **Schalten Sie Ihren Computer aus**: Beenden Sie Ihren Computer und ziehen Sie das Netzteil heraus, um weitere Schäden zu verhindern. 3. **Lassen Sie einen Fachmann helfen**: Wenn Sie nicht sicher sind, wie Sie vorgehen sollen, sollten Sie einen IT-Spezialisten oder den Support Ihres Betriebssystems kontaktieren.  Ich hoffe, diese allgemeinen Informationen helfen Ihnen weiter. Wenn Sie spezifische Fragen zu Ihrem Fall haben, stehe ich Ihnen gerne zur Verfügung.</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</si>
  <si>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</si>
  <si>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 Hiermit versichere ich an Eides statt, dass ich die vorliegende Arbeit selbstständig und ohne die Benutzung anderer als der angegebenen Hilfsmittel angefertigt habe. Alle Stellen, die wörtlich oder sinngemä ß aus veröffentlichten und nicht veröffentlichten Schriften entnommen wurden, sind als solche kenntlich gemacht . Die Arbeit ist in gleicher oder ähnlicher Form oder auszugsweise im Rahmen einer anderen Prüfung noch nicht vorgelegt worden. Ich versichere, d ass die eingereichte elektronische Fassung der eingereichten Druckfassung vollständig entspricht. “ 3Wurde d', 'd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 'ungen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begründeten Einze lfalles obliegt der beziehungsweise dem Vorsitzenden des Prüfu ngsausschusses. 6Im Fall einer Entscheidung nach Satz 4, letzter Halbsatz hört sie beziehungsweise er vor einer Entscheidung die Themenstellerin beziehungsweise den Themensteller.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t>
  </si>
  <si>
    <t>['file://D:/Uni-Köln/Masterarbeit/Software/uzk-masterarbeit/data/pdf_cache/__wiso.uni-koeln.de_sites_fakultaet_dokumente_PA_po_po_m_information_systems.pdf', 'file://D:/Uni-Köln/Masterarbeit/Software/uzk-masterarbeit/data/pdf_cache/__wiso.uni-koeln.de_sites_wiso_it_docs_Anleitungen_PC-Pool_Benutzungsordnung.pdf', 'file://D:/Uni-Köln/Masterarbeit/Software/uzk-masterarbeit/data/pdf_cache/__wiso.uni-koeln.de_sites_fakultaet_dokumente_PA_po_po_m_soziologie_empirische_sozialforschung.pdf', 'file://D:/Uni-Köln/Masterarbeit/Software/uzk-masterarbeit/data/pdf_cache/__wiso.uni-koeln.de_sites_fakultaet_dokumente_PA_po_po_m_business_administration.pdf', 'file://D:/Uni-Köln/Masterarbeit/Software/uzk-masterarbeit/data/pdf_cache/__wiso.uni-koeln.de_sites_fakultaet_dokumente_PA_pruefungen_erkrankung.pdf']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</si>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</sst>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7"/>
  <sheetViews>
    <sheetView topLeftCell="G1" workbookViewId="0">
      <selection activeCell="K2" sqref="K2"/>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1</v>
      </c>
      <c r="K2">
        <v>1</v>
      </c>
      <c r="L2">
        <v>0.32499999998375001</v>
      </c>
      <c r="M2">
        <v>0.66716008694098883</v>
      </c>
      <c r="N2">
        <v>0.1111111109876543</v>
      </c>
      <c r="O2">
        <v>0.84578900131503387</v>
      </c>
      <c r="P2">
        <v>0.1045489758253098</v>
      </c>
      <c r="Q2">
        <v>-2.784254401922226E-2</v>
      </c>
      <c r="R2">
        <v>0.2396308034658432</v>
      </c>
      <c r="S2">
        <v>0</v>
      </c>
      <c r="T2">
        <v>0</v>
      </c>
      <c r="U2">
        <v>36.550659656524658</v>
      </c>
      <c r="V2">
        <v>3217</v>
      </c>
      <c r="W2">
        <v>394</v>
      </c>
      <c r="X2">
        <v>3611</v>
      </c>
      <c r="Y2">
        <v>0</v>
      </c>
      <c r="Z2">
        <v>5</v>
      </c>
      <c r="AA2">
        <v>36.550659656524658</v>
      </c>
    </row>
    <row r="3" spans="1:27" ht="409.5" x14ac:dyDescent="0.25">
      <c r="A3">
        <v>2</v>
      </c>
      <c r="B3" t="s">
        <v>27</v>
      </c>
      <c r="C3" t="s">
        <v>35</v>
      </c>
      <c r="D3" s="2" t="s">
        <v>36</v>
      </c>
      <c r="E3" s="2" t="s">
        <v>37</v>
      </c>
      <c r="F3" s="2" t="s">
        <v>38</v>
      </c>
      <c r="G3" s="2" t="s">
        <v>39</v>
      </c>
      <c r="H3" t="s">
        <v>40</v>
      </c>
      <c r="I3" t="s">
        <v>41</v>
      </c>
      <c r="J3" s="3">
        <v>0.8</v>
      </c>
      <c r="K3">
        <v>1</v>
      </c>
      <c r="L3">
        <v>0.99999999989999999</v>
      </c>
      <c r="M3">
        <v>0.70528893360615896</v>
      </c>
      <c r="N3">
        <v>0.249999999375</v>
      </c>
      <c r="O3">
        <v>0.89450967131841852</v>
      </c>
      <c r="P3">
        <v>0.22742059826850891</v>
      </c>
      <c r="Q3">
        <v>-2.21262127161026E-2</v>
      </c>
      <c r="R3">
        <v>0.49825021624565119</v>
      </c>
      <c r="S3">
        <v>0</v>
      </c>
      <c r="T3">
        <v>0</v>
      </c>
      <c r="U3">
        <v>20.180502891540531</v>
      </c>
      <c r="V3">
        <v>3416</v>
      </c>
      <c r="W3">
        <v>327</v>
      </c>
      <c r="X3">
        <v>3743</v>
      </c>
      <c r="Y3">
        <v>0</v>
      </c>
      <c r="Z3">
        <v>5</v>
      </c>
      <c r="AA3">
        <v>20.180502891540531</v>
      </c>
    </row>
    <row r="4" spans="1:27" ht="409.5" x14ac:dyDescent="0.25">
      <c r="A4">
        <v>3</v>
      </c>
      <c r="B4" t="s">
        <v>27</v>
      </c>
      <c r="C4" t="s">
        <v>28</v>
      </c>
      <c r="D4" s="2" t="s">
        <v>42</v>
      </c>
      <c r="E4" s="2" t="s">
        <v>43</v>
      </c>
      <c r="F4" s="2" t="s">
        <v>44</v>
      </c>
      <c r="G4" s="2" t="s">
        <v>45</v>
      </c>
      <c r="H4" t="s">
        <v>46</v>
      </c>
      <c r="I4" t="s">
        <v>47</v>
      </c>
      <c r="J4" s="4">
        <v>0.7142857142857143</v>
      </c>
      <c r="K4">
        <v>1</v>
      </c>
      <c r="L4">
        <v>0.53333333331555555</v>
      </c>
      <c r="M4">
        <v>0.75651906417665882</v>
      </c>
      <c r="N4">
        <v>0.37499999953125002</v>
      </c>
      <c r="O4">
        <v>0.91643861528213211</v>
      </c>
      <c r="P4">
        <v>0.33705645799636841</v>
      </c>
      <c r="Q4">
        <v>0.32776409387588501</v>
      </c>
      <c r="R4">
        <v>0.34342381358146667</v>
      </c>
      <c r="S4">
        <v>0.2</v>
      </c>
      <c r="T4">
        <v>1</v>
      </c>
      <c r="U4">
        <v>11.7306854724884</v>
      </c>
      <c r="V4">
        <v>2872</v>
      </c>
      <c r="W4">
        <v>153</v>
      </c>
      <c r="X4">
        <v>3025</v>
      </c>
      <c r="Y4">
        <v>0</v>
      </c>
      <c r="Z4">
        <v>5</v>
      </c>
      <c r="AA4">
        <v>11.7306854724884</v>
      </c>
    </row>
    <row r="5" spans="1:27" ht="409.5" x14ac:dyDescent="0.25">
      <c r="A5">
        <v>4</v>
      </c>
      <c r="B5" t="s">
        <v>27</v>
      </c>
      <c r="C5" t="s">
        <v>28</v>
      </c>
      <c r="D5" s="2" t="s">
        <v>48</v>
      </c>
      <c r="E5" s="2" t="s">
        <v>49</v>
      </c>
      <c r="F5" s="2" t="s">
        <v>50</v>
      </c>
      <c r="G5" s="2" t="s">
        <v>51</v>
      </c>
      <c r="H5" t="s">
        <v>52</v>
      </c>
      <c r="I5" t="s">
        <v>53</v>
      </c>
      <c r="J5" s="3">
        <v>0.88888888888888884</v>
      </c>
      <c r="K5">
        <v>0.33333333333333331</v>
      </c>
      <c r="L5">
        <v>0</v>
      </c>
      <c r="M5">
        <v>0.72346061615525681</v>
      </c>
      <c r="N5">
        <v>0.19999999979999999</v>
      </c>
      <c r="O5">
        <v>0.94710601354684654</v>
      </c>
      <c r="P5">
        <v>0.18266564607620239</v>
      </c>
      <c r="Q5">
        <v>9.5067836344242096E-2</v>
      </c>
      <c r="R5">
        <v>0.26941618323326111</v>
      </c>
      <c r="S5">
        <v>0</v>
      </c>
      <c r="T5">
        <v>0</v>
      </c>
      <c r="U5">
        <v>12.4129204750061</v>
      </c>
      <c r="V5">
        <v>2957</v>
      </c>
      <c r="W5">
        <v>245</v>
      </c>
      <c r="X5">
        <v>3202</v>
      </c>
      <c r="Y5">
        <v>0</v>
      </c>
      <c r="Z5">
        <v>5</v>
      </c>
      <c r="AA5">
        <v>12.4129204750061</v>
      </c>
    </row>
    <row r="6" spans="1:27" ht="409.5" x14ac:dyDescent="0.25">
      <c r="A6">
        <v>5</v>
      </c>
      <c r="B6" t="s">
        <v>27</v>
      </c>
      <c r="C6" t="s">
        <v>35</v>
      </c>
      <c r="D6" s="2" t="s">
        <v>54</v>
      </c>
      <c r="E6" s="2" t="s">
        <v>55</v>
      </c>
      <c r="F6" s="2" t="s">
        <v>56</v>
      </c>
      <c r="G6" s="2" t="s">
        <v>57</v>
      </c>
      <c r="H6" t="s">
        <v>58</v>
      </c>
      <c r="I6" t="s">
        <v>59</v>
      </c>
      <c r="J6" s="4">
        <v>0.78947368421052633</v>
      </c>
      <c r="K6">
        <v>1</v>
      </c>
      <c r="L6">
        <v>0.80416666664656256</v>
      </c>
      <c r="M6">
        <v>0.85294237935968409</v>
      </c>
      <c r="N6">
        <v>0.99999999000000017</v>
      </c>
      <c r="O6">
        <v>0.91459000713418781</v>
      </c>
      <c r="P6">
        <v>0.2456951588392258</v>
      </c>
      <c r="Q6">
        <v>9.2951007187366486E-2</v>
      </c>
      <c r="R6">
        <v>0.40387400984764099</v>
      </c>
      <c r="S6">
        <v>0.25</v>
      </c>
      <c r="T6">
        <v>1</v>
      </c>
      <c r="U6">
        <v>16.369385242462162</v>
      </c>
      <c r="V6">
        <v>3300</v>
      </c>
      <c r="W6">
        <v>362</v>
      </c>
      <c r="X6">
        <v>3662</v>
      </c>
      <c r="Y6">
        <v>0</v>
      </c>
      <c r="Z6">
        <v>5</v>
      </c>
      <c r="AA6">
        <v>16.369385242462162</v>
      </c>
    </row>
    <row r="7" spans="1:27" ht="409.5" x14ac:dyDescent="0.25">
      <c r="A7">
        <v>6</v>
      </c>
      <c r="B7" t="s">
        <v>27</v>
      </c>
      <c r="C7" t="s">
        <v>28</v>
      </c>
      <c r="D7" s="2" t="s">
        <v>60</v>
      </c>
      <c r="E7" s="2" t="s">
        <v>61</v>
      </c>
      <c r="F7" s="2" t="s">
        <v>62</v>
      </c>
      <c r="G7" s="2" t="s">
        <v>63</v>
      </c>
      <c r="H7" t="s">
        <v>64</v>
      </c>
      <c r="I7" t="s">
        <v>65</v>
      </c>
      <c r="J7" s="3">
        <v>0.94444444444444442</v>
      </c>
      <c r="K7">
        <v>0</v>
      </c>
      <c r="L7">
        <v>0</v>
      </c>
      <c r="M7">
        <v>0.56707606995901694</v>
      </c>
      <c r="N7">
        <v>0</v>
      </c>
      <c r="O7">
        <v>0.78144153492716606</v>
      </c>
      <c r="P7">
        <v>0.1066301241517067</v>
      </c>
      <c r="Q7">
        <v>-1.4318641042336819E-3</v>
      </c>
      <c r="R7">
        <v>0.2150852978229523</v>
      </c>
      <c r="S7">
        <v>0</v>
      </c>
      <c r="T7">
        <v>0</v>
      </c>
      <c r="U7">
        <v>12.69304084777832</v>
      </c>
      <c r="V7">
        <v>3352</v>
      </c>
      <c r="W7">
        <v>241</v>
      </c>
      <c r="X7">
        <v>3593</v>
      </c>
      <c r="Y7">
        <v>0</v>
      </c>
      <c r="Z7">
        <v>5</v>
      </c>
      <c r="AA7">
        <v>12.69304084777832</v>
      </c>
    </row>
    <row r="8" spans="1:27" ht="409.5" x14ac:dyDescent="0.25">
      <c r="A8">
        <v>7</v>
      </c>
      <c r="B8" t="s">
        <v>27</v>
      </c>
      <c r="C8" t="s">
        <v>28</v>
      </c>
      <c r="D8" s="2" t="s">
        <v>66</v>
      </c>
      <c r="E8" s="2" t="s">
        <v>67</v>
      </c>
      <c r="F8" s="2" t="s">
        <v>68</v>
      </c>
      <c r="G8" s="2" t="s">
        <v>69</v>
      </c>
      <c r="H8" t="s">
        <v>70</v>
      </c>
      <c r="I8" t="s">
        <v>65</v>
      </c>
      <c r="J8" s="3">
        <v>0.9375</v>
      </c>
      <c r="K8">
        <v>0</v>
      </c>
      <c r="L8">
        <v>0</v>
      </c>
      <c r="M8">
        <v>0.5311836551403456</v>
      </c>
      <c r="N8">
        <v>0</v>
      </c>
      <c r="O8">
        <v>0.72625436722986869</v>
      </c>
      <c r="P8">
        <v>4.5393180102109909E-2</v>
      </c>
      <c r="Q8">
        <v>-2.315347641706467E-2</v>
      </c>
      <c r="R8">
        <v>0.11139461398124691</v>
      </c>
      <c r="S8">
        <v>0</v>
      </c>
      <c r="T8">
        <v>0</v>
      </c>
      <c r="U8">
        <v>22.189383029937741</v>
      </c>
      <c r="V8">
        <v>3257</v>
      </c>
      <c r="W8">
        <v>297</v>
      </c>
      <c r="X8">
        <v>3554</v>
      </c>
      <c r="Y8">
        <v>0</v>
      </c>
      <c r="Z8">
        <v>5</v>
      </c>
      <c r="AA8">
        <v>22.189383029937741</v>
      </c>
    </row>
    <row r="9" spans="1:27" ht="409.5" x14ac:dyDescent="0.25">
      <c r="A9">
        <v>8</v>
      </c>
      <c r="B9" t="s">
        <v>27</v>
      </c>
      <c r="C9" t="s">
        <v>71</v>
      </c>
      <c r="D9" s="2" t="s">
        <v>72</v>
      </c>
      <c r="E9" s="2" t="s">
        <v>73</v>
      </c>
      <c r="F9" s="2" t="s">
        <v>74</v>
      </c>
      <c r="G9" s="2" t="s">
        <v>75</v>
      </c>
      <c r="H9" t="s">
        <v>76</v>
      </c>
      <c r="I9" t="s">
        <v>41</v>
      </c>
      <c r="J9" s="3">
        <v>0.8</v>
      </c>
      <c r="K9">
        <v>0</v>
      </c>
      <c r="L9">
        <v>0</v>
      </c>
      <c r="M9">
        <v>0.78027698188894301</v>
      </c>
      <c r="N9">
        <v>0</v>
      </c>
      <c r="O9">
        <v>0.98983701136776203</v>
      </c>
      <c r="P9">
        <v>0.12290011346340179</v>
      </c>
      <c r="Q9">
        <v>0.13821215927600861</v>
      </c>
      <c r="R9">
        <v>0.1038089543581009</v>
      </c>
      <c r="S9">
        <v>0</v>
      </c>
      <c r="T9">
        <v>0</v>
      </c>
      <c r="U9">
        <v>10.46922707557678</v>
      </c>
      <c r="V9">
        <v>2969</v>
      </c>
      <c r="W9">
        <v>182</v>
      </c>
      <c r="X9">
        <v>3151</v>
      </c>
      <c r="Y9">
        <v>0</v>
      </c>
      <c r="Z9">
        <v>5</v>
      </c>
      <c r="AA9">
        <v>10.46922707557678</v>
      </c>
    </row>
    <row r="10" spans="1:27" ht="409.5" x14ac:dyDescent="0.25">
      <c r="A10">
        <v>9</v>
      </c>
      <c r="B10" t="s">
        <v>77</v>
      </c>
      <c r="C10" t="s">
        <v>35</v>
      </c>
      <c r="D10" s="2" t="s">
        <v>78</v>
      </c>
      <c r="E10" s="2" t="s">
        <v>79</v>
      </c>
      <c r="F10" s="2" t="s">
        <v>80</v>
      </c>
      <c r="G10" s="2" t="s">
        <v>81</v>
      </c>
      <c r="H10" t="s">
        <v>82</v>
      </c>
      <c r="I10" t="s">
        <v>83</v>
      </c>
      <c r="J10" s="5">
        <v>0.33333333333333331</v>
      </c>
      <c r="K10">
        <v>1</v>
      </c>
      <c r="L10">
        <v>0.99999999998</v>
      </c>
      <c r="M10">
        <v>0.689843656342504</v>
      </c>
      <c r="N10">
        <v>0.39999999920000001</v>
      </c>
      <c r="O10">
        <v>0.72031171867540544</v>
      </c>
      <c r="P10">
        <v>0.13954637944698331</v>
      </c>
      <c r="Q10">
        <v>-5.955938994884491E-2</v>
      </c>
      <c r="R10">
        <v>0.35041922330856318</v>
      </c>
      <c r="S10">
        <v>1</v>
      </c>
      <c r="T10">
        <v>1</v>
      </c>
      <c r="U10">
        <v>19.34413647651672</v>
      </c>
      <c r="V10">
        <v>2412</v>
      </c>
      <c r="W10">
        <v>383</v>
      </c>
      <c r="X10">
        <v>2795</v>
      </c>
      <c r="Y10">
        <v>0</v>
      </c>
      <c r="Z10">
        <v>5</v>
      </c>
      <c r="AA10">
        <v>19.34413647651672</v>
      </c>
    </row>
    <row r="11" spans="1:27" ht="409.5" x14ac:dyDescent="0.25">
      <c r="A11">
        <v>10</v>
      </c>
      <c r="B11" t="s">
        <v>77</v>
      </c>
      <c r="C11" t="s">
        <v>35</v>
      </c>
      <c r="D11" s="2" t="s">
        <v>84</v>
      </c>
      <c r="E11" s="2" t="s">
        <v>85</v>
      </c>
      <c r="F11" s="2" t="s">
        <v>86</v>
      </c>
      <c r="G11" s="2" t="s">
        <v>87</v>
      </c>
      <c r="H11" t="s">
        <v>88</v>
      </c>
      <c r="I11" t="s">
        <v>65</v>
      </c>
      <c r="J11" s="5">
        <v>0.5</v>
      </c>
      <c r="K11">
        <v>1</v>
      </c>
      <c r="L11">
        <v>0.99999999998</v>
      </c>
      <c r="M11">
        <v>0.76041028104647501</v>
      </c>
      <c r="N11">
        <v>0</v>
      </c>
      <c r="O11">
        <v>0.91467689009225206</v>
      </c>
      <c r="P11">
        <v>0.54987645149230957</v>
      </c>
      <c r="Q11">
        <v>0.51145881414413452</v>
      </c>
      <c r="R11">
        <v>0.58677512407302856</v>
      </c>
      <c r="S11">
        <v>0</v>
      </c>
      <c r="T11">
        <v>0</v>
      </c>
      <c r="U11">
        <v>9.4744455814361572</v>
      </c>
      <c r="V11">
        <v>4026</v>
      </c>
      <c r="W11">
        <v>85</v>
      </c>
      <c r="X11">
        <v>4111</v>
      </c>
      <c r="Y11">
        <v>0</v>
      </c>
      <c r="Z11">
        <v>5</v>
      </c>
      <c r="AA11">
        <v>9.4744455814361572</v>
      </c>
    </row>
    <row r="12" spans="1:27" ht="409.5" x14ac:dyDescent="0.25">
      <c r="A12">
        <v>11</v>
      </c>
      <c r="B12" t="s">
        <v>77</v>
      </c>
      <c r="C12" t="s">
        <v>28</v>
      </c>
      <c r="D12" s="2" t="s">
        <v>89</v>
      </c>
      <c r="E12" s="2" t="s">
        <v>90</v>
      </c>
      <c r="F12" s="2" t="s">
        <v>91</v>
      </c>
      <c r="G12" s="2" t="s">
        <v>92</v>
      </c>
      <c r="H12" t="s">
        <v>93</v>
      </c>
      <c r="I12" t="s">
        <v>94</v>
      </c>
      <c r="J12" s="3">
        <v>1</v>
      </c>
      <c r="K12">
        <v>1</v>
      </c>
      <c r="L12">
        <v>0.99999999995</v>
      </c>
      <c r="M12">
        <v>0.7988800410416349</v>
      </c>
      <c r="N12">
        <v>0.6999999992999999</v>
      </c>
      <c r="O12">
        <v>0.99498756733172244</v>
      </c>
      <c r="P12">
        <v>0.42138737440109247</v>
      </c>
      <c r="Q12">
        <v>0.2739633321762085</v>
      </c>
      <c r="R12">
        <v>0.57417762279510498</v>
      </c>
      <c r="S12">
        <v>0.5</v>
      </c>
      <c r="T12">
        <v>1</v>
      </c>
      <c r="U12">
        <v>10.70298790931702</v>
      </c>
      <c r="V12">
        <v>3236</v>
      </c>
      <c r="W12">
        <v>181</v>
      </c>
      <c r="X12">
        <v>3417</v>
      </c>
      <c r="Y12">
        <v>0</v>
      </c>
      <c r="Z12">
        <v>5</v>
      </c>
      <c r="AA12">
        <v>10.70298790931702</v>
      </c>
    </row>
    <row r="13" spans="1:27" ht="409.5" x14ac:dyDescent="0.25">
      <c r="A13">
        <v>12</v>
      </c>
      <c r="B13" t="s">
        <v>77</v>
      </c>
      <c r="C13" t="s">
        <v>35</v>
      </c>
      <c r="D13" s="2" t="s">
        <v>95</v>
      </c>
      <c r="E13" s="2" t="s">
        <v>96</v>
      </c>
      <c r="F13" s="2" t="s">
        <v>97</v>
      </c>
      <c r="G13" s="2" t="s">
        <v>98</v>
      </c>
      <c r="H13" t="s">
        <v>99</v>
      </c>
      <c r="I13" t="s">
        <v>100</v>
      </c>
      <c r="J13" s="4">
        <v>0.77777777777777779</v>
      </c>
      <c r="K13">
        <v>1</v>
      </c>
      <c r="L13">
        <v>0.99999999989999999</v>
      </c>
      <c r="M13">
        <v>0.69879044340550822</v>
      </c>
      <c r="N13">
        <v>0.39999999920000001</v>
      </c>
      <c r="O13">
        <v>0.81589876412908435</v>
      </c>
      <c r="P13">
        <v>0.44535449147224432</v>
      </c>
      <c r="Q13">
        <v>0.2054456025362015</v>
      </c>
      <c r="R13">
        <v>0.70467615127563477</v>
      </c>
      <c r="S13">
        <v>1</v>
      </c>
      <c r="T13">
        <v>1</v>
      </c>
      <c r="U13">
        <v>14.244469404220579</v>
      </c>
      <c r="V13">
        <v>3137</v>
      </c>
      <c r="W13">
        <v>239</v>
      </c>
      <c r="X13">
        <v>3376</v>
      </c>
      <c r="Y13">
        <v>0</v>
      </c>
      <c r="Z13">
        <v>5</v>
      </c>
      <c r="AA13">
        <v>14.244469404220579</v>
      </c>
    </row>
    <row r="14" spans="1:27" ht="409.5" x14ac:dyDescent="0.25">
      <c r="A14">
        <v>13</v>
      </c>
      <c r="B14" t="s">
        <v>77</v>
      </c>
      <c r="C14" t="s">
        <v>35</v>
      </c>
      <c r="D14" s="2" t="s">
        <v>101</v>
      </c>
      <c r="E14" s="2" t="s">
        <v>102</v>
      </c>
      <c r="F14" s="2" t="s">
        <v>103</v>
      </c>
      <c r="G14" s="2" t="s">
        <v>104</v>
      </c>
      <c r="H14" t="s">
        <v>105</v>
      </c>
      <c r="I14" t="s">
        <v>65</v>
      </c>
      <c r="J14" s="3">
        <v>1</v>
      </c>
      <c r="K14">
        <v>1</v>
      </c>
      <c r="L14">
        <v>0.99999999998</v>
      </c>
      <c r="M14">
        <v>0.94837569066527894</v>
      </c>
      <c r="N14">
        <v>0</v>
      </c>
      <c r="O14">
        <v>0.95275704073914536</v>
      </c>
      <c r="P14">
        <v>0.68805056810379028</v>
      </c>
      <c r="Q14">
        <v>0.66419094800949097</v>
      </c>
      <c r="R14">
        <v>0.71070092916488647</v>
      </c>
      <c r="S14">
        <v>0</v>
      </c>
      <c r="T14">
        <v>0</v>
      </c>
      <c r="U14">
        <v>7.679065465927124</v>
      </c>
      <c r="V14">
        <v>3455</v>
      </c>
      <c r="W14">
        <v>79</v>
      </c>
      <c r="X14">
        <v>3534</v>
      </c>
      <c r="Y14">
        <v>0</v>
      </c>
      <c r="Z14">
        <v>5</v>
      </c>
      <c r="AA14">
        <v>7.679065465927124</v>
      </c>
    </row>
    <row r="15" spans="1:27" ht="409.5" x14ac:dyDescent="0.25">
      <c r="A15">
        <v>14</v>
      </c>
      <c r="B15" t="s">
        <v>77</v>
      </c>
      <c r="C15" t="s">
        <v>28</v>
      </c>
      <c r="D15" s="2" t="s">
        <v>106</v>
      </c>
      <c r="E15" s="2" t="s">
        <v>107</v>
      </c>
      <c r="F15" s="2" t="s">
        <v>108</v>
      </c>
      <c r="G15" s="2" t="s">
        <v>109</v>
      </c>
      <c r="H15" t="s">
        <v>110</v>
      </c>
      <c r="I15" t="s">
        <v>83</v>
      </c>
      <c r="J15" s="4">
        <v>0.6</v>
      </c>
      <c r="K15">
        <v>0</v>
      </c>
      <c r="L15">
        <v>0</v>
      </c>
      <c r="M15">
        <v>0.78400217467661371</v>
      </c>
      <c r="N15">
        <v>4.761904759637188E-2</v>
      </c>
      <c r="O15">
        <v>0.8043436363306542</v>
      </c>
      <c r="P15">
        <v>0.22782203555107119</v>
      </c>
      <c r="Q15">
        <v>0.33656150102615362</v>
      </c>
      <c r="R15">
        <v>0.1199935525655746</v>
      </c>
      <c r="S15">
        <v>0</v>
      </c>
      <c r="T15">
        <v>0</v>
      </c>
      <c r="U15">
        <v>10.37664175033569</v>
      </c>
      <c r="V15">
        <v>3793</v>
      </c>
      <c r="W15">
        <v>164</v>
      </c>
      <c r="X15">
        <v>3957</v>
      </c>
      <c r="Y15">
        <v>0</v>
      </c>
      <c r="Z15">
        <v>5</v>
      </c>
      <c r="AA15">
        <v>10.37664175033569</v>
      </c>
    </row>
    <row r="16" spans="1:27" ht="409.5" x14ac:dyDescent="0.25">
      <c r="A16">
        <v>15</v>
      </c>
      <c r="B16" t="s">
        <v>77</v>
      </c>
      <c r="C16" t="s">
        <v>35</v>
      </c>
      <c r="D16" s="2" t="s">
        <v>111</v>
      </c>
      <c r="E16" s="2" t="s">
        <v>112</v>
      </c>
      <c r="F16" s="2" t="s">
        <v>113</v>
      </c>
      <c r="G16" s="2" t="s">
        <v>114</v>
      </c>
      <c r="H16" t="s">
        <v>115</v>
      </c>
      <c r="I16" t="s">
        <v>116</v>
      </c>
      <c r="J16" s="5">
        <v>0.33333333333333331</v>
      </c>
      <c r="K16">
        <v>0</v>
      </c>
      <c r="L16">
        <v>0</v>
      </c>
      <c r="M16">
        <v>0.72531634996208161</v>
      </c>
      <c r="N16">
        <v>0.19999999960000001</v>
      </c>
      <c r="O16">
        <v>0.77612418936369687</v>
      </c>
      <c r="P16">
        <v>0.41304868459701538</v>
      </c>
      <c r="Q16">
        <v>0.38415974378585821</v>
      </c>
      <c r="R16">
        <v>0.43959522247314448</v>
      </c>
      <c r="S16">
        <v>0</v>
      </c>
      <c r="T16">
        <v>0</v>
      </c>
      <c r="U16">
        <v>11.607722520828251</v>
      </c>
      <c r="V16">
        <v>3244</v>
      </c>
      <c r="W16">
        <v>95</v>
      </c>
      <c r="X16">
        <v>3339</v>
      </c>
      <c r="Y16">
        <v>0</v>
      </c>
      <c r="Z16">
        <v>5</v>
      </c>
      <c r="AA16">
        <v>11.607722520828251</v>
      </c>
    </row>
    <row r="17" spans="1:27" ht="409.5" x14ac:dyDescent="0.25">
      <c r="A17">
        <v>16</v>
      </c>
      <c r="B17" t="s">
        <v>117</v>
      </c>
      <c r="C17" t="s">
        <v>35</v>
      </c>
      <c r="D17" s="2" t="s">
        <v>118</v>
      </c>
      <c r="E17" s="2" t="s">
        <v>119</v>
      </c>
      <c r="F17" s="2" t="s">
        <v>120</v>
      </c>
      <c r="G17" s="2" t="s">
        <v>121</v>
      </c>
      <c r="H17" t="s">
        <v>122</v>
      </c>
      <c r="I17" t="s">
        <v>53</v>
      </c>
      <c r="J17" s="3">
        <v>1</v>
      </c>
      <c r="K17">
        <v>1</v>
      </c>
      <c r="L17">
        <v>0.80416666664656256</v>
      </c>
      <c r="M17">
        <v>0.75332231195640698</v>
      </c>
      <c r="N17">
        <v>0.19999999960000001</v>
      </c>
      <c r="O17">
        <v>0.92154244959617293</v>
      </c>
      <c r="P17">
        <v>0.10998772084712979</v>
      </c>
      <c r="Q17">
        <v>-8.8999196887016296E-2</v>
      </c>
      <c r="R17">
        <v>0.32067352533340449</v>
      </c>
      <c r="S17">
        <v>1</v>
      </c>
      <c r="T17">
        <v>1</v>
      </c>
      <c r="U17">
        <v>16.388834953308109</v>
      </c>
      <c r="V17">
        <v>2751</v>
      </c>
      <c r="W17">
        <v>379</v>
      </c>
      <c r="X17">
        <v>3130</v>
      </c>
      <c r="Y17">
        <v>0</v>
      </c>
      <c r="Z17">
        <v>5</v>
      </c>
      <c r="AA17">
        <v>16.388834953308109</v>
      </c>
    </row>
    <row r="18" spans="1:27" ht="409.5" x14ac:dyDescent="0.25">
      <c r="A18">
        <v>17</v>
      </c>
      <c r="B18" t="s">
        <v>117</v>
      </c>
      <c r="C18" t="s">
        <v>35</v>
      </c>
      <c r="D18" s="2" t="s">
        <v>123</v>
      </c>
      <c r="E18" s="2" t="s">
        <v>124</v>
      </c>
      <c r="F18" s="2" t="s">
        <v>125</v>
      </c>
      <c r="G18" s="2" t="s">
        <v>126</v>
      </c>
      <c r="H18" t="s">
        <v>127</v>
      </c>
      <c r="I18" t="s">
        <v>53</v>
      </c>
      <c r="J18" s="3">
        <v>1</v>
      </c>
      <c r="K18">
        <v>1</v>
      </c>
      <c r="L18">
        <v>0.249999999975</v>
      </c>
      <c r="M18">
        <v>0.85747824411634088</v>
      </c>
      <c r="N18">
        <v>0.66666666592592583</v>
      </c>
      <c r="O18">
        <v>0.87199182957967969</v>
      </c>
      <c r="P18">
        <v>0.59260499477386475</v>
      </c>
      <c r="Q18">
        <v>0.53976047039031982</v>
      </c>
      <c r="R18">
        <v>0.644569993019104</v>
      </c>
      <c r="S18">
        <v>1</v>
      </c>
      <c r="T18">
        <v>1</v>
      </c>
      <c r="U18">
        <v>9.4552924633026123</v>
      </c>
      <c r="V18">
        <v>3046</v>
      </c>
      <c r="W18">
        <v>132</v>
      </c>
      <c r="X18">
        <v>3178</v>
      </c>
      <c r="Y18">
        <v>0</v>
      </c>
      <c r="Z18">
        <v>5</v>
      </c>
      <c r="AA18">
        <v>9.4552924633026123</v>
      </c>
    </row>
    <row r="19" spans="1:27" ht="409.5" x14ac:dyDescent="0.25">
      <c r="A19">
        <v>18</v>
      </c>
      <c r="B19" t="s">
        <v>27</v>
      </c>
      <c r="C19" t="s">
        <v>28</v>
      </c>
      <c r="D19" s="2" t="s">
        <v>128</v>
      </c>
      <c r="E19" s="2" t="s">
        <v>129</v>
      </c>
      <c r="F19" s="2" t="s">
        <v>130</v>
      </c>
      <c r="G19" s="2" t="s">
        <v>131</v>
      </c>
      <c r="H19" t="s">
        <v>132</v>
      </c>
      <c r="I19" t="s">
        <v>133</v>
      </c>
      <c r="J19" s="3">
        <v>1</v>
      </c>
      <c r="K19">
        <v>0.5</v>
      </c>
      <c r="L19">
        <v>0</v>
      </c>
      <c r="M19">
        <v>0.60489290265578299</v>
      </c>
      <c r="N19">
        <v>0.12499999984375</v>
      </c>
      <c r="O19">
        <v>0.80299411928990183</v>
      </c>
      <c r="P19">
        <v>1.7687393352389339E-2</v>
      </c>
      <c r="Q19">
        <v>-0.14858788251876831</v>
      </c>
      <c r="R19">
        <v>0.19050569832324979</v>
      </c>
      <c r="S19">
        <v>0</v>
      </c>
      <c r="T19">
        <v>0</v>
      </c>
      <c r="U19">
        <v>26.681986331939701</v>
      </c>
      <c r="V19">
        <v>3370</v>
      </c>
      <c r="W19">
        <v>570</v>
      </c>
      <c r="X19">
        <v>3940</v>
      </c>
      <c r="Y19">
        <v>0</v>
      </c>
      <c r="Z19">
        <v>5</v>
      </c>
      <c r="AA19">
        <v>26.681986331939701</v>
      </c>
    </row>
    <row r="20" spans="1:27" ht="409.5" x14ac:dyDescent="0.25">
      <c r="A20">
        <v>19</v>
      </c>
      <c r="B20" t="s">
        <v>134</v>
      </c>
      <c r="C20" t="s">
        <v>35</v>
      </c>
      <c r="D20" s="2" t="s">
        <v>135</v>
      </c>
      <c r="E20" s="2" t="s">
        <v>136</v>
      </c>
      <c r="F20" s="2" t="s">
        <v>137</v>
      </c>
      <c r="G20" s="2" t="s">
        <v>138</v>
      </c>
      <c r="H20" t="s">
        <v>139</v>
      </c>
      <c r="I20" t="s">
        <v>53</v>
      </c>
      <c r="J20" s="3">
        <v>0.9</v>
      </c>
      <c r="K20">
        <v>1</v>
      </c>
      <c r="L20">
        <v>0.99999999998</v>
      </c>
      <c r="M20">
        <v>0.80386745986961572</v>
      </c>
      <c r="N20">
        <v>0.249999999375</v>
      </c>
      <c r="O20">
        <v>0.55493783785733886</v>
      </c>
      <c r="P20">
        <v>0.28693267703056341</v>
      </c>
      <c r="Q20">
        <v>0.1124386042356491</v>
      </c>
      <c r="R20">
        <v>0.46978285908699041</v>
      </c>
      <c r="S20">
        <v>0</v>
      </c>
      <c r="T20">
        <v>0</v>
      </c>
      <c r="U20">
        <v>17.377510786056519</v>
      </c>
      <c r="V20">
        <v>3502</v>
      </c>
      <c r="W20">
        <v>45</v>
      </c>
      <c r="X20">
        <v>3547</v>
      </c>
      <c r="Y20">
        <v>0</v>
      </c>
      <c r="Z20">
        <v>5</v>
      </c>
      <c r="AA20">
        <v>17.377510786056519</v>
      </c>
    </row>
    <row r="21" spans="1:27" ht="409.5" x14ac:dyDescent="0.25">
      <c r="A21">
        <v>20</v>
      </c>
      <c r="B21" t="s">
        <v>117</v>
      </c>
      <c r="C21" t="s">
        <v>71</v>
      </c>
      <c r="D21" s="2" t="s">
        <v>140</v>
      </c>
      <c r="E21" s="2" t="s">
        <v>141</v>
      </c>
      <c r="F21" s="2" t="s">
        <v>142</v>
      </c>
      <c r="G21" s="2" t="s">
        <v>143</v>
      </c>
      <c r="H21" t="s">
        <v>144</v>
      </c>
      <c r="I21" t="s">
        <v>53</v>
      </c>
      <c r="J21" s="3">
        <v>1</v>
      </c>
      <c r="K21">
        <v>0</v>
      </c>
      <c r="L21">
        <v>0.69999999996499995</v>
      </c>
      <c r="M21">
        <v>0.66610816310372556</v>
      </c>
      <c r="N21">
        <v>0.77777777691358019</v>
      </c>
      <c r="O21">
        <v>0.88894691648179769</v>
      </c>
      <c r="P21">
        <v>0.14522820711135859</v>
      </c>
      <c r="Q21">
        <v>-6.5234184265136719E-2</v>
      </c>
      <c r="R21">
        <v>0.36939746141433721</v>
      </c>
      <c r="S21">
        <v>1</v>
      </c>
      <c r="T21">
        <v>1</v>
      </c>
      <c r="U21">
        <v>16.667182445526119</v>
      </c>
      <c r="V21">
        <v>3098</v>
      </c>
      <c r="W21">
        <v>330</v>
      </c>
      <c r="X21">
        <v>3428</v>
      </c>
      <c r="Y21">
        <v>0</v>
      </c>
      <c r="Z21">
        <v>5</v>
      </c>
      <c r="AA21">
        <v>16.667182445526119</v>
      </c>
    </row>
    <row r="22" spans="1:27" ht="409.5" x14ac:dyDescent="0.25">
      <c r="A22">
        <v>21</v>
      </c>
      <c r="B22" t="s">
        <v>117</v>
      </c>
      <c r="C22" t="s">
        <v>35</v>
      </c>
      <c r="D22" s="2" t="s">
        <v>145</v>
      </c>
      <c r="E22" s="2" t="s">
        <v>146</v>
      </c>
      <c r="F22" s="2" t="s">
        <v>147</v>
      </c>
      <c r="G22" s="2" t="s">
        <v>148</v>
      </c>
      <c r="H22" t="s">
        <v>149</v>
      </c>
      <c r="I22" t="s">
        <v>53</v>
      </c>
      <c r="J22" s="3">
        <v>1</v>
      </c>
      <c r="K22">
        <v>1</v>
      </c>
      <c r="L22">
        <v>0.99999999998</v>
      </c>
      <c r="M22">
        <v>0.84002066277166665</v>
      </c>
      <c r="N22">
        <v>0.79999999840000002</v>
      </c>
      <c r="O22">
        <v>0.92238123619720502</v>
      </c>
      <c r="P22">
        <v>0.28008541464805597</v>
      </c>
      <c r="Q22">
        <v>4.8067390918731689E-2</v>
      </c>
      <c r="R22">
        <v>0.52989274263381958</v>
      </c>
      <c r="S22">
        <v>0.5</v>
      </c>
      <c r="T22">
        <v>1</v>
      </c>
      <c r="U22">
        <v>20.05553674697876</v>
      </c>
      <c r="V22">
        <v>3105</v>
      </c>
      <c r="W22">
        <v>209</v>
      </c>
      <c r="X22">
        <v>3314</v>
      </c>
      <c r="Y22">
        <v>0</v>
      </c>
      <c r="Z22">
        <v>5</v>
      </c>
      <c r="AA22">
        <v>20.05553674697876</v>
      </c>
    </row>
    <row r="23" spans="1:27" ht="409.5" x14ac:dyDescent="0.25">
      <c r="A23">
        <v>22</v>
      </c>
      <c r="B23" t="s">
        <v>117</v>
      </c>
      <c r="C23" t="s">
        <v>35</v>
      </c>
      <c r="D23" s="2" t="s">
        <v>150</v>
      </c>
      <c r="E23" s="2" t="s">
        <v>151</v>
      </c>
      <c r="F23" s="2" t="s">
        <v>152</v>
      </c>
      <c r="G23" s="2" t="s">
        <v>153</v>
      </c>
      <c r="H23" t="s">
        <v>154</v>
      </c>
      <c r="I23" t="s">
        <v>116</v>
      </c>
      <c r="J23" s="3">
        <v>1</v>
      </c>
      <c r="K23">
        <v>1</v>
      </c>
      <c r="L23">
        <v>0.8666666666377778</v>
      </c>
      <c r="M23">
        <v>0.83294925399624009</v>
      </c>
      <c r="N23">
        <v>0.57142857061224495</v>
      </c>
      <c r="O23">
        <v>0.84582062674838665</v>
      </c>
      <c r="P23">
        <v>0.41259175539016718</v>
      </c>
      <c r="Q23">
        <v>0.15907412767410281</v>
      </c>
      <c r="R23">
        <v>0.68821793794631958</v>
      </c>
      <c r="S23">
        <v>0.5</v>
      </c>
      <c r="T23">
        <v>1</v>
      </c>
      <c r="U23">
        <v>13.78740477561951</v>
      </c>
      <c r="V23">
        <v>3543</v>
      </c>
      <c r="W23">
        <v>226</v>
      </c>
      <c r="X23">
        <v>3769</v>
      </c>
      <c r="Y23">
        <v>0</v>
      </c>
      <c r="Z23">
        <v>5</v>
      </c>
      <c r="AA23">
        <v>13.78740477561951</v>
      </c>
    </row>
    <row r="24" spans="1:27" ht="409.5" x14ac:dyDescent="0.25">
      <c r="A24">
        <v>23</v>
      </c>
      <c r="B24" t="s">
        <v>117</v>
      </c>
      <c r="C24" t="s">
        <v>35</v>
      </c>
      <c r="D24" s="2" t="s">
        <v>155</v>
      </c>
      <c r="E24" s="2" t="s">
        <v>156</v>
      </c>
      <c r="F24" s="2" t="s">
        <v>157</v>
      </c>
      <c r="G24" s="2" t="s">
        <v>158</v>
      </c>
      <c r="H24" t="s">
        <v>159</v>
      </c>
      <c r="I24" t="s">
        <v>53</v>
      </c>
      <c r="J24" s="3">
        <v>1</v>
      </c>
      <c r="K24">
        <v>1</v>
      </c>
      <c r="L24">
        <v>0.44999999997750001</v>
      </c>
      <c r="M24">
        <v>0.79743008974817731</v>
      </c>
      <c r="N24">
        <v>0.99999999750000002</v>
      </c>
      <c r="O24">
        <v>0.88278227684801891</v>
      </c>
      <c r="P24">
        <v>0.36803659796714783</v>
      </c>
      <c r="Q24">
        <v>0.17790605127811429</v>
      </c>
      <c r="R24">
        <v>0.56896442174911499</v>
      </c>
      <c r="S24">
        <v>0.5</v>
      </c>
      <c r="T24">
        <v>1</v>
      </c>
      <c r="U24">
        <v>9.1649923324584961</v>
      </c>
      <c r="V24">
        <v>3066</v>
      </c>
      <c r="W24">
        <v>117</v>
      </c>
      <c r="X24">
        <v>3183</v>
      </c>
      <c r="Y24">
        <v>0</v>
      </c>
      <c r="Z24">
        <v>5</v>
      </c>
      <c r="AA24">
        <v>9.1649923324584961</v>
      </c>
    </row>
    <row r="25" spans="1:27" ht="409.5" x14ac:dyDescent="0.25">
      <c r="A25">
        <v>24</v>
      </c>
      <c r="B25" t="s">
        <v>160</v>
      </c>
      <c r="C25" t="s">
        <v>35</v>
      </c>
      <c r="D25" s="2" t="s">
        <v>161</v>
      </c>
      <c r="E25" s="2" t="s">
        <v>162</v>
      </c>
      <c r="F25" s="2" t="s">
        <v>163</v>
      </c>
      <c r="G25" s="2" t="s">
        <v>164</v>
      </c>
      <c r="H25" t="s">
        <v>165</v>
      </c>
      <c r="I25" t="s">
        <v>94</v>
      </c>
      <c r="J25" s="3">
        <v>1</v>
      </c>
      <c r="K25">
        <v>0.5</v>
      </c>
      <c r="L25">
        <v>0.44999999997750001</v>
      </c>
      <c r="M25">
        <v>0.61153133649422597</v>
      </c>
      <c r="N25">
        <v>0</v>
      </c>
      <c r="O25">
        <v>0.71218753565850523</v>
      </c>
      <c r="P25">
        <v>0.29077866673469538</v>
      </c>
      <c r="Q25">
        <v>-2.9951214790344238E-2</v>
      </c>
      <c r="R25">
        <v>0.65004605054855347</v>
      </c>
      <c r="S25">
        <v>0</v>
      </c>
      <c r="T25">
        <v>0</v>
      </c>
      <c r="U25">
        <v>15.67247295379639</v>
      </c>
      <c r="V25">
        <v>3598</v>
      </c>
      <c r="W25">
        <v>263</v>
      </c>
      <c r="X25">
        <v>3861</v>
      </c>
      <c r="Y25">
        <v>0</v>
      </c>
      <c r="Z25">
        <v>5</v>
      </c>
      <c r="AA25">
        <v>15.67247295379639</v>
      </c>
    </row>
    <row r="26" spans="1:27" ht="409.5" x14ac:dyDescent="0.25">
      <c r="A26">
        <v>25</v>
      </c>
      <c r="B26" t="s">
        <v>117</v>
      </c>
      <c r="C26" t="s">
        <v>28</v>
      </c>
      <c r="D26" s="2" t="s">
        <v>166</v>
      </c>
      <c r="E26" s="2" t="s">
        <v>167</v>
      </c>
      <c r="F26" s="2" t="s">
        <v>168</v>
      </c>
      <c r="G26" s="2" t="s">
        <v>169</v>
      </c>
      <c r="H26" t="s">
        <v>170</v>
      </c>
      <c r="I26" t="s">
        <v>53</v>
      </c>
      <c r="J26" s="4">
        <v>0.77777777777777779</v>
      </c>
      <c r="K26">
        <v>1</v>
      </c>
      <c r="L26">
        <v>0.99999999996666666</v>
      </c>
      <c r="M26">
        <v>0.92949049338641399</v>
      </c>
      <c r="N26">
        <v>0.49999999916666671</v>
      </c>
      <c r="O26">
        <v>0.93172513548721492</v>
      </c>
      <c r="P26">
        <v>0.40052551031112671</v>
      </c>
      <c r="Q26">
        <v>0.24052757024765009</v>
      </c>
      <c r="R26">
        <v>0.56730008125305176</v>
      </c>
      <c r="S26">
        <v>1</v>
      </c>
      <c r="T26">
        <v>1</v>
      </c>
      <c r="U26">
        <v>17.510321617126461</v>
      </c>
      <c r="V26">
        <v>3595</v>
      </c>
      <c r="W26">
        <v>300</v>
      </c>
      <c r="X26">
        <v>3895</v>
      </c>
      <c r="Y26">
        <v>0</v>
      </c>
      <c r="Z26">
        <v>5</v>
      </c>
      <c r="AA26">
        <v>17.510321617126461</v>
      </c>
    </row>
    <row r="27" spans="1:27" ht="409.5" x14ac:dyDescent="0.25">
      <c r="A27">
        <v>26</v>
      </c>
      <c r="B27" t="s">
        <v>117</v>
      </c>
      <c r="C27" t="s">
        <v>28</v>
      </c>
      <c r="D27" s="2" t="s">
        <v>171</v>
      </c>
      <c r="E27" s="2" t="s">
        <v>172</v>
      </c>
      <c r="F27" s="2" t="s">
        <v>173</v>
      </c>
      <c r="G27" s="2" t="s">
        <v>174</v>
      </c>
      <c r="H27" t="s">
        <v>175</v>
      </c>
      <c r="I27" t="s">
        <v>53</v>
      </c>
      <c r="J27" s="4">
        <v>0.66666666666666663</v>
      </c>
      <c r="K27">
        <v>0</v>
      </c>
      <c r="L27">
        <v>0</v>
      </c>
      <c r="M27">
        <v>0.91021808984611363</v>
      </c>
      <c r="N27">
        <v>0.249999999375</v>
      </c>
      <c r="O27">
        <v>0</v>
      </c>
      <c r="P27">
        <v>0.20810712873935699</v>
      </c>
      <c r="Q27">
        <v>0.15395635366439819</v>
      </c>
      <c r="R27">
        <v>0.25975394248962402</v>
      </c>
      <c r="S27">
        <v>0</v>
      </c>
      <c r="T27">
        <v>0</v>
      </c>
      <c r="U27">
        <v>16.04672908782959</v>
      </c>
      <c r="V27">
        <v>3238</v>
      </c>
      <c r="W27">
        <v>244</v>
      </c>
      <c r="X27">
        <v>3482</v>
      </c>
      <c r="Y27">
        <v>0</v>
      </c>
      <c r="Z27">
        <v>5</v>
      </c>
      <c r="AA27">
        <v>16.04672908782959</v>
      </c>
    </row>
    <row r="28" spans="1:27" ht="409.5" x14ac:dyDescent="0.25">
      <c r="A28">
        <v>27</v>
      </c>
      <c r="B28" t="s">
        <v>134</v>
      </c>
      <c r="C28" t="s">
        <v>35</v>
      </c>
      <c r="D28" s="2" t="s">
        <v>176</v>
      </c>
      <c r="E28" s="2" t="s">
        <v>177</v>
      </c>
      <c r="F28" s="2" t="s">
        <v>178</v>
      </c>
      <c r="G28" s="2" t="s">
        <v>179</v>
      </c>
      <c r="H28" t="s">
        <v>180</v>
      </c>
      <c r="I28" t="s">
        <v>53</v>
      </c>
      <c r="J28" s="3">
        <v>0.83333333333333337</v>
      </c>
      <c r="K28">
        <v>1</v>
      </c>
      <c r="L28">
        <v>0.6791666666496875</v>
      </c>
      <c r="M28">
        <v>0.79700372654986795</v>
      </c>
      <c r="N28">
        <v>0.99999999000000017</v>
      </c>
      <c r="O28">
        <v>0.98764152276543371</v>
      </c>
      <c r="P28">
        <v>0.2390114217996597</v>
      </c>
      <c r="Q28">
        <v>2.6615019887685779E-2</v>
      </c>
      <c r="R28">
        <v>0.46557626128196722</v>
      </c>
      <c r="S28">
        <v>0</v>
      </c>
      <c r="T28">
        <v>0</v>
      </c>
      <c r="U28">
        <v>14.796456336975099</v>
      </c>
      <c r="V28">
        <v>2914</v>
      </c>
      <c r="W28">
        <v>255</v>
      </c>
      <c r="X28">
        <v>3169</v>
      </c>
      <c r="Y28">
        <v>0</v>
      </c>
      <c r="Z28">
        <v>5</v>
      </c>
      <c r="AA28">
        <v>14.796456336975099</v>
      </c>
    </row>
    <row r="29" spans="1:27" ht="409.5" x14ac:dyDescent="0.25">
      <c r="A29">
        <v>28</v>
      </c>
      <c r="B29" t="s">
        <v>160</v>
      </c>
      <c r="C29" t="s">
        <v>28</v>
      </c>
      <c r="D29" s="2" t="s">
        <v>181</v>
      </c>
      <c r="E29" s="2" t="s">
        <v>182</v>
      </c>
      <c r="F29" s="2" t="s">
        <v>183</v>
      </c>
      <c r="G29" s="2" t="s">
        <v>184</v>
      </c>
      <c r="H29" t="s">
        <v>185</v>
      </c>
      <c r="I29" t="s">
        <v>53</v>
      </c>
      <c r="J29" s="4">
        <v>0.66666666666666663</v>
      </c>
      <c r="K29">
        <v>0.5</v>
      </c>
      <c r="L29">
        <v>0</v>
      </c>
      <c r="M29">
        <v>0.76671577174874717</v>
      </c>
      <c r="N29">
        <v>0.33333333222222222</v>
      </c>
      <c r="O29">
        <v>0.97581646449143733</v>
      </c>
      <c r="P29">
        <v>0.31819289922714228</v>
      </c>
      <c r="Q29">
        <v>0.2372221648693085</v>
      </c>
      <c r="R29">
        <v>0.39845579862594599</v>
      </c>
      <c r="S29">
        <v>0</v>
      </c>
      <c r="T29">
        <v>0</v>
      </c>
      <c r="U29">
        <v>12.16538190841675</v>
      </c>
      <c r="V29">
        <v>2345</v>
      </c>
      <c r="W29">
        <v>234</v>
      </c>
      <c r="X29">
        <v>2579</v>
      </c>
      <c r="Y29">
        <v>0</v>
      </c>
      <c r="Z29">
        <v>5</v>
      </c>
      <c r="AA29">
        <v>12.16538190841675</v>
      </c>
    </row>
    <row r="30" spans="1:27" ht="409.5" x14ac:dyDescent="0.25">
      <c r="A30">
        <v>29</v>
      </c>
      <c r="B30" t="s">
        <v>160</v>
      </c>
      <c r="C30" t="s">
        <v>28</v>
      </c>
      <c r="D30" s="2" t="s">
        <v>186</v>
      </c>
      <c r="E30" s="2" t="s">
        <v>187</v>
      </c>
      <c r="F30" s="2" t="s">
        <v>188</v>
      </c>
      <c r="G30" s="2" t="s">
        <v>189</v>
      </c>
      <c r="H30" t="s">
        <v>190</v>
      </c>
      <c r="I30" t="s">
        <v>53</v>
      </c>
      <c r="J30" s="3">
        <v>0.93333333333333335</v>
      </c>
      <c r="K30">
        <v>1</v>
      </c>
      <c r="L30">
        <v>0.83333333329166659</v>
      </c>
      <c r="N30">
        <v>0.66666666555555554</v>
      </c>
      <c r="O30">
        <v>0.89725411799672727</v>
      </c>
      <c r="P30">
        <v>0.36726963520050049</v>
      </c>
      <c r="Q30">
        <v>0.24899786710739141</v>
      </c>
      <c r="R30">
        <v>0.48779380321502691</v>
      </c>
      <c r="S30">
        <v>0</v>
      </c>
      <c r="T30">
        <v>0</v>
      </c>
      <c r="U30">
        <v>14.18187093734741</v>
      </c>
      <c r="V30">
        <v>2857</v>
      </c>
      <c r="W30">
        <v>260</v>
      </c>
      <c r="X30">
        <v>3117</v>
      </c>
      <c r="Y30">
        <v>0</v>
      </c>
      <c r="Z30">
        <v>5</v>
      </c>
      <c r="AA30">
        <v>14.18187093734741</v>
      </c>
    </row>
    <row r="31" spans="1:27" ht="409.5" x14ac:dyDescent="0.25">
      <c r="A31">
        <v>30</v>
      </c>
      <c r="B31" t="s">
        <v>117</v>
      </c>
      <c r="C31" t="s">
        <v>35</v>
      </c>
      <c r="D31" s="2" t="s">
        <v>191</v>
      </c>
      <c r="E31" s="2" t="s">
        <v>192</v>
      </c>
      <c r="F31" s="2" t="s">
        <v>193</v>
      </c>
      <c r="G31" s="2" t="s">
        <v>194</v>
      </c>
      <c r="H31" t="s">
        <v>195</v>
      </c>
      <c r="I31" t="s">
        <v>53</v>
      </c>
      <c r="J31" s="4">
        <v>0.7142857142857143</v>
      </c>
      <c r="K31">
        <v>0</v>
      </c>
      <c r="L31">
        <v>0</v>
      </c>
      <c r="M31">
        <v>0.78621254685203112</v>
      </c>
      <c r="N31">
        <v>0</v>
      </c>
      <c r="O31">
        <v>0.8122698076937227</v>
      </c>
      <c r="P31">
        <v>0.35257169604301453</v>
      </c>
      <c r="Q31">
        <v>0.1896324306726456</v>
      </c>
      <c r="R31">
        <v>0.52251577377319336</v>
      </c>
      <c r="S31">
        <v>0</v>
      </c>
      <c r="T31">
        <v>0</v>
      </c>
      <c r="U31">
        <v>10.16738843917847</v>
      </c>
      <c r="V31">
        <v>2637</v>
      </c>
      <c r="W31">
        <v>188</v>
      </c>
      <c r="X31">
        <v>2825</v>
      </c>
      <c r="Y31">
        <v>0</v>
      </c>
      <c r="Z31">
        <v>5</v>
      </c>
      <c r="AA31">
        <v>10.16738843917847</v>
      </c>
    </row>
    <row r="32" spans="1:27" ht="409.5" x14ac:dyDescent="0.25">
      <c r="A32">
        <v>31</v>
      </c>
      <c r="B32" t="s">
        <v>196</v>
      </c>
      <c r="C32" t="s">
        <v>28</v>
      </c>
      <c r="D32" s="2" t="s">
        <v>197</v>
      </c>
      <c r="E32" s="2" t="s">
        <v>198</v>
      </c>
      <c r="F32" s="2" t="s">
        <v>199</v>
      </c>
      <c r="G32" s="2" t="s">
        <v>200</v>
      </c>
      <c r="H32" t="s">
        <v>201</v>
      </c>
      <c r="I32" t="s">
        <v>65</v>
      </c>
      <c r="J32" s="5">
        <v>0.53846153846153844</v>
      </c>
      <c r="K32">
        <v>0</v>
      </c>
      <c r="L32">
        <v>0</v>
      </c>
      <c r="M32">
        <v>0.88275816054580036</v>
      </c>
      <c r="N32">
        <v>0</v>
      </c>
      <c r="O32">
        <v>0</v>
      </c>
      <c r="P32">
        <v>0.16963484883308411</v>
      </c>
      <c r="Q32">
        <v>3.0471149832010269E-2</v>
      </c>
      <c r="R32">
        <v>0.31243348121643072</v>
      </c>
      <c r="S32">
        <v>0</v>
      </c>
      <c r="T32">
        <v>0</v>
      </c>
      <c r="U32">
        <v>10.71377778053284</v>
      </c>
      <c r="V32">
        <v>3055</v>
      </c>
      <c r="W32">
        <v>191</v>
      </c>
      <c r="X32">
        <v>3246</v>
      </c>
      <c r="Y32">
        <v>0</v>
      </c>
      <c r="Z32">
        <v>5</v>
      </c>
      <c r="AA32">
        <v>10.71377778053284</v>
      </c>
    </row>
    <row r="33" spans="1:27" ht="409.5" x14ac:dyDescent="0.25">
      <c r="A33">
        <v>32</v>
      </c>
      <c r="B33" t="s">
        <v>196</v>
      </c>
      <c r="C33" t="s">
        <v>35</v>
      </c>
      <c r="D33" s="2" t="s">
        <v>202</v>
      </c>
      <c r="E33" s="2" t="s">
        <v>203</v>
      </c>
      <c r="F33" s="2" t="s">
        <v>204</v>
      </c>
      <c r="G33" s="2" t="s">
        <v>205</v>
      </c>
      <c r="H33" t="s">
        <v>206</v>
      </c>
      <c r="I33" t="s">
        <v>207</v>
      </c>
      <c r="J33" s="3">
        <v>1</v>
      </c>
      <c r="K33">
        <v>1</v>
      </c>
      <c r="L33">
        <v>0.32499999998375001</v>
      </c>
      <c r="M33">
        <v>0.72239240569253504</v>
      </c>
      <c r="N33">
        <v>0.2499999996875</v>
      </c>
      <c r="O33">
        <v>0.75532003633596934</v>
      </c>
      <c r="P33">
        <v>0.14512202143669131</v>
      </c>
      <c r="Q33">
        <v>-9.4523057341575623E-3</v>
      </c>
      <c r="R33">
        <v>0.30505728721618652</v>
      </c>
      <c r="S33">
        <v>0</v>
      </c>
      <c r="T33">
        <v>0</v>
      </c>
      <c r="U33">
        <v>16.886106967926029</v>
      </c>
      <c r="V33">
        <v>3153</v>
      </c>
      <c r="W33">
        <v>388</v>
      </c>
      <c r="X33">
        <v>3541</v>
      </c>
      <c r="Y33">
        <v>0</v>
      </c>
      <c r="Z33">
        <v>5</v>
      </c>
      <c r="AA33">
        <v>16.886106967926029</v>
      </c>
    </row>
    <row r="34" spans="1:27" ht="409.5" x14ac:dyDescent="0.25">
      <c r="A34">
        <v>33</v>
      </c>
      <c r="B34" t="s">
        <v>196</v>
      </c>
      <c r="C34" t="s">
        <v>35</v>
      </c>
      <c r="D34" s="2" t="s">
        <v>208</v>
      </c>
      <c r="E34" s="2" t="s">
        <v>209</v>
      </c>
      <c r="F34" s="2" t="s">
        <v>210</v>
      </c>
      <c r="G34" s="2" t="s">
        <v>211</v>
      </c>
      <c r="H34" t="s">
        <v>212</v>
      </c>
      <c r="I34" t="s">
        <v>53</v>
      </c>
      <c r="J34" s="3">
        <v>1</v>
      </c>
      <c r="K34">
        <v>1</v>
      </c>
      <c r="L34">
        <v>0.8666666666377778</v>
      </c>
      <c r="M34">
        <v>0.97693004364314406</v>
      </c>
      <c r="N34">
        <v>0.99999999500000003</v>
      </c>
      <c r="O34">
        <v>0.98911122013698627</v>
      </c>
      <c r="P34">
        <v>0.72119510173797607</v>
      </c>
      <c r="Q34">
        <v>0.72738325595855713</v>
      </c>
      <c r="R34">
        <v>0.71378558874130249</v>
      </c>
      <c r="S34">
        <v>0.2</v>
      </c>
      <c r="T34">
        <v>1</v>
      </c>
      <c r="U34">
        <v>6.849412202835083</v>
      </c>
      <c r="V34">
        <v>3332</v>
      </c>
      <c r="W34">
        <v>50</v>
      </c>
      <c r="X34">
        <v>3382</v>
      </c>
      <c r="Y34">
        <v>0</v>
      </c>
      <c r="Z34">
        <v>5</v>
      </c>
      <c r="AA34">
        <v>6.849412202835083</v>
      </c>
    </row>
    <row r="35" spans="1:27" ht="409.5" x14ac:dyDescent="0.25">
      <c r="A35">
        <v>34</v>
      </c>
      <c r="B35" t="s">
        <v>196</v>
      </c>
      <c r="C35" t="s">
        <v>28</v>
      </c>
      <c r="D35" s="2" t="s">
        <v>213</v>
      </c>
      <c r="E35" s="2" t="s">
        <v>214</v>
      </c>
      <c r="F35" s="2" t="s">
        <v>215</v>
      </c>
      <c r="G35" s="2" t="s">
        <v>216</v>
      </c>
      <c r="H35" t="s">
        <v>217</v>
      </c>
      <c r="I35" t="s">
        <v>34</v>
      </c>
      <c r="J35" s="3">
        <v>0.8</v>
      </c>
      <c r="K35">
        <v>0</v>
      </c>
      <c r="L35">
        <v>0</v>
      </c>
      <c r="M35">
        <v>0.69055418108513633</v>
      </c>
      <c r="N35">
        <v>0</v>
      </c>
      <c r="O35">
        <v>0.95091329146699699</v>
      </c>
      <c r="P35">
        <v>0.1425236314535141</v>
      </c>
      <c r="Q35">
        <v>1.9625179469585419E-2</v>
      </c>
      <c r="R35">
        <v>0.26728805899620062</v>
      </c>
      <c r="S35">
        <v>0.33333333333333331</v>
      </c>
      <c r="T35">
        <v>1</v>
      </c>
      <c r="U35">
        <v>14.190134048461911</v>
      </c>
      <c r="V35">
        <v>2946</v>
      </c>
      <c r="W35">
        <v>317</v>
      </c>
      <c r="X35">
        <v>3263</v>
      </c>
      <c r="Y35">
        <v>0</v>
      </c>
      <c r="Z35">
        <v>5</v>
      </c>
      <c r="AA35">
        <v>14.190134048461911</v>
      </c>
    </row>
    <row r="36" spans="1:27" ht="409.5" x14ac:dyDescent="0.25">
      <c r="A36">
        <v>35</v>
      </c>
      <c r="B36" t="s">
        <v>196</v>
      </c>
      <c r="C36" t="s">
        <v>28</v>
      </c>
      <c r="D36" s="2" t="s">
        <v>218</v>
      </c>
      <c r="E36" s="2" t="s">
        <v>219</v>
      </c>
      <c r="F36" s="2" t="s">
        <v>220</v>
      </c>
      <c r="G36" s="2" t="s">
        <v>221</v>
      </c>
      <c r="H36" t="s">
        <v>222</v>
      </c>
      <c r="I36" t="s">
        <v>65</v>
      </c>
      <c r="J36" s="3">
        <v>1</v>
      </c>
      <c r="K36">
        <v>0.5</v>
      </c>
      <c r="L36">
        <v>0.41666666664583329</v>
      </c>
      <c r="M36">
        <v>0.73659613587573824</v>
      </c>
      <c r="N36">
        <v>0.3571428568877551</v>
      </c>
      <c r="O36">
        <v>0.8590652332122577</v>
      </c>
      <c r="P36">
        <v>0.13769905269145971</v>
      </c>
      <c r="Q36">
        <v>9.3343743355944753E-4</v>
      </c>
      <c r="R36">
        <v>0.27773335576057429</v>
      </c>
      <c r="S36">
        <v>0</v>
      </c>
      <c r="T36">
        <v>0</v>
      </c>
      <c r="U36">
        <v>17.947829246521</v>
      </c>
      <c r="V36">
        <v>3488</v>
      </c>
      <c r="W36">
        <v>428</v>
      </c>
      <c r="X36">
        <v>3916</v>
      </c>
      <c r="Y36">
        <v>0</v>
      </c>
      <c r="Z36">
        <v>5</v>
      </c>
      <c r="AA36">
        <v>17.947829246521</v>
      </c>
    </row>
    <row r="37" spans="1:27" ht="409.5" x14ac:dyDescent="0.25">
      <c r="A37">
        <v>36</v>
      </c>
      <c r="B37" t="s">
        <v>196</v>
      </c>
      <c r="C37" t="s">
        <v>28</v>
      </c>
      <c r="D37" s="2" t="s">
        <v>223</v>
      </c>
      <c r="E37" s="2" t="s">
        <v>224</v>
      </c>
      <c r="F37" s="2" t="s">
        <v>225</v>
      </c>
      <c r="G37" s="2" t="s">
        <v>226</v>
      </c>
      <c r="H37" t="s">
        <v>227</v>
      </c>
      <c r="I37" t="s">
        <v>53</v>
      </c>
      <c r="J37" s="3">
        <v>0.875</v>
      </c>
      <c r="K37">
        <v>0.33333333333333331</v>
      </c>
      <c r="L37">
        <v>0.58888888886925927</v>
      </c>
      <c r="M37">
        <v>0.65161084373791733</v>
      </c>
      <c r="N37">
        <v>0.142857142755102</v>
      </c>
      <c r="O37">
        <v>0.66573326527775645</v>
      </c>
      <c r="P37">
        <v>0.1874713450670242</v>
      </c>
      <c r="Q37">
        <v>0.1522804647684097</v>
      </c>
      <c r="R37">
        <v>0.2194594740867615</v>
      </c>
      <c r="S37">
        <v>0</v>
      </c>
      <c r="T37">
        <v>0</v>
      </c>
      <c r="U37">
        <v>11.278232097625731</v>
      </c>
      <c r="V37">
        <v>2912</v>
      </c>
      <c r="W37">
        <v>212</v>
      </c>
      <c r="X37">
        <v>3124</v>
      </c>
      <c r="Y37">
        <v>0</v>
      </c>
      <c r="Z37">
        <v>5</v>
      </c>
      <c r="AA37">
        <v>11.278232097625731</v>
      </c>
    </row>
    <row r="38" spans="1:27" ht="409.5" x14ac:dyDescent="0.25">
      <c r="A38">
        <v>37</v>
      </c>
      <c r="B38" t="s">
        <v>196</v>
      </c>
      <c r="C38" t="s">
        <v>28</v>
      </c>
      <c r="D38" s="2" t="s">
        <v>228</v>
      </c>
      <c r="E38" s="2" t="s">
        <v>229</v>
      </c>
      <c r="F38" s="2" t="s">
        <v>230</v>
      </c>
      <c r="G38" s="2" t="s">
        <v>231</v>
      </c>
      <c r="H38" t="s">
        <v>232</v>
      </c>
      <c r="I38" t="s">
        <v>233</v>
      </c>
      <c r="J38" s="3">
        <v>1</v>
      </c>
      <c r="K38">
        <v>1</v>
      </c>
      <c r="L38">
        <v>0.99999999989999999</v>
      </c>
      <c r="M38">
        <v>0.82124338842132683</v>
      </c>
      <c r="N38">
        <v>0</v>
      </c>
      <c r="O38">
        <v>1</v>
      </c>
      <c r="P38">
        <v>0.36438709497451782</v>
      </c>
      <c r="Q38">
        <v>0.27934736013412481</v>
      </c>
      <c r="R38">
        <v>0.44915810227394098</v>
      </c>
      <c r="S38">
        <v>1</v>
      </c>
      <c r="T38">
        <v>1</v>
      </c>
      <c r="U38">
        <v>16.48778057098389</v>
      </c>
      <c r="V38">
        <v>3100</v>
      </c>
      <c r="W38">
        <v>297</v>
      </c>
      <c r="X38">
        <v>3397</v>
      </c>
      <c r="Y38">
        <v>0</v>
      </c>
      <c r="Z38">
        <v>5</v>
      </c>
      <c r="AA38">
        <v>16.48778057098389</v>
      </c>
    </row>
    <row r="39" spans="1:27" ht="409.5" x14ac:dyDescent="0.25">
      <c r="A39">
        <v>38</v>
      </c>
      <c r="B39" t="s">
        <v>196</v>
      </c>
      <c r="C39" t="s">
        <v>35</v>
      </c>
      <c r="D39" s="2" t="s">
        <v>234</v>
      </c>
      <c r="E39" s="2" t="s">
        <v>235</v>
      </c>
      <c r="F39" s="2" t="s">
        <v>236</v>
      </c>
      <c r="G39" s="2" t="s">
        <v>237</v>
      </c>
      <c r="H39" t="s">
        <v>238</v>
      </c>
      <c r="I39" t="s">
        <v>239</v>
      </c>
      <c r="J39" s="3">
        <v>0.9285714285714286</v>
      </c>
      <c r="K39">
        <v>1</v>
      </c>
      <c r="L39">
        <v>0.99999999989999999</v>
      </c>
      <c r="M39">
        <v>0.66334928582536068</v>
      </c>
      <c r="N39">
        <v>0.99999999000000017</v>
      </c>
      <c r="O39">
        <v>0.75929653850824552</v>
      </c>
      <c r="P39">
        <v>9.7783103585243225E-2</v>
      </c>
      <c r="Q39">
        <v>-0.10466292500495911</v>
      </c>
      <c r="R39">
        <v>0.31248760223388672</v>
      </c>
      <c r="S39">
        <v>1</v>
      </c>
      <c r="T39">
        <v>1</v>
      </c>
      <c r="U39">
        <v>14.41252064704895</v>
      </c>
      <c r="V39">
        <v>2788</v>
      </c>
      <c r="W39">
        <v>343</v>
      </c>
      <c r="X39">
        <v>3131</v>
      </c>
      <c r="Y39">
        <v>0</v>
      </c>
      <c r="Z39">
        <v>5</v>
      </c>
      <c r="AA39">
        <v>14.41252064704895</v>
      </c>
    </row>
    <row r="40" spans="1:27" ht="409.5" x14ac:dyDescent="0.25">
      <c r="A40">
        <v>39</v>
      </c>
      <c r="B40" t="s">
        <v>134</v>
      </c>
      <c r="C40" t="s">
        <v>35</v>
      </c>
      <c r="D40" s="2" t="s">
        <v>240</v>
      </c>
      <c r="E40" s="2" t="s">
        <v>241</v>
      </c>
      <c r="F40" s="2" t="s">
        <v>242</v>
      </c>
      <c r="G40" s="2" t="s">
        <v>243</v>
      </c>
      <c r="H40" t="s">
        <v>244</v>
      </c>
      <c r="I40" t="s">
        <v>245</v>
      </c>
      <c r="J40" s="3">
        <v>1</v>
      </c>
      <c r="K40">
        <v>1</v>
      </c>
      <c r="L40">
        <v>0.99999999998</v>
      </c>
      <c r="M40">
        <v>0.87035640558305349</v>
      </c>
      <c r="N40">
        <v>0.16666666638888891</v>
      </c>
      <c r="O40">
        <v>0.90186821301407605</v>
      </c>
      <c r="P40">
        <v>0.43225044012069702</v>
      </c>
      <c r="Q40">
        <v>0.1806896775960922</v>
      </c>
      <c r="R40">
        <v>0.70552259683609009</v>
      </c>
      <c r="S40">
        <v>0</v>
      </c>
      <c r="T40">
        <v>0</v>
      </c>
      <c r="U40">
        <v>12.503974437713619</v>
      </c>
      <c r="V40">
        <v>3276</v>
      </c>
      <c r="W40">
        <v>246</v>
      </c>
      <c r="X40">
        <v>3522</v>
      </c>
      <c r="Y40">
        <v>0</v>
      </c>
      <c r="Z40">
        <v>5</v>
      </c>
      <c r="AA40">
        <v>12.503974437713619</v>
      </c>
    </row>
    <row r="41" spans="1:27" ht="409.5" x14ac:dyDescent="0.25">
      <c r="A41">
        <v>40</v>
      </c>
      <c r="B41" t="s">
        <v>134</v>
      </c>
      <c r="C41" t="s">
        <v>28</v>
      </c>
      <c r="D41" s="2" t="s">
        <v>246</v>
      </c>
      <c r="E41" s="2" t="s">
        <v>247</v>
      </c>
      <c r="F41" s="2" t="s">
        <v>248</v>
      </c>
      <c r="G41" s="2" t="s">
        <v>249</v>
      </c>
      <c r="H41" t="s">
        <v>250</v>
      </c>
      <c r="I41" t="s">
        <v>53</v>
      </c>
      <c r="J41" s="3">
        <v>1</v>
      </c>
      <c r="K41">
        <v>1</v>
      </c>
      <c r="L41">
        <v>0.99999999989999999</v>
      </c>
      <c r="M41">
        <v>0.84560524163721662</v>
      </c>
      <c r="N41">
        <v>0.30769230745562132</v>
      </c>
      <c r="O41">
        <v>0.92760439704390352</v>
      </c>
      <c r="P41">
        <v>0.43021109700202942</v>
      </c>
      <c r="Q41">
        <v>0.52589911222457886</v>
      </c>
      <c r="R41">
        <v>0.33523827791213989</v>
      </c>
      <c r="S41">
        <v>1</v>
      </c>
      <c r="T41">
        <v>1</v>
      </c>
      <c r="U41">
        <v>11.426260948181151</v>
      </c>
      <c r="V41">
        <v>3647</v>
      </c>
      <c r="W41">
        <v>153</v>
      </c>
      <c r="X41">
        <v>3800</v>
      </c>
      <c r="Y41">
        <v>0</v>
      </c>
      <c r="Z41">
        <v>5</v>
      </c>
      <c r="AA41">
        <v>11.426260948181151</v>
      </c>
    </row>
    <row r="42" spans="1:27" ht="409.5" x14ac:dyDescent="0.25">
      <c r="A42">
        <v>41</v>
      </c>
      <c r="B42" t="s">
        <v>134</v>
      </c>
      <c r="C42" t="s">
        <v>35</v>
      </c>
      <c r="D42" s="2" t="s">
        <v>251</v>
      </c>
      <c r="E42" s="2" t="s">
        <v>252</v>
      </c>
      <c r="F42" s="2" t="s">
        <v>253</v>
      </c>
      <c r="G42" s="2" t="s">
        <v>254</v>
      </c>
      <c r="H42" t="s">
        <v>255</v>
      </c>
      <c r="I42" t="s">
        <v>53</v>
      </c>
      <c r="J42" s="3">
        <v>1</v>
      </c>
      <c r="K42">
        <v>1</v>
      </c>
      <c r="L42">
        <v>0.91666666663611107</v>
      </c>
      <c r="M42">
        <v>0.62374839602012466</v>
      </c>
      <c r="N42">
        <v>0</v>
      </c>
      <c r="O42">
        <v>0.8628386710178626</v>
      </c>
      <c r="P42">
        <v>0.33246904611587519</v>
      </c>
      <c r="Q42">
        <v>0.30667999386787409</v>
      </c>
      <c r="R42">
        <v>0.35549932718276978</v>
      </c>
      <c r="S42">
        <v>1</v>
      </c>
      <c r="T42">
        <v>1</v>
      </c>
      <c r="U42">
        <v>8.6546716690063477</v>
      </c>
      <c r="V42">
        <v>3341</v>
      </c>
      <c r="W42">
        <v>103</v>
      </c>
      <c r="X42">
        <v>3444</v>
      </c>
      <c r="Y42">
        <v>0</v>
      </c>
      <c r="Z42">
        <v>5</v>
      </c>
      <c r="AA42">
        <v>8.6546716690063477</v>
      </c>
    </row>
    <row r="43" spans="1:27" ht="409.5" x14ac:dyDescent="0.25">
      <c r="A43">
        <v>42</v>
      </c>
      <c r="B43" t="s">
        <v>134</v>
      </c>
      <c r="C43" t="s">
        <v>28</v>
      </c>
      <c r="D43" s="2" t="s">
        <v>256</v>
      </c>
      <c r="E43" s="2" t="s">
        <v>257</v>
      </c>
      <c r="F43" s="2" t="s">
        <v>258</v>
      </c>
      <c r="G43" s="2" t="s">
        <v>259</v>
      </c>
      <c r="H43" t="s">
        <v>260</v>
      </c>
      <c r="I43" t="s">
        <v>53</v>
      </c>
      <c r="J43" s="3">
        <v>1</v>
      </c>
      <c r="K43">
        <v>1</v>
      </c>
      <c r="L43">
        <v>0.7499999999625</v>
      </c>
      <c r="M43">
        <v>0.6361084451929403</v>
      </c>
      <c r="N43">
        <v>0</v>
      </c>
      <c r="O43">
        <v>0</v>
      </c>
      <c r="P43">
        <v>0.22323313355445859</v>
      </c>
      <c r="Q43">
        <v>-6.49271160364151E-2</v>
      </c>
      <c r="R43">
        <v>0.54152482748031616</v>
      </c>
      <c r="S43">
        <v>1</v>
      </c>
      <c r="T43">
        <v>1</v>
      </c>
      <c r="U43">
        <v>14.984856843948361</v>
      </c>
      <c r="V43">
        <v>2754</v>
      </c>
      <c r="W43">
        <v>280</v>
      </c>
      <c r="X43">
        <v>3034</v>
      </c>
      <c r="Y43">
        <v>0</v>
      </c>
      <c r="Z43">
        <v>5</v>
      </c>
      <c r="AA43">
        <v>14.984856843948361</v>
      </c>
    </row>
    <row r="44" spans="1:27" ht="409.5" x14ac:dyDescent="0.25">
      <c r="A44">
        <v>43</v>
      </c>
      <c r="B44" t="s">
        <v>134</v>
      </c>
      <c r="C44" t="s">
        <v>35</v>
      </c>
      <c r="D44" s="2" t="s">
        <v>261</v>
      </c>
      <c r="E44" s="2" t="s">
        <v>262</v>
      </c>
      <c r="F44" s="2" t="s">
        <v>263</v>
      </c>
      <c r="G44" s="2" t="s">
        <v>264</v>
      </c>
      <c r="H44" t="s">
        <v>265</v>
      </c>
      <c r="I44" t="s">
        <v>34</v>
      </c>
      <c r="J44" s="3">
        <v>1</v>
      </c>
      <c r="K44">
        <v>1</v>
      </c>
      <c r="L44">
        <v>0.99999999996666666</v>
      </c>
      <c r="M44">
        <v>0.77127899677713485</v>
      </c>
      <c r="N44">
        <v>0.22222222197530861</v>
      </c>
      <c r="O44">
        <v>0.50143689443356387</v>
      </c>
      <c r="P44">
        <v>0.20811453461647031</v>
      </c>
      <c r="Q44">
        <v>0.16276486217975619</v>
      </c>
      <c r="R44">
        <v>0.25064298510551453</v>
      </c>
      <c r="S44">
        <v>1</v>
      </c>
      <c r="T44">
        <v>1</v>
      </c>
      <c r="U44">
        <v>10.334181547164921</v>
      </c>
      <c r="V44">
        <v>2791</v>
      </c>
      <c r="W44">
        <v>180</v>
      </c>
      <c r="X44">
        <v>2971</v>
      </c>
      <c r="Y44">
        <v>0</v>
      </c>
      <c r="Z44">
        <v>5</v>
      </c>
      <c r="AA44">
        <v>10.334181547164921</v>
      </c>
    </row>
    <row r="45" spans="1:27" ht="409.5" x14ac:dyDescent="0.25">
      <c r="A45">
        <v>44</v>
      </c>
      <c r="B45" t="s">
        <v>134</v>
      </c>
      <c r="C45" t="s">
        <v>28</v>
      </c>
      <c r="D45" s="2" t="s">
        <v>266</v>
      </c>
      <c r="E45" s="2" t="s">
        <v>267</v>
      </c>
      <c r="F45" s="2" t="s">
        <v>268</v>
      </c>
      <c r="G45" s="2" t="s">
        <v>269</v>
      </c>
      <c r="H45" t="s">
        <v>270</v>
      </c>
      <c r="I45" t="s">
        <v>271</v>
      </c>
      <c r="J45" s="3">
        <v>0.91304347826086951</v>
      </c>
      <c r="K45">
        <v>1</v>
      </c>
      <c r="L45">
        <v>0.999999999975</v>
      </c>
      <c r="M45">
        <v>0.81631747891108808</v>
      </c>
      <c r="N45">
        <v>0.49999999875000001</v>
      </c>
      <c r="O45">
        <v>0.95648461052265243</v>
      </c>
      <c r="P45">
        <v>0.33905252814292908</v>
      </c>
      <c r="Q45">
        <v>0.23028275370597839</v>
      </c>
      <c r="R45">
        <v>0.44915884733200068</v>
      </c>
      <c r="S45">
        <v>0.5</v>
      </c>
      <c r="T45">
        <v>1</v>
      </c>
      <c r="U45">
        <v>17.443062782287601</v>
      </c>
      <c r="V45">
        <v>3266</v>
      </c>
      <c r="W45">
        <v>421</v>
      </c>
      <c r="X45">
        <v>3687</v>
      </c>
      <c r="Y45">
        <v>0</v>
      </c>
      <c r="Z45">
        <v>5</v>
      </c>
      <c r="AA45">
        <v>17.443062782287601</v>
      </c>
    </row>
    <row r="46" spans="1:27" ht="409.5" x14ac:dyDescent="0.25">
      <c r="A46">
        <v>45</v>
      </c>
      <c r="B46" t="s">
        <v>134</v>
      </c>
      <c r="C46" t="s">
        <v>71</v>
      </c>
      <c r="D46" s="2" t="s">
        <v>272</v>
      </c>
      <c r="E46" s="2" t="s">
        <v>273</v>
      </c>
      <c r="F46" s="2" t="s">
        <v>274</v>
      </c>
      <c r="G46" s="2" t="s">
        <v>275</v>
      </c>
      <c r="H46" t="s">
        <v>276</v>
      </c>
      <c r="I46" t="s">
        <v>65</v>
      </c>
      <c r="J46" s="4">
        <v>0.76470588235294112</v>
      </c>
      <c r="K46">
        <v>1</v>
      </c>
      <c r="L46">
        <v>0.99999999995</v>
      </c>
      <c r="M46">
        <v>0.86850316012519135</v>
      </c>
      <c r="N46">
        <v>0.62499999921874994</v>
      </c>
      <c r="O46">
        <v>0.87980832201824688</v>
      </c>
      <c r="P46">
        <v>0.34046918153762817</v>
      </c>
      <c r="Q46">
        <v>0.3489568829536438</v>
      </c>
      <c r="R46">
        <v>0.329090416431427</v>
      </c>
      <c r="S46">
        <v>0</v>
      </c>
      <c r="T46">
        <v>0</v>
      </c>
      <c r="U46">
        <v>13.98317909240723</v>
      </c>
      <c r="V46">
        <v>3273</v>
      </c>
      <c r="W46">
        <v>302</v>
      </c>
      <c r="X46">
        <v>3575</v>
      </c>
      <c r="Y46">
        <v>0</v>
      </c>
      <c r="Z46">
        <v>5</v>
      </c>
      <c r="AA46">
        <v>13.98317909240723</v>
      </c>
    </row>
    <row r="47" spans="1:27" ht="409.5" x14ac:dyDescent="0.25">
      <c r="A47">
        <v>46</v>
      </c>
      <c r="B47" t="s">
        <v>134</v>
      </c>
      <c r="C47" t="s">
        <v>71</v>
      </c>
      <c r="D47" s="2" t="s">
        <v>277</v>
      </c>
      <c r="E47" s="2" t="s">
        <v>278</v>
      </c>
      <c r="F47" s="2" t="s">
        <v>279</v>
      </c>
      <c r="G47" s="2" t="s">
        <v>280</v>
      </c>
      <c r="H47" t="s">
        <v>281</v>
      </c>
      <c r="I47" t="s">
        <v>94</v>
      </c>
      <c r="J47" s="3">
        <v>1</v>
      </c>
      <c r="K47">
        <v>1</v>
      </c>
      <c r="L47">
        <v>0.99999999998</v>
      </c>
      <c r="M47">
        <v>0.9441074089209669</v>
      </c>
      <c r="N47">
        <v>0.4999999995833333</v>
      </c>
      <c r="O47">
        <v>0.98922625429408673</v>
      </c>
      <c r="P47">
        <v>0.38200271129608149</v>
      </c>
      <c r="Q47">
        <v>0.34412243962287897</v>
      </c>
      <c r="R47">
        <v>0.41760829091072083</v>
      </c>
      <c r="S47">
        <v>0.33333333333333331</v>
      </c>
      <c r="T47">
        <v>1</v>
      </c>
      <c r="U47">
        <v>16.478578090667721</v>
      </c>
      <c r="V47">
        <v>3125</v>
      </c>
      <c r="W47">
        <v>384</v>
      </c>
      <c r="X47">
        <v>3509</v>
      </c>
      <c r="Y47">
        <v>0</v>
      </c>
      <c r="Z47">
        <v>5</v>
      </c>
      <c r="AA47">
        <v>16.478578090667721</v>
      </c>
    </row>
    <row r="48" spans="1:27" ht="409.5" x14ac:dyDescent="0.25">
      <c r="A48">
        <v>47</v>
      </c>
      <c r="B48" t="s">
        <v>282</v>
      </c>
      <c r="C48" t="s">
        <v>71</v>
      </c>
      <c r="D48" s="2" t="s">
        <v>283</v>
      </c>
      <c r="E48" s="2" t="s">
        <v>284</v>
      </c>
      <c r="F48" s="2" t="s">
        <v>285</v>
      </c>
      <c r="G48" s="2" t="s">
        <v>286</v>
      </c>
      <c r="H48" t="s">
        <v>287</v>
      </c>
      <c r="I48" t="s">
        <v>288</v>
      </c>
      <c r="J48" s="3">
        <v>0.9375</v>
      </c>
      <c r="K48">
        <v>1</v>
      </c>
      <c r="L48">
        <v>0.99999999998</v>
      </c>
      <c r="M48">
        <v>0.90085860929065265</v>
      </c>
      <c r="N48">
        <v>0.23529411750865051</v>
      </c>
      <c r="O48">
        <v>0.95899773218003881</v>
      </c>
      <c r="P48">
        <v>0.29495465755462652</v>
      </c>
      <c r="Q48">
        <v>0.16389670968055731</v>
      </c>
      <c r="R48">
        <v>0.42921590805053711</v>
      </c>
      <c r="S48">
        <v>0.5</v>
      </c>
      <c r="T48">
        <v>1</v>
      </c>
      <c r="U48">
        <v>15.597538709640499</v>
      </c>
      <c r="V48">
        <v>3102</v>
      </c>
      <c r="W48">
        <v>370</v>
      </c>
      <c r="X48">
        <v>3472</v>
      </c>
      <c r="Y48">
        <v>0</v>
      </c>
      <c r="Z48">
        <v>5</v>
      </c>
      <c r="AA48">
        <v>15.597538709640499</v>
      </c>
    </row>
    <row r="49" spans="1:27" ht="409.5" x14ac:dyDescent="0.25">
      <c r="A49">
        <v>48</v>
      </c>
      <c r="B49" t="s">
        <v>282</v>
      </c>
      <c r="C49" t="s">
        <v>28</v>
      </c>
      <c r="D49" s="2" t="s">
        <v>289</v>
      </c>
      <c r="E49" s="2" t="s">
        <v>290</v>
      </c>
      <c r="F49" s="2" t="s">
        <v>291</v>
      </c>
      <c r="G49" s="2" t="s">
        <v>292</v>
      </c>
      <c r="H49" t="s">
        <v>293</v>
      </c>
      <c r="I49" t="s">
        <v>233</v>
      </c>
      <c r="J49" s="3">
        <v>0.9</v>
      </c>
      <c r="K49">
        <v>1</v>
      </c>
      <c r="L49">
        <v>0.99999999989999999</v>
      </c>
      <c r="M49">
        <v>0.80195910551198135</v>
      </c>
      <c r="N49">
        <v>0</v>
      </c>
      <c r="O49">
        <v>0.98479254536822669</v>
      </c>
      <c r="P49">
        <v>0.22382880747318271</v>
      </c>
      <c r="Q49">
        <v>0.102280929684639</v>
      </c>
      <c r="R49">
        <v>0.34740537405014038</v>
      </c>
      <c r="S49">
        <v>1</v>
      </c>
      <c r="T49">
        <v>1</v>
      </c>
      <c r="U49">
        <v>14.51242065429688</v>
      </c>
      <c r="V49">
        <v>3086</v>
      </c>
      <c r="W49">
        <v>313</v>
      </c>
      <c r="X49">
        <v>3399</v>
      </c>
      <c r="Y49">
        <v>0</v>
      </c>
      <c r="Z49">
        <v>5</v>
      </c>
      <c r="AA49">
        <v>14.51242065429688</v>
      </c>
    </row>
    <row r="50" spans="1:27" ht="409.5" x14ac:dyDescent="0.25">
      <c r="A50">
        <v>49</v>
      </c>
      <c r="B50" t="s">
        <v>282</v>
      </c>
      <c r="C50" t="s">
        <v>28</v>
      </c>
      <c r="D50" s="2" t="s">
        <v>294</v>
      </c>
      <c r="E50" s="2" t="s">
        <v>295</v>
      </c>
      <c r="F50" s="2" t="s">
        <v>296</v>
      </c>
      <c r="G50" s="2" t="s">
        <v>297</v>
      </c>
      <c r="H50" t="s">
        <v>298</v>
      </c>
      <c r="I50" t="s">
        <v>41</v>
      </c>
      <c r="J50" s="3">
        <v>1</v>
      </c>
      <c r="K50">
        <v>1</v>
      </c>
      <c r="L50">
        <v>0.80416666664656256</v>
      </c>
      <c r="M50">
        <v>0.8729114148840349</v>
      </c>
      <c r="N50">
        <v>0.39999999959999999</v>
      </c>
      <c r="O50">
        <v>0.90801370384521396</v>
      </c>
      <c r="P50">
        <v>0.2354259192943573</v>
      </c>
      <c r="Q50">
        <v>0.16149431467056269</v>
      </c>
      <c r="R50">
        <v>0.30790174007415771</v>
      </c>
      <c r="S50">
        <v>1</v>
      </c>
      <c r="T50">
        <v>1</v>
      </c>
      <c r="U50">
        <v>12.461331367492679</v>
      </c>
      <c r="V50">
        <v>3023</v>
      </c>
      <c r="W50">
        <v>227</v>
      </c>
      <c r="X50">
        <v>3250</v>
      </c>
      <c r="Y50">
        <v>0</v>
      </c>
      <c r="Z50">
        <v>5</v>
      </c>
      <c r="AA50">
        <v>12.461331367492679</v>
      </c>
    </row>
    <row r="51" spans="1:27" ht="409.5" x14ac:dyDescent="0.25">
      <c r="A51">
        <v>50</v>
      </c>
      <c r="B51" t="s">
        <v>282</v>
      </c>
      <c r="C51" t="s">
        <v>28</v>
      </c>
      <c r="D51" s="2" t="s">
        <v>299</v>
      </c>
      <c r="E51" s="2" t="s">
        <v>300</v>
      </c>
      <c r="F51" s="2" t="s">
        <v>301</v>
      </c>
      <c r="G51" s="2" t="s">
        <v>302</v>
      </c>
      <c r="H51" t="s">
        <v>303</v>
      </c>
      <c r="I51" t="s">
        <v>233</v>
      </c>
      <c r="J51" s="4">
        <v>0.7142857142857143</v>
      </c>
      <c r="K51">
        <v>1</v>
      </c>
      <c r="L51">
        <v>0.69999999997666673</v>
      </c>
      <c r="N51">
        <v>0.28571428530612247</v>
      </c>
      <c r="O51">
        <v>0</v>
      </c>
      <c r="P51">
        <v>0.23584066331386569</v>
      </c>
      <c r="Q51">
        <v>0.17127816379070279</v>
      </c>
      <c r="R51">
        <v>0.29847082495689392</v>
      </c>
      <c r="S51">
        <v>1</v>
      </c>
      <c r="T51">
        <v>1</v>
      </c>
      <c r="U51">
        <v>11.22863101959229</v>
      </c>
      <c r="V51">
        <v>3066</v>
      </c>
      <c r="W51">
        <v>223</v>
      </c>
      <c r="X51">
        <v>3289</v>
      </c>
      <c r="Y51">
        <v>0</v>
      </c>
      <c r="Z51">
        <v>5</v>
      </c>
      <c r="AA51">
        <v>11.22863101959229</v>
      </c>
    </row>
    <row r="52" spans="1:27" ht="409.5" x14ac:dyDescent="0.25">
      <c r="A52">
        <v>51</v>
      </c>
      <c r="B52" t="s">
        <v>134</v>
      </c>
      <c r="C52" t="s">
        <v>35</v>
      </c>
      <c r="D52" s="2" t="s">
        <v>304</v>
      </c>
      <c r="E52" s="2" t="s">
        <v>305</v>
      </c>
      <c r="F52" s="2" t="s">
        <v>306</v>
      </c>
      <c r="G52" s="2" t="s">
        <v>307</v>
      </c>
      <c r="H52" t="s">
        <v>308</v>
      </c>
      <c r="I52" t="s">
        <v>309</v>
      </c>
      <c r="J52" s="4">
        <v>0.77777777777777779</v>
      </c>
      <c r="K52">
        <v>0</v>
      </c>
      <c r="L52">
        <v>0</v>
      </c>
      <c r="M52">
        <v>0.5964234746517626</v>
      </c>
      <c r="N52">
        <v>0</v>
      </c>
      <c r="O52">
        <v>0.79180892384565837</v>
      </c>
      <c r="P52">
        <v>0.115491583943367</v>
      </c>
      <c r="Q52">
        <v>7.4839279055595398E-2</v>
      </c>
      <c r="R52">
        <v>0.15277056396007541</v>
      </c>
      <c r="S52">
        <v>0</v>
      </c>
      <c r="T52">
        <v>0</v>
      </c>
      <c r="U52">
        <v>9.8080413341522217</v>
      </c>
      <c r="V52">
        <v>2739</v>
      </c>
      <c r="W52">
        <v>158</v>
      </c>
      <c r="X52">
        <v>2897</v>
      </c>
      <c r="Y52">
        <v>0</v>
      </c>
      <c r="Z52">
        <v>5</v>
      </c>
      <c r="AA52">
        <v>9.8080413341522217</v>
      </c>
    </row>
    <row r="53" spans="1:27" ht="409.5" x14ac:dyDescent="0.25">
      <c r="A53">
        <v>52</v>
      </c>
      <c r="B53" t="s">
        <v>134</v>
      </c>
      <c r="C53" t="s">
        <v>35</v>
      </c>
      <c r="D53" s="2" t="s">
        <v>310</v>
      </c>
      <c r="E53" s="2" t="s">
        <v>311</v>
      </c>
      <c r="F53" s="2" t="s">
        <v>312</v>
      </c>
      <c r="G53" s="2" t="s">
        <v>313</v>
      </c>
      <c r="H53" t="s">
        <v>314</v>
      </c>
      <c r="I53" t="s">
        <v>315</v>
      </c>
      <c r="J53" s="3">
        <v>0.88888888888888884</v>
      </c>
      <c r="K53">
        <v>1</v>
      </c>
      <c r="L53">
        <v>0.999999999975</v>
      </c>
      <c r="M53">
        <v>0.93503425910549365</v>
      </c>
      <c r="N53">
        <v>0.57142857061224495</v>
      </c>
      <c r="O53">
        <v>0.74665798317909482</v>
      </c>
      <c r="P53">
        <v>0.58955115079879761</v>
      </c>
      <c r="Q53">
        <v>0.42119759321212769</v>
      </c>
      <c r="R53">
        <v>0.7662690281867981</v>
      </c>
      <c r="S53">
        <v>0.25</v>
      </c>
      <c r="T53">
        <v>1</v>
      </c>
      <c r="U53">
        <v>9.1023855209350586</v>
      </c>
      <c r="V53">
        <v>2797</v>
      </c>
      <c r="W53">
        <v>142</v>
      </c>
      <c r="X53">
        <v>2939</v>
      </c>
      <c r="Y53">
        <v>0</v>
      </c>
      <c r="Z53">
        <v>5</v>
      </c>
      <c r="AA53">
        <v>9.1023855209350586</v>
      </c>
    </row>
    <row r="54" spans="1:27" ht="409.5" x14ac:dyDescent="0.25">
      <c r="A54">
        <v>53</v>
      </c>
      <c r="B54" t="s">
        <v>134</v>
      </c>
      <c r="C54" t="s">
        <v>28</v>
      </c>
      <c r="D54" s="2" t="s">
        <v>316</v>
      </c>
      <c r="E54" s="2" t="s">
        <v>317</v>
      </c>
      <c r="F54" s="2" t="s">
        <v>318</v>
      </c>
      <c r="G54" s="2" t="s">
        <v>319</v>
      </c>
      <c r="H54" t="s">
        <v>320</v>
      </c>
      <c r="I54" t="s">
        <v>65</v>
      </c>
      <c r="J54" s="3">
        <v>1</v>
      </c>
      <c r="K54">
        <v>0</v>
      </c>
      <c r="L54">
        <v>0</v>
      </c>
      <c r="M54">
        <v>0.69949198046033634</v>
      </c>
      <c r="N54">
        <v>0</v>
      </c>
      <c r="O54">
        <v>0.84824763569559369</v>
      </c>
      <c r="P54">
        <v>2.7763873338699341E-2</v>
      </c>
      <c r="Q54">
        <v>9.1278828680515289E-2</v>
      </c>
      <c r="R54">
        <v>-3.8442902266979218E-2</v>
      </c>
      <c r="S54">
        <v>0</v>
      </c>
      <c r="T54">
        <v>0</v>
      </c>
      <c r="U54">
        <v>17.738632917404171</v>
      </c>
      <c r="V54">
        <v>3723</v>
      </c>
      <c r="W54">
        <v>299</v>
      </c>
      <c r="X54">
        <v>4022</v>
      </c>
      <c r="Y54">
        <v>0</v>
      </c>
      <c r="Z54">
        <v>5</v>
      </c>
      <c r="AA54">
        <v>17.738632917404171</v>
      </c>
    </row>
    <row r="55" spans="1:27" ht="409.5" x14ac:dyDescent="0.25">
      <c r="A55">
        <v>54</v>
      </c>
      <c r="B55" t="s">
        <v>282</v>
      </c>
      <c r="C55" t="s">
        <v>28</v>
      </c>
      <c r="D55" s="2" t="s">
        <v>321</v>
      </c>
      <c r="E55" s="2" t="s">
        <v>322</v>
      </c>
      <c r="F55" s="2" t="s">
        <v>323</v>
      </c>
      <c r="G55" s="2" t="s">
        <v>324</v>
      </c>
      <c r="H55" t="s">
        <v>325</v>
      </c>
      <c r="I55" t="s">
        <v>83</v>
      </c>
      <c r="J55" s="3">
        <v>1</v>
      </c>
      <c r="K55">
        <v>1</v>
      </c>
      <c r="L55">
        <v>0.99999999995</v>
      </c>
      <c r="M55">
        <v>0.8578687019516622</v>
      </c>
      <c r="N55">
        <v>0.41666666631944438</v>
      </c>
      <c r="O55">
        <v>0.93209250236241803</v>
      </c>
      <c r="P55">
        <v>0.32117533683776861</v>
      </c>
      <c r="Q55">
        <v>0.16094693541526789</v>
      </c>
      <c r="R55">
        <v>0.48797807097434998</v>
      </c>
      <c r="S55">
        <v>0.5</v>
      </c>
      <c r="T55">
        <v>1</v>
      </c>
      <c r="U55">
        <v>20.642289638519291</v>
      </c>
      <c r="V55">
        <v>3033</v>
      </c>
      <c r="W55">
        <v>521</v>
      </c>
      <c r="X55">
        <v>3554</v>
      </c>
      <c r="Y55">
        <v>0</v>
      </c>
      <c r="Z55">
        <v>5</v>
      </c>
      <c r="AA55">
        <v>20.642289638519291</v>
      </c>
    </row>
    <row r="56" spans="1:27" ht="409.5" x14ac:dyDescent="0.25">
      <c r="A56">
        <v>55</v>
      </c>
      <c r="B56" t="s">
        <v>326</v>
      </c>
      <c r="C56" t="s">
        <v>71</v>
      </c>
      <c r="D56" s="2" t="s">
        <v>327</v>
      </c>
      <c r="E56" s="2" t="s">
        <v>328</v>
      </c>
      <c r="F56" s="2" t="s">
        <v>329</v>
      </c>
      <c r="G56" s="2" t="s">
        <v>330</v>
      </c>
      <c r="H56" t="s">
        <v>331</v>
      </c>
      <c r="I56" t="s">
        <v>53</v>
      </c>
      <c r="J56" s="3">
        <v>0.8</v>
      </c>
      <c r="K56">
        <v>1</v>
      </c>
      <c r="L56">
        <v>0.999999999975</v>
      </c>
      <c r="M56">
        <v>0.85251558353922874</v>
      </c>
      <c r="N56">
        <v>0.54999999972500002</v>
      </c>
      <c r="O56">
        <v>0.83388214080870704</v>
      </c>
      <c r="P56">
        <v>0.26890528202056879</v>
      </c>
      <c r="Q56">
        <v>0.32205742597579962</v>
      </c>
      <c r="R56">
        <v>0.2135955989360809</v>
      </c>
      <c r="S56">
        <v>0.33333333333333331</v>
      </c>
      <c r="T56">
        <v>1</v>
      </c>
      <c r="U56">
        <v>12.776778221130369</v>
      </c>
      <c r="V56">
        <v>3503</v>
      </c>
      <c r="W56">
        <v>256</v>
      </c>
      <c r="X56">
        <v>3759</v>
      </c>
      <c r="Y56">
        <v>0</v>
      </c>
      <c r="Z56">
        <v>5</v>
      </c>
      <c r="AA56">
        <v>12.776778221130369</v>
      </c>
    </row>
    <row r="57" spans="1:27" ht="409.5" x14ac:dyDescent="0.25">
      <c r="A57">
        <v>56</v>
      </c>
      <c r="B57" t="s">
        <v>326</v>
      </c>
      <c r="C57" t="s">
        <v>71</v>
      </c>
      <c r="D57" s="2" t="s">
        <v>332</v>
      </c>
      <c r="E57" s="2" t="s">
        <v>333</v>
      </c>
      <c r="F57" s="2" t="s">
        <v>334</v>
      </c>
      <c r="G57" s="2" t="s">
        <v>335</v>
      </c>
      <c r="H57" t="s">
        <v>336</v>
      </c>
      <c r="I57" t="s">
        <v>53</v>
      </c>
      <c r="J57" s="3">
        <v>0.8666666666666667</v>
      </c>
      <c r="K57">
        <v>0.25</v>
      </c>
      <c r="L57">
        <v>0</v>
      </c>
      <c r="M57">
        <v>0.79720019639378115</v>
      </c>
      <c r="N57">
        <v>0.43999999982400001</v>
      </c>
      <c r="O57">
        <v>0</v>
      </c>
      <c r="P57">
        <v>0.22653006017208099</v>
      </c>
      <c r="Q57">
        <v>0.28534221649169922</v>
      </c>
      <c r="R57">
        <v>0.16561836004257199</v>
      </c>
      <c r="S57">
        <v>0</v>
      </c>
      <c r="T57">
        <v>0</v>
      </c>
      <c r="U57">
        <v>13.36654257774353</v>
      </c>
      <c r="V57">
        <v>3067</v>
      </c>
      <c r="W57">
        <v>268</v>
      </c>
      <c r="X57">
        <v>3335</v>
      </c>
      <c r="Y57">
        <v>0</v>
      </c>
      <c r="Z57">
        <v>5</v>
      </c>
      <c r="AA57">
        <v>13.36654257774353</v>
      </c>
    </row>
    <row r="58" spans="1:27" ht="409.5" x14ac:dyDescent="0.25">
      <c r="A58">
        <v>57</v>
      </c>
      <c r="B58" t="s">
        <v>326</v>
      </c>
      <c r="C58" t="s">
        <v>28</v>
      </c>
      <c r="D58" s="2" t="s">
        <v>337</v>
      </c>
      <c r="E58" s="2" t="s">
        <v>338</v>
      </c>
      <c r="F58" s="2" t="s">
        <v>339</v>
      </c>
      <c r="G58" s="2" t="s">
        <v>340</v>
      </c>
      <c r="H58" t="s">
        <v>341</v>
      </c>
      <c r="I58" t="s">
        <v>53</v>
      </c>
      <c r="J58" s="3">
        <v>1</v>
      </c>
      <c r="K58">
        <v>1</v>
      </c>
      <c r="L58">
        <v>0.53333333331555555</v>
      </c>
      <c r="M58">
        <v>0.81409910628504323</v>
      </c>
      <c r="N58">
        <v>0.49999999968749997</v>
      </c>
      <c r="O58">
        <v>0.73277314821972439</v>
      </c>
      <c r="P58">
        <v>0.36952799558639532</v>
      </c>
      <c r="Q58">
        <v>0.33062189817428589</v>
      </c>
      <c r="R58">
        <v>0.40613117814064031</v>
      </c>
      <c r="S58">
        <v>0.2</v>
      </c>
      <c r="T58">
        <v>1</v>
      </c>
      <c r="U58">
        <v>12.373198747634889</v>
      </c>
      <c r="V58">
        <v>2993</v>
      </c>
      <c r="W58">
        <v>223</v>
      </c>
      <c r="X58">
        <v>3216</v>
      </c>
      <c r="Y58">
        <v>0</v>
      </c>
      <c r="Z58">
        <v>5</v>
      </c>
      <c r="AA58">
        <v>12.373198747634889</v>
      </c>
    </row>
    <row r="59" spans="1:27" ht="409.5" x14ac:dyDescent="0.25">
      <c r="A59">
        <v>58</v>
      </c>
      <c r="B59" t="s">
        <v>326</v>
      </c>
      <c r="C59" t="s">
        <v>28</v>
      </c>
      <c r="D59" s="2" t="s">
        <v>342</v>
      </c>
      <c r="E59" s="2" t="s">
        <v>343</v>
      </c>
      <c r="F59" s="2" t="s">
        <v>344</v>
      </c>
      <c r="G59" s="2" t="s">
        <v>345</v>
      </c>
      <c r="H59" t="s">
        <v>346</v>
      </c>
      <c r="I59" t="s">
        <v>34</v>
      </c>
      <c r="J59" s="3">
        <v>1</v>
      </c>
      <c r="K59">
        <v>0.75</v>
      </c>
      <c r="L59">
        <v>0.999999999975</v>
      </c>
      <c r="M59">
        <v>0.90283640948400246</v>
      </c>
      <c r="N59">
        <v>0.49999999937499989</v>
      </c>
      <c r="O59">
        <v>0.8966947889372644</v>
      </c>
      <c r="P59">
        <v>0.45711550116539001</v>
      </c>
      <c r="Q59">
        <v>0.51674717664718628</v>
      </c>
      <c r="R59">
        <v>0.39636808633804321</v>
      </c>
      <c r="S59">
        <v>0</v>
      </c>
      <c r="T59">
        <v>0</v>
      </c>
      <c r="U59">
        <v>9.1229948997497559</v>
      </c>
      <c r="V59">
        <v>3572</v>
      </c>
      <c r="W59">
        <v>121</v>
      </c>
      <c r="X59">
        <v>3693</v>
      </c>
      <c r="Y59">
        <v>0</v>
      </c>
      <c r="Z59">
        <v>5</v>
      </c>
      <c r="AA59">
        <v>9.1229948997497559</v>
      </c>
    </row>
    <row r="60" spans="1:27" ht="409.5" x14ac:dyDescent="0.25">
      <c r="A60">
        <v>59</v>
      </c>
      <c r="B60" t="s">
        <v>326</v>
      </c>
      <c r="C60" t="s">
        <v>28</v>
      </c>
      <c r="D60" s="2" t="s">
        <v>347</v>
      </c>
      <c r="E60" s="2" t="s">
        <v>348</v>
      </c>
      <c r="F60" s="2" t="s">
        <v>349</v>
      </c>
      <c r="G60" s="2" t="s">
        <v>350</v>
      </c>
      <c r="H60" t="s">
        <v>351</v>
      </c>
      <c r="I60" t="s">
        <v>34</v>
      </c>
      <c r="J60" s="3">
        <v>1</v>
      </c>
      <c r="K60">
        <v>1</v>
      </c>
      <c r="L60">
        <v>0.58888888886925927</v>
      </c>
      <c r="M60">
        <v>0.94774084114205126</v>
      </c>
      <c r="N60">
        <v>0.59999999879999999</v>
      </c>
      <c r="O60">
        <v>0.78886804359428853</v>
      </c>
      <c r="P60">
        <v>0.52661043405532837</v>
      </c>
      <c r="Q60">
        <v>0.45379781723022461</v>
      </c>
      <c r="R60">
        <v>0.59913575649261475</v>
      </c>
      <c r="S60">
        <v>0.33333333333333331</v>
      </c>
      <c r="T60">
        <v>1</v>
      </c>
      <c r="U60">
        <v>14.68495154380798</v>
      </c>
      <c r="V60">
        <v>3205</v>
      </c>
      <c r="W60">
        <v>322</v>
      </c>
      <c r="X60">
        <v>3527</v>
      </c>
      <c r="Y60">
        <v>0</v>
      </c>
      <c r="Z60">
        <v>5</v>
      </c>
      <c r="AA60">
        <v>14.68495154380798</v>
      </c>
    </row>
    <row r="61" spans="1:27" ht="409.5" x14ac:dyDescent="0.25">
      <c r="A61">
        <v>60</v>
      </c>
      <c r="B61" t="s">
        <v>326</v>
      </c>
      <c r="C61" t="s">
        <v>28</v>
      </c>
      <c r="D61" s="2" t="s">
        <v>352</v>
      </c>
      <c r="E61" s="2" t="s">
        <v>353</v>
      </c>
      <c r="F61" s="2" t="s">
        <v>354</v>
      </c>
      <c r="G61" s="2" t="s">
        <v>355</v>
      </c>
      <c r="H61" t="s">
        <v>356</v>
      </c>
      <c r="I61" t="s">
        <v>53</v>
      </c>
      <c r="J61" s="4">
        <v>0.75</v>
      </c>
      <c r="K61">
        <v>1</v>
      </c>
      <c r="L61">
        <v>0.99999999996666666</v>
      </c>
      <c r="M61">
        <v>0.85305463120597369</v>
      </c>
      <c r="N61">
        <v>0.37499999953125002</v>
      </c>
      <c r="O61">
        <v>0</v>
      </c>
      <c r="P61">
        <v>0.39986437559127808</v>
      </c>
      <c r="Q61">
        <v>0.33498239517211909</v>
      </c>
      <c r="R61">
        <v>0.46353006362915039</v>
      </c>
      <c r="S61">
        <v>1</v>
      </c>
      <c r="T61">
        <v>1</v>
      </c>
      <c r="U61">
        <v>13.23542451858521</v>
      </c>
      <c r="V61">
        <v>3264</v>
      </c>
      <c r="W61">
        <v>260</v>
      </c>
      <c r="X61">
        <v>3524</v>
      </c>
      <c r="Y61">
        <v>0</v>
      </c>
      <c r="Z61">
        <v>5</v>
      </c>
      <c r="AA61">
        <v>13.23542451858521</v>
      </c>
    </row>
    <row r="62" spans="1:27" ht="409.5" x14ac:dyDescent="0.25">
      <c r="A62">
        <v>61</v>
      </c>
      <c r="B62" t="s">
        <v>326</v>
      </c>
      <c r="C62" t="s">
        <v>28</v>
      </c>
      <c r="D62" s="2" t="s">
        <v>357</v>
      </c>
      <c r="E62" s="2" t="s">
        <v>358</v>
      </c>
      <c r="F62" s="2" t="s">
        <v>359</v>
      </c>
      <c r="G62" s="2" t="s">
        <v>360</v>
      </c>
      <c r="H62" t="s">
        <v>361</v>
      </c>
      <c r="I62" t="s">
        <v>116</v>
      </c>
      <c r="J62" s="3">
        <v>0.88888888888888884</v>
      </c>
      <c r="K62">
        <v>0.25</v>
      </c>
      <c r="L62">
        <v>0</v>
      </c>
      <c r="M62">
        <v>0.77898316844514648</v>
      </c>
      <c r="N62">
        <v>8.3333333263888879E-2</v>
      </c>
      <c r="O62">
        <v>0</v>
      </c>
      <c r="P62">
        <v>0.2471706569194794</v>
      </c>
      <c r="Q62">
        <v>0.22846075892448431</v>
      </c>
      <c r="R62">
        <v>0.26263841986656189</v>
      </c>
      <c r="S62">
        <v>0</v>
      </c>
      <c r="T62">
        <v>0</v>
      </c>
      <c r="U62">
        <v>12.381331920623779</v>
      </c>
      <c r="V62">
        <v>3014</v>
      </c>
      <c r="W62">
        <v>235</v>
      </c>
      <c r="X62">
        <v>3249</v>
      </c>
      <c r="Y62">
        <v>0</v>
      </c>
      <c r="Z62">
        <v>5</v>
      </c>
      <c r="AA62">
        <v>12.381331920623779</v>
      </c>
    </row>
    <row r="63" spans="1:27" ht="409.5" x14ac:dyDescent="0.25">
      <c r="A63">
        <v>62</v>
      </c>
      <c r="B63" t="s">
        <v>326</v>
      </c>
      <c r="C63" t="s">
        <v>71</v>
      </c>
      <c r="D63" s="2" t="s">
        <v>362</v>
      </c>
      <c r="E63" s="2" t="s">
        <v>363</v>
      </c>
      <c r="F63" s="2" t="s">
        <v>364</v>
      </c>
      <c r="G63" s="2" t="s">
        <v>365</v>
      </c>
      <c r="H63" t="s">
        <v>366</v>
      </c>
      <c r="I63" t="s">
        <v>309</v>
      </c>
      <c r="J63" s="5">
        <v>0.5</v>
      </c>
      <c r="K63">
        <v>0</v>
      </c>
      <c r="L63">
        <v>0</v>
      </c>
      <c r="M63">
        <v>0.5528830116396064</v>
      </c>
      <c r="N63">
        <v>0</v>
      </c>
      <c r="O63">
        <v>0</v>
      </c>
      <c r="P63">
        <v>-2.2938927941140719E-5</v>
      </c>
      <c r="Q63">
        <v>8.1557653844356537E-2</v>
      </c>
      <c r="R63">
        <v>-8.3408504724502563E-2</v>
      </c>
      <c r="S63">
        <v>0</v>
      </c>
      <c r="T63">
        <v>0</v>
      </c>
      <c r="U63">
        <v>11.25773954391479</v>
      </c>
      <c r="V63">
        <v>3695</v>
      </c>
      <c r="W63">
        <v>163</v>
      </c>
      <c r="X63">
        <v>3858</v>
      </c>
      <c r="Y63">
        <v>0</v>
      </c>
      <c r="Z63">
        <v>5</v>
      </c>
      <c r="AA63">
        <v>11.25773954391479</v>
      </c>
    </row>
    <row r="64" spans="1:27" ht="409.5" x14ac:dyDescent="0.25">
      <c r="A64">
        <v>63</v>
      </c>
      <c r="B64" t="s">
        <v>326</v>
      </c>
      <c r="C64" t="s">
        <v>28</v>
      </c>
      <c r="D64" s="2" t="s">
        <v>367</v>
      </c>
      <c r="E64" s="2" t="s">
        <v>368</v>
      </c>
      <c r="F64" s="2" t="s">
        <v>369</v>
      </c>
      <c r="G64" s="2" t="s">
        <v>370</v>
      </c>
      <c r="H64" t="s">
        <v>371</v>
      </c>
      <c r="I64" t="s">
        <v>65</v>
      </c>
      <c r="J64" s="5">
        <v>0.5</v>
      </c>
      <c r="K64">
        <v>0</v>
      </c>
      <c r="L64">
        <v>0</v>
      </c>
      <c r="M64">
        <v>0.86640121600113507</v>
      </c>
      <c r="N64">
        <v>0</v>
      </c>
      <c r="O64">
        <v>0</v>
      </c>
      <c r="P64">
        <v>0.1667937487363815</v>
      </c>
      <c r="Q64">
        <v>0.15312860906124109</v>
      </c>
      <c r="R64">
        <v>0.17680589854717249</v>
      </c>
      <c r="S64">
        <v>0</v>
      </c>
      <c r="T64">
        <v>0</v>
      </c>
      <c r="U64">
        <v>8.6813433170318604</v>
      </c>
      <c r="V64">
        <v>3176</v>
      </c>
      <c r="W64">
        <v>122</v>
      </c>
      <c r="X64">
        <v>3298</v>
      </c>
      <c r="Y64">
        <v>0</v>
      </c>
      <c r="Z64">
        <v>5</v>
      </c>
      <c r="AA64">
        <v>8.6813433170318604</v>
      </c>
    </row>
    <row r="65" spans="1:27" ht="409.5" x14ac:dyDescent="0.25">
      <c r="A65">
        <v>64</v>
      </c>
      <c r="B65" t="s">
        <v>326</v>
      </c>
      <c r="C65" t="s">
        <v>28</v>
      </c>
      <c r="D65" s="2" t="s">
        <v>372</v>
      </c>
      <c r="E65" s="2" t="s">
        <v>373</v>
      </c>
      <c r="F65" s="2" t="s">
        <v>374</v>
      </c>
      <c r="G65" s="2" t="s">
        <v>375</v>
      </c>
      <c r="H65" t="s">
        <v>376</v>
      </c>
      <c r="I65" t="s">
        <v>83</v>
      </c>
      <c r="J65" s="4">
        <v>0.75</v>
      </c>
      <c r="K65">
        <v>0.2857142857142857</v>
      </c>
      <c r="L65">
        <v>0</v>
      </c>
      <c r="M65">
        <v>0.69686492240551867</v>
      </c>
      <c r="N65">
        <v>0</v>
      </c>
      <c r="O65">
        <v>0</v>
      </c>
      <c r="P65">
        <v>7.8762657940387726E-2</v>
      </c>
      <c r="Q65">
        <v>4.9257460981607437E-2</v>
      </c>
      <c r="R65">
        <v>0.1044540703296661</v>
      </c>
      <c r="S65">
        <v>0</v>
      </c>
      <c r="T65">
        <v>0</v>
      </c>
      <c r="U65">
        <v>15.420554876327509</v>
      </c>
      <c r="V65">
        <v>3682</v>
      </c>
      <c r="W65">
        <v>341</v>
      </c>
      <c r="X65">
        <v>4023</v>
      </c>
      <c r="Y65">
        <v>0</v>
      </c>
      <c r="Z65">
        <v>5</v>
      </c>
      <c r="AA65">
        <v>15.420554876327509</v>
      </c>
    </row>
    <row r="66" spans="1:27" ht="409.5" x14ac:dyDescent="0.25">
      <c r="A66">
        <v>65</v>
      </c>
      <c r="B66" t="s">
        <v>326</v>
      </c>
      <c r="C66" t="s">
        <v>71</v>
      </c>
      <c r="D66" s="2" t="s">
        <v>377</v>
      </c>
      <c r="E66" s="2" t="s">
        <v>378</v>
      </c>
      <c r="F66" s="2" t="s">
        <v>379</v>
      </c>
      <c r="G66" s="2" t="s">
        <v>380</v>
      </c>
      <c r="H66" t="s">
        <v>381</v>
      </c>
      <c r="I66" t="s">
        <v>53</v>
      </c>
      <c r="J66" s="3">
        <v>1</v>
      </c>
      <c r="K66">
        <v>1</v>
      </c>
      <c r="L66">
        <v>0.58333333330416659</v>
      </c>
      <c r="M66">
        <v>0.8933634154683805</v>
      </c>
      <c r="N66">
        <v>0.26923076912721888</v>
      </c>
      <c r="O66">
        <v>0.82334922497989127</v>
      </c>
      <c r="P66">
        <v>0.30737239122390753</v>
      </c>
      <c r="Q66">
        <v>0.40244576334953308</v>
      </c>
      <c r="R66">
        <v>0.21251671016216281</v>
      </c>
      <c r="S66">
        <v>0.5</v>
      </c>
      <c r="T66">
        <v>1</v>
      </c>
      <c r="U66">
        <v>17.197450876235958</v>
      </c>
      <c r="V66">
        <v>3355</v>
      </c>
      <c r="W66">
        <v>386</v>
      </c>
      <c r="X66">
        <v>3741</v>
      </c>
      <c r="Y66">
        <v>0</v>
      </c>
      <c r="Z66">
        <v>5</v>
      </c>
      <c r="AA66">
        <v>17.197450876235958</v>
      </c>
    </row>
    <row r="67" spans="1:27" ht="409.5" x14ac:dyDescent="0.25">
      <c r="A67">
        <v>66</v>
      </c>
      <c r="B67" t="s">
        <v>326</v>
      </c>
      <c r="C67" t="s">
        <v>28</v>
      </c>
      <c r="D67" s="2" t="s">
        <v>382</v>
      </c>
      <c r="E67" s="2" t="s">
        <v>383</v>
      </c>
      <c r="F67" s="2" t="s">
        <v>384</v>
      </c>
      <c r="G67" s="2" t="s">
        <v>385</v>
      </c>
      <c r="H67" t="s">
        <v>386</v>
      </c>
      <c r="I67" t="s">
        <v>65</v>
      </c>
      <c r="J67" s="5">
        <v>0.5714285714285714</v>
      </c>
      <c r="K67">
        <v>0</v>
      </c>
      <c r="L67">
        <v>0</v>
      </c>
      <c r="M67">
        <v>0.66955782287245924</v>
      </c>
      <c r="N67">
        <v>0</v>
      </c>
      <c r="O67">
        <v>0</v>
      </c>
      <c r="P67">
        <v>0.20149554312229159</v>
      </c>
      <c r="Q67">
        <v>0.19838753342628479</v>
      </c>
      <c r="R67">
        <v>0.20105701684951779</v>
      </c>
      <c r="S67">
        <v>0</v>
      </c>
      <c r="T67">
        <v>0</v>
      </c>
      <c r="U67">
        <v>9.1255981922149658</v>
      </c>
      <c r="V67">
        <v>3429</v>
      </c>
      <c r="W67">
        <v>120</v>
      </c>
      <c r="X67">
        <v>3549</v>
      </c>
      <c r="Y67">
        <v>0</v>
      </c>
      <c r="Z67">
        <v>5</v>
      </c>
      <c r="AA67">
        <v>9.1255981922149658</v>
      </c>
    </row>
    <row r="68" spans="1:27" ht="409.5" x14ac:dyDescent="0.25">
      <c r="A68">
        <v>67</v>
      </c>
      <c r="B68" t="s">
        <v>326</v>
      </c>
      <c r="C68" t="s">
        <v>28</v>
      </c>
      <c r="D68" s="2" t="s">
        <v>387</v>
      </c>
      <c r="E68" s="2" t="s">
        <v>388</v>
      </c>
      <c r="F68" s="2" t="s">
        <v>389</v>
      </c>
      <c r="G68" s="2" t="s">
        <v>390</v>
      </c>
      <c r="H68" t="s">
        <v>391</v>
      </c>
      <c r="I68" t="s">
        <v>41</v>
      </c>
      <c r="J68" s="3">
        <v>0.81818181818181823</v>
      </c>
      <c r="K68">
        <v>1</v>
      </c>
      <c r="L68">
        <v>0.8666666666377778</v>
      </c>
      <c r="M68">
        <v>0.82251183209169021</v>
      </c>
      <c r="N68">
        <v>0.49999999937499989</v>
      </c>
      <c r="O68">
        <v>0.99439880689715898</v>
      </c>
      <c r="P68">
        <v>0.31308194994926453</v>
      </c>
      <c r="Q68">
        <v>0.30955854058265692</v>
      </c>
      <c r="R68">
        <v>0.31355538964271551</v>
      </c>
      <c r="S68">
        <v>1</v>
      </c>
      <c r="T68">
        <v>1</v>
      </c>
      <c r="U68">
        <v>14.00290060043335</v>
      </c>
      <c r="V68">
        <v>3574</v>
      </c>
      <c r="W68">
        <v>275</v>
      </c>
      <c r="X68">
        <v>3849</v>
      </c>
      <c r="Y68">
        <v>0</v>
      </c>
      <c r="Z68">
        <v>5</v>
      </c>
      <c r="AA68">
        <v>14.00290060043335</v>
      </c>
    </row>
    <row r="69" spans="1:27" ht="409.5" x14ac:dyDescent="0.25">
      <c r="A69">
        <v>68</v>
      </c>
      <c r="B69" t="s">
        <v>326</v>
      </c>
      <c r="C69" t="s">
        <v>28</v>
      </c>
      <c r="D69" s="2" t="s">
        <v>392</v>
      </c>
      <c r="E69" s="2" t="s">
        <v>393</v>
      </c>
      <c r="F69" s="2" t="s">
        <v>394</v>
      </c>
      <c r="G69" s="2" t="s">
        <v>395</v>
      </c>
      <c r="H69" t="s">
        <v>396</v>
      </c>
      <c r="I69" t="s">
        <v>116</v>
      </c>
      <c r="J69" s="3">
        <v>1</v>
      </c>
      <c r="K69">
        <v>1</v>
      </c>
      <c r="L69">
        <v>0.99999999989999999</v>
      </c>
      <c r="M69">
        <v>0.88993903055972656</v>
      </c>
      <c r="N69">
        <v>0.79999999919999998</v>
      </c>
      <c r="O69">
        <v>0.94921214965762946</v>
      </c>
      <c r="P69">
        <v>0.364350825548172</v>
      </c>
      <c r="Q69">
        <v>0.31983637809753418</v>
      </c>
      <c r="R69">
        <v>0.40670400857925421</v>
      </c>
      <c r="S69">
        <v>1</v>
      </c>
      <c r="T69">
        <v>1</v>
      </c>
      <c r="U69">
        <v>12.17288565635681</v>
      </c>
      <c r="V69">
        <v>3441</v>
      </c>
      <c r="W69">
        <v>215</v>
      </c>
      <c r="X69">
        <v>3656</v>
      </c>
      <c r="Y69">
        <v>0</v>
      </c>
      <c r="Z69">
        <v>5</v>
      </c>
      <c r="AA69">
        <v>12.17288565635681</v>
      </c>
    </row>
    <row r="70" spans="1:27" ht="409.5" x14ac:dyDescent="0.25">
      <c r="A70">
        <v>69</v>
      </c>
      <c r="B70" t="s">
        <v>326</v>
      </c>
      <c r="C70" t="s">
        <v>28</v>
      </c>
      <c r="D70" s="2" t="s">
        <v>397</v>
      </c>
      <c r="E70" s="2" t="s">
        <v>398</v>
      </c>
      <c r="F70" s="2" t="s">
        <v>399</v>
      </c>
      <c r="G70" s="2" t="s">
        <v>400</v>
      </c>
      <c r="H70" t="s">
        <v>401</v>
      </c>
      <c r="I70" t="s">
        <v>53</v>
      </c>
      <c r="J70" s="3">
        <v>0.8</v>
      </c>
      <c r="K70">
        <v>1</v>
      </c>
      <c r="L70">
        <v>0.99999999995</v>
      </c>
      <c r="M70">
        <v>0.87614737313510416</v>
      </c>
      <c r="N70">
        <v>0.58333333284722222</v>
      </c>
      <c r="O70">
        <v>0.79190560369321872</v>
      </c>
      <c r="P70">
        <v>0.237193688750267</v>
      </c>
      <c r="Q70">
        <v>0.11839894950389861</v>
      </c>
      <c r="R70">
        <v>0.35780987143516541</v>
      </c>
      <c r="S70">
        <v>1</v>
      </c>
      <c r="T70">
        <v>1</v>
      </c>
      <c r="U70">
        <v>18.441173315048221</v>
      </c>
      <c r="V70">
        <v>3439</v>
      </c>
      <c r="W70">
        <v>446</v>
      </c>
      <c r="X70">
        <v>3885</v>
      </c>
      <c r="Y70">
        <v>0</v>
      </c>
      <c r="Z70">
        <v>5</v>
      </c>
      <c r="AA70">
        <v>18.441173315048221</v>
      </c>
    </row>
    <row r="71" spans="1:27" ht="409.5" x14ac:dyDescent="0.25">
      <c r="A71">
        <v>70</v>
      </c>
      <c r="B71" t="s">
        <v>134</v>
      </c>
      <c r="C71" t="s">
        <v>28</v>
      </c>
      <c r="D71" s="2" t="s">
        <v>402</v>
      </c>
      <c r="E71" s="2" t="s">
        <v>403</v>
      </c>
      <c r="F71" s="2" t="s">
        <v>404</v>
      </c>
      <c r="G71" s="2" t="s">
        <v>405</v>
      </c>
      <c r="H71" t="s">
        <v>406</v>
      </c>
      <c r="I71" t="s">
        <v>407</v>
      </c>
      <c r="J71" s="3">
        <v>1</v>
      </c>
      <c r="K71">
        <v>1</v>
      </c>
      <c r="L71">
        <v>0.99999999995</v>
      </c>
      <c r="M71">
        <v>0.87646157568197114</v>
      </c>
      <c r="N71">
        <v>0.18181818165289251</v>
      </c>
      <c r="O71">
        <v>0.5406685775990977</v>
      </c>
      <c r="P71">
        <v>0.32450443506240839</v>
      </c>
      <c r="Q71">
        <v>0.32421800494194031</v>
      </c>
      <c r="R71">
        <v>0.32179170846939092</v>
      </c>
      <c r="S71">
        <v>1</v>
      </c>
      <c r="T71">
        <v>1</v>
      </c>
      <c r="U71">
        <v>13.97188138961792</v>
      </c>
      <c r="V71">
        <v>3565</v>
      </c>
      <c r="W71">
        <v>307</v>
      </c>
      <c r="X71">
        <v>3872</v>
      </c>
      <c r="Y71">
        <v>0</v>
      </c>
      <c r="Z71">
        <v>5</v>
      </c>
      <c r="AA71">
        <v>13.97188138961792</v>
      </c>
    </row>
    <row r="72" spans="1:27" ht="409.5" x14ac:dyDescent="0.25">
      <c r="A72">
        <v>71</v>
      </c>
      <c r="B72" t="s">
        <v>134</v>
      </c>
      <c r="C72" t="s">
        <v>71</v>
      </c>
      <c r="D72" s="2" t="s">
        <v>408</v>
      </c>
      <c r="E72" s="2" t="s">
        <v>409</v>
      </c>
      <c r="F72" s="2" t="s">
        <v>410</v>
      </c>
      <c r="G72" s="2" t="s">
        <v>411</v>
      </c>
      <c r="H72" t="s">
        <v>412</v>
      </c>
      <c r="I72" t="s">
        <v>53</v>
      </c>
      <c r="J72" s="5">
        <v>0.5714285714285714</v>
      </c>
      <c r="K72">
        <v>0.8</v>
      </c>
      <c r="L72">
        <v>0.999999999975</v>
      </c>
      <c r="M72">
        <v>0.79042792239226101</v>
      </c>
      <c r="N72">
        <v>0.31249999980468751</v>
      </c>
      <c r="O72">
        <v>0</v>
      </c>
      <c r="P72">
        <v>0.1042348593473434</v>
      </c>
      <c r="Q72">
        <v>0.1884775906801224</v>
      </c>
      <c r="R72">
        <v>1.8747994676232341E-2</v>
      </c>
      <c r="S72">
        <v>1</v>
      </c>
      <c r="T72">
        <v>1</v>
      </c>
      <c r="U72">
        <v>11.59707474708557</v>
      </c>
      <c r="V72">
        <v>3479</v>
      </c>
      <c r="W72">
        <v>186</v>
      </c>
      <c r="X72">
        <v>3665</v>
      </c>
      <c r="Y72">
        <v>0</v>
      </c>
      <c r="Z72">
        <v>5</v>
      </c>
      <c r="AA72">
        <v>11.59707474708557</v>
      </c>
    </row>
    <row r="73" spans="1:27" ht="409.5" x14ac:dyDescent="0.25">
      <c r="A73">
        <v>72</v>
      </c>
      <c r="B73" t="s">
        <v>134</v>
      </c>
      <c r="C73" t="s">
        <v>28</v>
      </c>
      <c r="D73" s="2" t="s">
        <v>413</v>
      </c>
      <c r="E73" s="2" t="s">
        <v>414</v>
      </c>
      <c r="F73" s="2" t="s">
        <v>415</v>
      </c>
      <c r="G73" s="2" t="s">
        <v>416</v>
      </c>
      <c r="H73" t="s">
        <v>417</v>
      </c>
      <c r="I73" t="s">
        <v>53</v>
      </c>
      <c r="J73" s="4">
        <v>0.77777777777777779</v>
      </c>
      <c r="K73">
        <v>1</v>
      </c>
      <c r="L73">
        <v>0.99999999998</v>
      </c>
      <c r="M73">
        <v>0.84289684805736531</v>
      </c>
      <c r="N73">
        <v>0.74999999812500007</v>
      </c>
      <c r="O73">
        <v>0.90157275285621197</v>
      </c>
      <c r="P73">
        <v>0.30258294939994812</v>
      </c>
      <c r="Q73">
        <v>0.30042222142219538</v>
      </c>
      <c r="R73">
        <v>0.30164635181427002</v>
      </c>
      <c r="S73">
        <v>0.5</v>
      </c>
      <c r="T73">
        <v>1</v>
      </c>
      <c r="U73">
        <v>11.75321888923645</v>
      </c>
      <c r="V73">
        <v>3132</v>
      </c>
      <c r="W73">
        <v>217</v>
      </c>
      <c r="X73">
        <v>3349</v>
      </c>
      <c r="Y73">
        <v>0</v>
      </c>
      <c r="Z73">
        <v>5</v>
      </c>
      <c r="AA73">
        <v>11.75321888923645</v>
      </c>
    </row>
    <row r="74" spans="1:27" ht="409.5" x14ac:dyDescent="0.25">
      <c r="A74">
        <v>73</v>
      </c>
      <c r="B74" t="s">
        <v>134</v>
      </c>
      <c r="C74" t="s">
        <v>28</v>
      </c>
      <c r="D74" s="2" t="s">
        <v>418</v>
      </c>
      <c r="E74" s="2" t="s">
        <v>419</v>
      </c>
      <c r="F74" s="2" t="s">
        <v>420</v>
      </c>
      <c r="G74" s="2" t="s">
        <v>421</v>
      </c>
      <c r="H74" t="s">
        <v>422</v>
      </c>
      <c r="I74" t="s">
        <v>34</v>
      </c>
      <c r="J74" s="3">
        <v>0.83333333333333337</v>
      </c>
      <c r="K74">
        <v>1</v>
      </c>
      <c r="L74">
        <v>0.94999999997624995</v>
      </c>
      <c r="M74">
        <v>0.81679400530480062</v>
      </c>
      <c r="N74">
        <v>0.18181818165289251</v>
      </c>
      <c r="O74">
        <v>0.89147851593176608</v>
      </c>
      <c r="P74">
        <v>0.26530313491821289</v>
      </c>
      <c r="Q74">
        <v>0.2377346754074097</v>
      </c>
      <c r="R74">
        <v>0.28984740376472468</v>
      </c>
      <c r="S74">
        <v>1</v>
      </c>
      <c r="T74">
        <v>1</v>
      </c>
      <c r="U74">
        <v>13.54133248329163</v>
      </c>
      <c r="V74">
        <v>3377</v>
      </c>
      <c r="W74">
        <v>273</v>
      </c>
      <c r="X74">
        <v>3650</v>
      </c>
      <c r="Y74">
        <v>0</v>
      </c>
      <c r="Z74">
        <v>5</v>
      </c>
      <c r="AA74">
        <v>13.54133248329163</v>
      </c>
    </row>
    <row r="75" spans="1:27" ht="409.5" x14ac:dyDescent="0.25">
      <c r="A75">
        <v>74</v>
      </c>
      <c r="B75" t="s">
        <v>134</v>
      </c>
      <c r="C75" t="s">
        <v>28</v>
      </c>
      <c r="D75" s="2" t="s">
        <v>423</v>
      </c>
      <c r="E75" s="2" t="s">
        <v>424</v>
      </c>
      <c r="F75" s="2" t="s">
        <v>425</v>
      </c>
      <c r="G75" s="2" t="s">
        <v>426</v>
      </c>
      <c r="H75" t="s">
        <v>427</v>
      </c>
      <c r="I75" t="s">
        <v>34</v>
      </c>
      <c r="J75" s="5">
        <v>0.5</v>
      </c>
      <c r="K75">
        <v>0.4</v>
      </c>
      <c r="L75">
        <v>0.99999999996666666</v>
      </c>
      <c r="M75">
        <v>0.75669286889144172</v>
      </c>
      <c r="N75">
        <v>0.28571428557823131</v>
      </c>
      <c r="O75">
        <v>0</v>
      </c>
      <c r="P75">
        <v>5.3987875580787659E-2</v>
      </c>
      <c r="Q75">
        <v>0.16367678344249731</v>
      </c>
      <c r="R75">
        <v>-5.53174689412117E-2</v>
      </c>
      <c r="S75">
        <v>0.5</v>
      </c>
      <c r="T75">
        <v>1</v>
      </c>
      <c r="U75">
        <v>9.4538810253143311</v>
      </c>
      <c r="V75">
        <v>3279</v>
      </c>
      <c r="W75">
        <v>146</v>
      </c>
      <c r="X75">
        <v>3425</v>
      </c>
      <c r="Y75">
        <v>0</v>
      </c>
      <c r="Z75">
        <v>5</v>
      </c>
      <c r="AA75">
        <v>9.4538810253143311</v>
      </c>
    </row>
    <row r="76" spans="1:27" ht="409.5" x14ac:dyDescent="0.25">
      <c r="A76">
        <v>75</v>
      </c>
      <c r="B76" t="s">
        <v>134</v>
      </c>
      <c r="C76" t="s">
        <v>28</v>
      </c>
      <c r="D76" s="2" t="s">
        <v>428</v>
      </c>
      <c r="E76" s="2" t="s">
        <v>429</v>
      </c>
      <c r="F76" s="2" t="s">
        <v>430</v>
      </c>
      <c r="G76" s="2" t="s">
        <v>431</v>
      </c>
      <c r="H76" t="s">
        <v>432</v>
      </c>
      <c r="I76" t="s">
        <v>116</v>
      </c>
      <c r="J76" s="3">
        <v>0.83333333333333337</v>
      </c>
      <c r="K76">
        <v>1</v>
      </c>
      <c r="L76">
        <v>0.99999999995</v>
      </c>
      <c r="M76">
        <v>0.85255497143017056</v>
      </c>
      <c r="N76">
        <v>0.76923076863905315</v>
      </c>
      <c r="O76">
        <v>0.82737110760892163</v>
      </c>
      <c r="P76">
        <v>0.45912191271781921</v>
      </c>
      <c r="Q76">
        <v>0.39597141742706299</v>
      </c>
      <c r="R76">
        <v>0.52123147249221802</v>
      </c>
      <c r="S76">
        <v>1</v>
      </c>
      <c r="T76">
        <v>1</v>
      </c>
      <c r="U76">
        <v>15.20696353912354</v>
      </c>
      <c r="V76">
        <v>3054</v>
      </c>
      <c r="W76">
        <v>329</v>
      </c>
      <c r="X76">
        <v>3383</v>
      </c>
      <c r="Y76">
        <v>0</v>
      </c>
      <c r="Z76">
        <v>5</v>
      </c>
      <c r="AA76">
        <v>15.20696353912354</v>
      </c>
    </row>
    <row r="77" spans="1:27" ht="409.5" x14ac:dyDescent="0.25">
      <c r="A77">
        <v>76</v>
      </c>
      <c r="B77" t="s">
        <v>27</v>
      </c>
      <c r="C77" t="s">
        <v>28</v>
      </c>
      <c r="D77" s="2" t="s">
        <v>433</v>
      </c>
      <c r="E77" s="2" t="s">
        <v>434</v>
      </c>
      <c r="F77" s="2" t="s">
        <v>435</v>
      </c>
      <c r="G77" s="2" t="s">
        <v>436</v>
      </c>
      <c r="H77" t="s">
        <v>437</v>
      </c>
      <c r="I77" t="s">
        <v>65</v>
      </c>
      <c r="J77" s="5">
        <v>0</v>
      </c>
      <c r="K77">
        <v>0</v>
      </c>
      <c r="L77">
        <v>0</v>
      </c>
      <c r="M77">
        <v>0.75885309085753594</v>
      </c>
      <c r="N77">
        <v>0</v>
      </c>
      <c r="O77">
        <v>0</v>
      </c>
      <c r="P77">
        <v>0.1112415939569473</v>
      </c>
      <c r="Q77">
        <v>0.1443471759557724</v>
      </c>
      <c r="R77">
        <v>7.465682178735733E-2</v>
      </c>
      <c r="S77">
        <v>0</v>
      </c>
      <c r="T77">
        <v>0</v>
      </c>
      <c r="U77">
        <v>14.13794636726379</v>
      </c>
      <c r="V77">
        <v>3835</v>
      </c>
      <c r="W77">
        <v>275</v>
      </c>
      <c r="X77">
        <v>4110</v>
      </c>
      <c r="Y77">
        <v>0</v>
      </c>
      <c r="Z77">
        <v>5</v>
      </c>
      <c r="AA77">
        <v>14.13794636726379</v>
      </c>
    </row>
    <row r="78" spans="1:27" ht="409.5" x14ac:dyDescent="0.25">
      <c r="A78">
        <v>77</v>
      </c>
      <c r="B78" t="s">
        <v>27</v>
      </c>
      <c r="C78" t="s">
        <v>28</v>
      </c>
      <c r="D78" s="2" t="s">
        <v>438</v>
      </c>
      <c r="E78" s="2" t="s">
        <v>439</v>
      </c>
      <c r="F78" s="2" t="s">
        <v>440</v>
      </c>
      <c r="G78" s="2" t="s">
        <v>441</v>
      </c>
      <c r="H78" t="s">
        <v>442</v>
      </c>
      <c r="I78" t="s">
        <v>65</v>
      </c>
      <c r="J78" s="5">
        <v>0</v>
      </c>
      <c r="K78">
        <v>0</v>
      </c>
      <c r="L78">
        <v>0</v>
      </c>
      <c r="M78">
        <v>0.58233178970568666</v>
      </c>
      <c r="N78">
        <v>0</v>
      </c>
      <c r="O78">
        <v>0.83629836693224058</v>
      </c>
      <c r="P78">
        <v>4.4913310557603843E-2</v>
      </c>
      <c r="Q78">
        <v>-7.1029504761099824E-3</v>
      </c>
      <c r="R78">
        <v>9.3633197247982025E-2</v>
      </c>
      <c r="S78">
        <v>0</v>
      </c>
      <c r="T78">
        <v>0</v>
      </c>
      <c r="U78">
        <v>17.467824220657349</v>
      </c>
      <c r="V78">
        <v>3342</v>
      </c>
      <c r="W78">
        <v>410</v>
      </c>
      <c r="X78">
        <v>3752</v>
      </c>
      <c r="Y78">
        <v>0</v>
      </c>
      <c r="Z78">
        <v>5</v>
      </c>
      <c r="AA78">
        <v>17.467824220657349</v>
      </c>
    </row>
    <row r="79" spans="1:27" ht="409.5" x14ac:dyDescent="0.25">
      <c r="A79">
        <v>78</v>
      </c>
      <c r="B79" t="s">
        <v>27</v>
      </c>
      <c r="C79" t="s">
        <v>28</v>
      </c>
      <c r="D79" s="2" t="s">
        <v>443</v>
      </c>
      <c r="E79" s="2" t="s">
        <v>444</v>
      </c>
      <c r="F79" s="2" t="s">
        <v>445</v>
      </c>
      <c r="G79" s="2" t="s">
        <v>446</v>
      </c>
      <c r="H79" t="s">
        <v>447</v>
      </c>
      <c r="I79" t="s">
        <v>59</v>
      </c>
      <c r="J79" s="3">
        <v>1</v>
      </c>
      <c r="K79">
        <v>1</v>
      </c>
      <c r="L79">
        <v>0.47777777776185187</v>
      </c>
      <c r="M79">
        <v>0.84480739617746947</v>
      </c>
      <c r="N79">
        <v>0.19999999979999999</v>
      </c>
      <c r="O79">
        <v>0.84843779067768899</v>
      </c>
      <c r="P79">
        <v>0.35119795799255371</v>
      </c>
      <c r="Q79">
        <v>0.2038272023200989</v>
      </c>
      <c r="R79">
        <v>0.50370442867279053</v>
      </c>
      <c r="S79">
        <v>1</v>
      </c>
      <c r="T79">
        <v>1</v>
      </c>
      <c r="U79">
        <v>14.28882360458374</v>
      </c>
      <c r="V79">
        <v>3458</v>
      </c>
      <c r="W79">
        <v>306</v>
      </c>
      <c r="X79">
        <v>3764</v>
      </c>
      <c r="Y79">
        <v>0</v>
      </c>
      <c r="Z79">
        <v>5</v>
      </c>
      <c r="AA79">
        <v>14.28882360458374</v>
      </c>
    </row>
    <row r="80" spans="1:27" ht="409.5" x14ac:dyDescent="0.25">
      <c r="A80">
        <v>79</v>
      </c>
      <c r="B80" t="s">
        <v>196</v>
      </c>
      <c r="C80" t="s">
        <v>28</v>
      </c>
      <c r="D80" s="2" t="s">
        <v>448</v>
      </c>
      <c r="E80" s="2" t="s">
        <v>449</v>
      </c>
      <c r="F80" s="2" t="s">
        <v>450</v>
      </c>
      <c r="G80" s="2" t="s">
        <v>451</v>
      </c>
      <c r="H80" t="s">
        <v>452</v>
      </c>
      <c r="I80" t="s">
        <v>288</v>
      </c>
      <c r="J80" s="3">
        <v>0.8</v>
      </c>
      <c r="K80">
        <v>1</v>
      </c>
      <c r="L80">
        <v>0.41666666664583329</v>
      </c>
      <c r="M80">
        <v>0.8325267494390729</v>
      </c>
      <c r="N80">
        <v>0</v>
      </c>
      <c r="O80">
        <v>0.68011433981212077</v>
      </c>
      <c r="P80">
        <v>0.37211194634437561</v>
      </c>
      <c r="Q80">
        <v>0.17302858829498291</v>
      </c>
      <c r="R80">
        <v>0.58337682485580444</v>
      </c>
      <c r="S80">
        <v>0</v>
      </c>
      <c r="T80">
        <v>0</v>
      </c>
      <c r="U80">
        <v>9.4144349098205566</v>
      </c>
      <c r="V80">
        <v>3336</v>
      </c>
      <c r="W80">
        <v>124</v>
      </c>
      <c r="X80">
        <v>3460</v>
      </c>
      <c r="Y80">
        <v>0</v>
      </c>
      <c r="Z80">
        <v>5</v>
      </c>
      <c r="AA80">
        <v>9.4144349098205566</v>
      </c>
    </row>
    <row r="81" spans="1:27" ht="409.5" x14ac:dyDescent="0.25">
      <c r="A81">
        <v>80</v>
      </c>
      <c r="B81" t="s">
        <v>196</v>
      </c>
      <c r="C81" t="s">
        <v>71</v>
      </c>
      <c r="D81" s="2" t="s">
        <v>453</v>
      </c>
      <c r="E81" s="2" t="s">
        <v>454</v>
      </c>
      <c r="F81" s="2" t="s">
        <v>455</v>
      </c>
      <c r="G81" s="2" t="s">
        <v>456</v>
      </c>
      <c r="H81" t="s">
        <v>457</v>
      </c>
      <c r="I81" t="s">
        <v>41</v>
      </c>
      <c r="J81" s="3">
        <v>1</v>
      </c>
      <c r="K81">
        <v>0.8</v>
      </c>
      <c r="L81">
        <v>0.69999999996499995</v>
      </c>
      <c r="M81">
        <v>0.80634076835793067</v>
      </c>
      <c r="N81">
        <v>0</v>
      </c>
      <c r="O81">
        <v>0.85491107655670395</v>
      </c>
      <c r="P81">
        <v>0.25223350524902338</v>
      </c>
      <c r="Q81">
        <v>0.2249013036489487</v>
      </c>
      <c r="R81">
        <v>0.27647870779037481</v>
      </c>
      <c r="S81">
        <v>0</v>
      </c>
      <c r="T81">
        <v>0</v>
      </c>
      <c r="U81">
        <v>19.64862585067749</v>
      </c>
      <c r="V81">
        <v>3076</v>
      </c>
      <c r="W81">
        <v>360</v>
      </c>
      <c r="X81">
        <v>3436</v>
      </c>
      <c r="Y81">
        <v>0</v>
      </c>
      <c r="Z81">
        <v>5</v>
      </c>
      <c r="AA81">
        <v>19.64862585067749</v>
      </c>
    </row>
    <row r="82" spans="1:27" ht="409.5" x14ac:dyDescent="0.25">
      <c r="A82">
        <v>81</v>
      </c>
      <c r="B82" t="s">
        <v>196</v>
      </c>
      <c r="C82" t="s">
        <v>28</v>
      </c>
      <c r="D82" s="2" t="s">
        <v>458</v>
      </c>
      <c r="E82" s="2" t="s">
        <v>459</v>
      </c>
      <c r="F82" s="2" t="s">
        <v>460</v>
      </c>
      <c r="G82" s="2" t="s">
        <v>461</v>
      </c>
      <c r="H82" t="s">
        <v>462</v>
      </c>
      <c r="I82" t="s">
        <v>407</v>
      </c>
      <c r="J82" s="3">
        <v>1</v>
      </c>
      <c r="K82">
        <v>1</v>
      </c>
      <c r="L82">
        <v>0.99999999998</v>
      </c>
      <c r="M82">
        <v>0.77083718734409268</v>
      </c>
      <c r="N82">
        <v>7.1428571377551014E-2</v>
      </c>
      <c r="O82">
        <v>0.77411728018939474</v>
      </c>
      <c r="P82">
        <v>0.309334397315979</v>
      </c>
      <c r="Q82">
        <v>0.20830859243869779</v>
      </c>
      <c r="R82">
        <v>0.41097214818000788</v>
      </c>
      <c r="S82">
        <v>0.2</v>
      </c>
      <c r="T82">
        <v>1</v>
      </c>
      <c r="U82">
        <v>13.99456357955933</v>
      </c>
      <c r="V82">
        <v>2993</v>
      </c>
      <c r="W82">
        <v>308</v>
      </c>
      <c r="X82">
        <v>3301</v>
      </c>
      <c r="Y82">
        <v>0</v>
      </c>
      <c r="Z82">
        <v>5</v>
      </c>
      <c r="AA82">
        <v>13.99456357955933</v>
      </c>
    </row>
    <row r="83" spans="1:27" ht="409.5" x14ac:dyDescent="0.25">
      <c r="A83">
        <v>82</v>
      </c>
      <c r="B83" t="s">
        <v>196</v>
      </c>
      <c r="C83" t="s">
        <v>71</v>
      </c>
      <c r="D83" s="2" t="s">
        <v>463</v>
      </c>
      <c r="E83" s="2" t="s">
        <v>464</v>
      </c>
      <c r="F83" s="2" t="s">
        <v>465</v>
      </c>
      <c r="G83" s="2" t="s">
        <v>466</v>
      </c>
      <c r="H83" t="s">
        <v>467</v>
      </c>
      <c r="I83" t="s">
        <v>309</v>
      </c>
      <c r="J83" s="3">
        <v>0.82352941176470584</v>
      </c>
      <c r="K83">
        <v>0.25</v>
      </c>
      <c r="L83">
        <v>0.69999999996499995</v>
      </c>
      <c r="M83">
        <v>0.71761125120777147</v>
      </c>
      <c r="N83">
        <v>0</v>
      </c>
      <c r="O83">
        <v>0.90570708656731314</v>
      </c>
      <c r="P83">
        <v>6.6078908741474152E-2</v>
      </c>
      <c r="Q83">
        <v>-3.66217503324151E-3</v>
      </c>
      <c r="R83">
        <v>0.1334252804517746</v>
      </c>
      <c r="S83">
        <v>0</v>
      </c>
      <c r="T83">
        <v>0</v>
      </c>
      <c r="U83">
        <v>15.844429969787599</v>
      </c>
      <c r="V83">
        <v>3263</v>
      </c>
      <c r="W83">
        <v>368</v>
      </c>
      <c r="X83">
        <v>3631</v>
      </c>
      <c r="Y83">
        <v>0</v>
      </c>
      <c r="Z83">
        <v>5</v>
      </c>
      <c r="AA83">
        <v>15.844429969787599</v>
      </c>
    </row>
    <row r="84" spans="1:27" ht="409.5" x14ac:dyDescent="0.25">
      <c r="A84">
        <v>83</v>
      </c>
      <c r="B84" t="s">
        <v>196</v>
      </c>
      <c r="C84" t="s">
        <v>71</v>
      </c>
      <c r="D84" s="2" t="s">
        <v>468</v>
      </c>
      <c r="E84" s="2" t="s">
        <v>469</v>
      </c>
      <c r="F84" s="2" t="s">
        <v>470</v>
      </c>
      <c r="G84" s="2" t="s">
        <v>471</v>
      </c>
      <c r="H84" t="s">
        <v>472</v>
      </c>
      <c r="I84" t="s">
        <v>34</v>
      </c>
      <c r="J84" s="4">
        <v>0.69230769230769229</v>
      </c>
      <c r="K84">
        <v>1</v>
      </c>
      <c r="L84">
        <v>0.94999999997624995</v>
      </c>
      <c r="M84">
        <v>0.87087932575584726</v>
      </c>
      <c r="N84">
        <v>0.31578947351800551</v>
      </c>
      <c r="O84">
        <v>0.89452530331065716</v>
      </c>
      <c r="P84">
        <v>0.12328194081783291</v>
      </c>
      <c r="Q84">
        <v>1.8678018823266029E-2</v>
      </c>
      <c r="R84">
        <v>0.22805655002593991</v>
      </c>
      <c r="S84">
        <v>1</v>
      </c>
      <c r="T84">
        <v>1</v>
      </c>
      <c r="U84">
        <v>19.50137114524841</v>
      </c>
      <c r="V84">
        <v>3199</v>
      </c>
      <c r="W84">
        <v>487</v>
      </c>
      <c r="X84">
        <v>3686</v>
      </c>
      <c r="Y84">
        <v>0</v>
      </c>
      <c r="Z84">
        <v>5</v>
      </c>
      <c r="AA84">
        <v>19.50137114524841</v>
      </c>
    </row>
    <row r="85" spans="1:27" ht="409.5" x14ac:dyDescent="0.25">
      <c r="A85">
        <v>84</v>
      </c>
      <c r="B85" t="s">
        <v>196</v>
      </c>
      <c r="C85" t="s">
        <v>28</v>
      </c>
      <c r="D85" s="2" t="s">
        <v>473</v>
      </c>
      <c r="E85" s="2" t="s">
        <v>474</v>
      </c>
      <c r="F85" s="2" t="s">
        <v>475</v>
      </c>
      <c r="G85" s="2" t="s">
        <v>476</v>
      </c>
      <c r="H85" t="s">
        <v>477</v>
      </c>
      <c r="I85" t="s">
        <v>53</v>
      </c>
      <c r="J85" s="3">
        <v>0.83333333333333337</v>
      </c>
      <c r="K85">
        <v>0.4</v>
      </c>
      <c r="L85">
        <v>0.99999999995</v>
      </c>
      <c r="M85">
        <v>0.68796943830130786</v>
      </c>
      <c r="N85">
        <v>0</v>
      </c>
      <c r="O85">
        <v>0.97536452636383097</v>
      </c>
      <c r="P85">
        <v>4.9272447824478149E-2</v>
      </c>
      <c r="Q85">
        <v>8.0808904021978378E-4</v>
      </c>
      <c r="R85">
        <v>9.4327256083488464E-2</v>
      </c>
      <c r="S85">
        <v>0</v>
      </c>
      <c r="T85">
        <v>0</v>
      </c>
      <c r="U85">
        <v>13.966974496841431</v>
      </c>
      <c r="V85">
        <v>2757</v>
      </c>
      <c r="W85">
        <v>303</v>
      </c>
      <c r="X85">
        <v>3060</v>
      </c>
      <c r="Y85">
        <v>0</v>
      </c>
      <c r="Z85">
        <v>5</v>
      </c>
      <c r="AA85">
        <v>13.966974496841431</v>
      </c>
    </row>
    <row r="86" spans="1:27" ht="409.5" x14ac:dyDescent="0.25">
      <c r="A86">
        <v>85</v>
      </c>
      <c r="B86" t="s">
        <v>478</v>
      </c>
      <c r="C86" t="s">
        <v>35</v>
      </c>
      <c r="D86" s="2" t="s">
        <v>479</v>
      </c>
      <c r="E86" s="2" t="s">
        <v>480</v>
      </c>
      <c r="F86" s="2" t="s">
        <v>481</v>
      </c>
      <c r="G86" s="2" t="s">
        <v>482</v>
      </c>
      <c r="H86" t="s">
        <v>483</v>
      </c>
      <c r="I86" t="s">
        <v>484</v>
      </c>
      <c r="J86" s="3">
        <v>0.93333333333333335</v>
      </c>
      <c r="K86">
        <v>1</v>
      </c>
      <c r="L86">
        <v>0.99999999996666666</v>
      </c>
      <c r="M86">
        <v>0.65987156755582443</v>
      </c>
      <c r="N86">
        <v>0</v>
      </c>
      <c r="O86">
        <v>0.89897302198304807</v>
      </c>
      <c r="P86">
        <v>0.20334990322589869</v>
      </c>
      <c r="Q86">
        <v>2.7961216866970059E-2</v>
      </c>
      <c r="R86">
        <v>0.38701242208480829</v>
      </c>
      <c r="S86">
        <v>0.5</v>
      </c>
      <c r="T86">
        <v>1</v>
      </c>
      <c r="U86">
        <v>14.45573830604553</v>
      </c>
      <c r="V86">
        <v>3095</v>
      </c>
      <c r="W86">
        <v>304</v>
      </c>
      <c r="X86">
        <v>3399</v>
      </c>
      <c r="Y86">
        <v>0</v>
      </c>
      <c r="Z86">
        <v>5</v>
      </c>
      <c r="AA86">
        <v>14.45573830604553</v>
      </c>
    </row>
    <row r="87" spans="1:27" ht="409.5" x14ac:dyDescent="0.25">
      <c r="A87">
        <v>86</v>
      </c>
      <c r="B87" t="s">
        <v>478</v>
      </c>
      <c r="C87" t="s">
        <v>35</v>
      </c>
      <c r="D87" s="2" t="s">
        <v>485</v>
      </c>
      <c r="E87" s="2" t="s">
        <v>486</v>
      </c>
      <c r="F87" s="2" t="s">
        <v>487</v>
      </c>
      <c r="G87" s="2" t="s">
        <v>488</v>
      </c>
      <c r="H87" t="s">
        <v>489</v>
      </c>
      <c r="I87" t="s">
        <v>484</v>
      </c>
      <c r="J87" s="4">
        <v>0.6428571428571429</v>
      </c>
      <c r="K87">
        <v>1</v>
      </c>
      <c r="L87">
        <v>0.99999999996666666</v>
      </c>
      <c r="M87">
        <v>0.71597832051754451</v>
      </c>
      <c r="N87">
        <v>0.19999999960000001</v>
      </c>
      <c r="O87">
        <v>0.62603776639264797</v>
      </c>
      <c r="P87">
        <v>0.17909124493598941</v>
      </c>
      <c r="Q87">
        <v>-7.2355307638645172E-2</v>
      </c>
      <c r="R87">
        <v>0.45223057270050049</v>
      </c>
      <c r="S87">
        <v>0.5</v>
      </c>
      <c r="T87">
        <v>1</v>
      </c>
      <c r="U87">
        <v>12.207560777664179</v>
      </c>
      <c r="V87">
        <v>3205</v>
      </c>
      <c r="W87">
        <v>240</v>
      </c>
      <c r="X87">
        <v>3445</v>
      </c>
      <c r="Y87">
        <v>0</v>
      </c>
      <c r="Z87">
        <v>5</v>
      </c>
      <c r="AA87">
        <v>12.207560777664179</v>
      </c>
    </row>
    <row r="88" spans="1:27" ht="409.5" x14ac:dyDescent="0.25">
      <c r="A88">
        <v>87</v>
      </c>
      <c r="B88" t="s">
        <v>478</v>
      </c>
      <c r="C88" t="s">
        <v>28</v>
      </c>
      <c r="D88" s="2" t="s">
        <v>490</v>
      </c>
      <c r="E88" s="2" t="s">
        <v>491</v>
      </c>
      <c r="F88" s="2" t="s">
        <v>492</v>
      </c>
      <c r="G88" s="2" t="s">
        <v>493</v>
      </c>
      <c r="H88" t="s">
        <v>494</v>
      </c>
      <c r="I88" t="s">
        <v>65</v>
      </c>
      <c r="J88" s="3">
        <v>1</v>
      </c>
      <c r="K88">
        <v>1</v>
      </c>
      <c r="L88">
        <v>0.99999999998</v>
      </c>
      <c r="M88">
        <v>0.92976664094953354</v>
      </c>
      <c r="N88">
        <v>0.39999999959999999</v>
      </c>
      <c r="O88">
        <v>1</v>
      </c>
      <c r="P88">
        <v>0.56650751829147339</v>
      </c>
      <c r="Q88">
        <v>0.57079976797103882</v>
      </c>
      <c r="R88">
        <v>0.56030100584030151</v>
      </c>
      <c r="S88">
        <v>1</v>
      </c>
      <c r="T88">
        <v>1</v>
      </c>
      <c r="U88">
        <v>16.894197225570679</v>
      </c>
      <c r="V88">
        <v>3819</v>
      </c>
      <c r="W88">
        <v>158</v>
      </c>
      <c r="X88">
        <v>3977</v>
      </c>
      <c r="Y88">
        <v>0</v>
      </c>
      <c r="Z88">
        <v>5</v>
      </c>
      <c r="AA88">
        <v>16.894197225570679</v>
      </c>
    </row>
    <row r="89" spans="1:27" ht="409.5" x14ac:dyDescent="0.25">
      <c r="A89">
        <v>88</v>
      </c>
      <c r="B89" t="s">
        <v>478</v>
      </c>
      <c r="C89" t="s">
        <v>28</v>
      </c>
      <c r="D89" s="2" t="s">
        <v>495</v>
      </c>
      <c r="E89" s="2" t="s">
        <v>496</v>
      </c>
      <c r="F89" s="2" t="s">
        <v>497</v>
      </c>
      <c r="G89" s="2" t="s">
        <v>498</v>
      </c>
      <c r="H89" t="s">
        <v>499</v>
      </c>
      <c r="I89" t="s">
        <v>65</v>
      </c>
      <c r="J89" s="3">
        <v>0.875</v>
      </c>
      <c r="K89">
        <v>0.33333333333333331</v>
      </c>
      <c r="L89">
        <v>0.63888888886759254</v>
      </c>
      <c r="M89">
        <v>0.81997352600759177</v>
      </c>
      <c r="N89">
        <v>0.18181818165289251</v>
      </c>
      <c r="O89">
        <v>0.92693502560996133</v>
      </c>
      <c r="P89">
        <v>0.1672369986772537</v>
      </c>
      <c r="Q89">
        <v>0.1051253750920296</v>
      </c>
      <c r="R89">
        <v>0.22700843214988711</v>
      </c>
      <c r="S89">
        <v>0</v>
      </c>
      <c r="T89">
        <v>0</v>
      </c>
      <c r="U89">
        <v>18.425741672515869</v>
      </c>
      <c r="V89">
        <v>3705</v>
      </c>
      <c r="W89">
        <v>459</v>
      </c>
      <c r="X89">
        <v>4164</v>
      </c>
      <c r="Y89">
        <v>0</v>
      </c>
      <c r="Z89">
        <v>5</v>
      </c>
      <c r="AA89">
        <v>18.425741672515869</v>
      </c>
    </row>
    <row r="90" spans="1:27" ht="409.5" x14ac:dyDescent="0.25">
      <c r="A90">
        <v>89</v>
      </c>
      <c r="B90" t="s">
        <v>478</v>
      </c>
      <c r="C90" t="s">
        <v>35</v>
      </c>
      <c r="D90" s="2" t="s">
        <v>500</v>
      </c>
      <c r="E90" s="2" t="s">
        <v>501</v>
      </c>
      <c r="F90" s="2" t="s">
        <v>502</v>
      </c>
      <c r="G90" s="2" t="s">
        <v>503</v>
      </c>
      <c r="H90" t="s">
        <v>504</v>
      </c>
      <c r="I90" t="s">
        <v>407</v>
      </c>
      <c r="J90" s="5">
        <v>1</v>
      </c>
      <c r="K90">
        <v>0</v>
      </c>
      <c r="L90">
        <v>0</v>
      </c>
      <c r="M90">
        <v>0.65027776832868678</v>
      </c>
      <c r="N90">
        <v>0.249999999375</v>
      </c>
      <c r="O90">
        <v>0</v>
      </c>
      <c r="P90">
        <v>0.19592361152172089</v>
      </c>
      <c r="Q90">
        <v>5.2514661103487008E-2</v>
      </c>
      <c r="R90">
        <v>0.34352540969848627</v>
      </c>
      <c r="S90">
        <v>0</v>
      </c>
      <c r="T90">
        <v>0</v>
      </c>
      <c r="U90">
        <v>10.520333766937259</v>
      </c>
      <c r="V90">
        <v>3254</v>
      </c>
      <c r="W90">
        <v>184</v>
      </c>
      <c r="X90">
        <v>3438</v>
      </c>
      <c r="Y90">
        <v>0</v>
      </c>
      <c r="Z90">
        <v>5</v>
      </c>
      <c r="AA90">
        <v>10.520333766937259</v>
      </c>
    </row>
    <row r="91" spans="1:27" ht="409.5" x14ac:dyDescent="0.25">
      <c r="A91">
        <v>90</v>
      </c>
      <c r="B91" t="s">
        <v>478</v>
      </c>
      <c r="C91" t="s">
        <v>28</v>
      </c>
      <c r="D91" s="2" t="s">
        <v>505</v>
      </c>
      <c r="E91" s="2" t="s">
        <v>506</v>
      </c>
      <c r="F91" s="2" t="s">
        <v>507</v>
      </c>
      <c r="G91" s="2" t="s">
        <v>508</v>
      </c>
      <c r="H91" t="s">
        <v>509</v>
      </c>
      <c r="I91" t="s">
        <v>510</v>
      </c>
      <c r="J91" s="3">
        <v>1</v>
      </c>
      <c r="K91">
        <v>1</v>
      </c>
      <c r="L91">
        <v>0.8666666666377778</v>
      </c>
      <c r="M91">
        <v>0.68250784887984639</v>
      </c>
      <c r="N91">
        <v>0.3571428568877551</v>
      </c>
      <c r="O91">
        <v>0.77825317231059721</v>
      </c>
      <c r="P91">
        <v>0.14971312880516049</v>
      </c>
      <c r="Q91">
        <v>4.851464182138443E-2</v>
      </c>
      <c r="R91">
        <v>0.25091361999511719</v>
      </c>
      <c r="S91">
        <v>0</v>
      </c>
      <c r="T91">
        <v>0</v>
      </c>
      <c r="U91">
        <v>20.11661338806152</v>
      </c>
      <c r="V91">
        <v>3725</v>
      </c>
      <c r="W91">
        <v>484</v>
      </c>
      <c r="X91">
        <v>4209</v>
      </c>
      <c r="Y91">
        <v>0</v>
      </c>
      <c r="Z91">
        <v>5</v>
      </c>
      <c r="AA91">
        <v>20.11661338806152</v>
      </c>
    </row>
    <row r="92" spans="1:27" ht="409.5" x14ac:dyDescent="0.25">
      <c r="A92">
        <v>91</v>
      </c>
      <c r="B92" t="s">
        <v>478</v>
      </c>
      <c r="C92" t="s">
        <v>71</v>
      </c>
      <c r="D92" s="2" t="s">
        <v>511</v>
      </c>
      <c r="E92" s="2" t="s">
        <v>512</v>
      </c>
      <c r="F92" s="2" t="s">
        <v>513</v>
      </c>
      <c r="G92" s="2" t="s">
        <v>514</v>
      </c>
      <c r="H92" t="s">
        <v>515</v>
      </c>
      <c r="I92" t="s">
        <v>53</v>
      </c>
      <c r="J92" s="3">
        <v>0.94117647058823528</v>
      </c>
      <c r="K92">
        <v>0.2</v>
      </c>
      <c r="L92">
        <v>0.249999999975</v>
      </c>
      <c r="M92">
        <v>0.78173163012489488</v>
      </c>
      <c r="N92">
        <v>0.10526315783933519</v>
      </c>
      <c r="O92">
        <v>0.91706901545143582</v>
      </c>
      <c r="P92">
        <v>9.8661437630653381E-2</v>
      </c>
      <c r="Q92">
        <v>6.4596690237522125E-2</v>
      </c>
      <c r="R92">
        <v>0.12910227477550509</v>
      </c>
      <c r="S92">
        <v>0</v>
      </c>
      <c r="T92">
        <v>0</v>
      </c>
      <c r="U92">
        <v>17.620423078536991</v>
      </c>
      <c r="V92">
        <v>3542</v>
      </c>
      <c r="W92">
        <v>421</v>
      </c>
      <c r="X92">
        <v>3963</v>
      </c>
      <c r="Y92">
        <v>0</v>
      </c>
      <c r="Z92">
        <v>5</v>
      </c>
      <c r="AA92">
        <v>17.620423078536991</v>
      </c>
    </row>
    <row r="93" spans="1:27" ht="409.5" x14ac:dyDescent="0.25">
      <c r="A93">
        <v>92</v>
      </c>
      <c r="B93" t="s">
        <v>478</v>
      </c>
      <c r="C93" t="s">
        <v>71</v>
      </c>
      <c r="D93" s="2" t="s">
        <v>516</v>
      </c>
      <c r="E93" s="2" t="s">
        <v>517</v>
      </c>
      <c r="F93" s="2" t="s">
        <v>518</v>
      </c>
      <c r="G93" s="2" t="s">
        <v>519</v>
      </c>
      <c r="H93" t="s">
        <v>520</v>
      </c>
      <c r="I93" t="s">
        <v>65</v>
      </c>
      <c r="J93" s="5">
        <v>0.38461538461538458</v>
      </c>
      <c r="K93">
        <v>0.5</v>
      </c>
      <c r="L93">
        <v>0.83333333329166659</v>
      </c>
      <c r="M93">
        <v>0.81717467309112368</v>
      </c>
      <c r="N93">
        <v>0</v>
      </c>
      <c r="O93">
        <v>0.88738904918713024</v>
      </c>
      <c r="P93">
        <v>0.24832610785961151</v>
      </c>
      <c r="Q93">
        <v>0.29203906655311579</v>
      </c>
      <c r="R93">
        <v>0.20203100144863129</v>
      </c>
      <c r="S93">
        <v>1</v>
      </c>
      <c r="T93">
        <v>1</v>
      </c>
      <c r="U93">
        <v>15.720242500305179</v>
      </c>
      <c r="V93">
        <v>3272</v>
      </c>
      <c r="W93">
        <v>365</v>
      </c>
      <c r="X93">
        <v>3637</v>
      </c>
      <c r="Y93">
        <v>0</v>
      </c>
      <c r="Z93">
        <v>5</v>
      </c>
      <c r="AA93">
        <v>15.720242500305179</v>
      </c>
    </row>
    <row r="94" spans="1:27" ht="409.5" x14ac:dyDescent="0.25">
      <c r="A94">
        <v>93</v>
      </c>
      <c r="B94" t="s">
        <v>478</v>
      </c>
      <c r="C94" t="s">
        <v>28</v>
      </c>
      <c r="D94" s="2" t="s">
        <v>521</v>
      </c>
      <c r="E94" s="2" t="s">
        <v>522</v>
      </c>
      <c r="F94" s="2" t="s">
        <v>523</v>
      </c>
      <c r="G94" s="2" t="s">
        <v>524</v>
      </c>
      <c r="H94" t="s">
        <v>525</v>
      </c>
      <c r="I94" t="s">
        <v>65</v>
      </c>
      <c r="J94" s="3">
        <v>1</v>
      </c>
      <c r="K94">
        <v>1</v>
      </c>
      <c r="L94">
        <v>0.99999999996666666</v>
      </c>
      <c r="M94">
        <v>0.83858449491120379</v>
      </c>
      <c r="N94">
        <v>0.16666666638888891</v>
      </c>
      <c r="O94">
        <v>0.81918983876618046</v>
      </c>
      <c r="P94">
        <v>0.34731978178024292</v>
      </c>
      <c r="Q94">
        <v>0.19322265684604639</v>
      </c>
      <c r="R94">
        <v>0.50732111930847168</v>
      </c>
      <c r="S94">
        <v>1</v>
      </c>
      <c r="T94">
        <v>1</v>
      </c>
      <c r="U94">
        <v>10.406371355056759</v>
      </c>
      <c r="V94">
        <v>3043</v>
      </c>
      <c r="W94">
        <v>176</v>
      </c>
      <c r="X94">
        <v>3219</v>
      </c>
      <c r="Y94">
        <v>0</v>
      </c>
      <c r="Z94">
        <v>5</v>
      </c>
      <c r="AA94">
        <v>10.406371355056759</v>
      </c>
    </row>
    <row r="95" spans="1:27" ht="409.5" x14ac:dyDescent="0.25">
      <c r="A95">
        <v>94</v>
      </c>
      <c r="B95" t="s">
        <v>478</v>
      </c>
      <c r="C95" t="s">
        <v>35</v>
      </c>
      <c r="D95" s="2" t="s">
        <v>526</v>
      </c>
      <c r="E95" s="2" t="s">
        <v>527</v>
      </c>
      <c r="F95" s="2" t="s">
        <v>528</v>
      </c>
      <c r="G95" s="2" t="s">
        <v>529</v>
      </c>
      <c r="H95" t="s">
        <v>530</v>
      </c>
      <c r="I95" t="s">
        <v>65</v>
      </c>
      <c r="J95" s="3">
        <v>1</v>
      </c>
      <c r="K95">
        <v>1</v>
      </c>
      <c r="L95">
        <v>0.6791666666496875</v>
      </c>
      <c r="M95">
        <v>0.7730116125054709</v>
      </c>
      <c r="N95">
        <v>0.33333333222222222</v>
      </c>
      <c r="O95">
        <v>0.89380697029367484</v>
      </c>
      <c r="P95">
        <v>0.33099430799484247</v>
      </c>
      <c r="Q95">
        <v>0.22594563663005829</v>
      </c>
      <c r="R95">
        <v>0.4370499849319458</v>
      </c>
      <c r="S95">
        <v>0.5</v>
      </c>
      <c r="T95">
        <v>1</v>
      </c>
      <c r="U95">
        <v>11.85501265525818</v>
      </c>
      <c r="V95">
        <v>2845</v>
      </c>
      <c r="W95">
        <v>212</v>
      </c>
      <c r="X95">
        <v>3057</v>
      </c>
      <c r="Y95">
        <v>0</v>
      </c>
      <c r="Z95">
        <v>5</v>
      </c>
      <c r="AA95">
        <v>11.85501265525818</v>
      </c>
    </row>
    <row r="96" spans="1:27" ht="409.5" x14ac:dyDescent="0.25">
      <c r="A96">
        <v>95</v>
      </c>
      <c r="B96" t="s">
        <v>478</v>
      </c>
      <c r="C96" t="s">
        <v>35</v>
      </c>
      <c r="D96" s="2" t="s">
        <v>531</v>
      </c>
      <c r="E96" s="2" t="s">
        <v>532</v>
      </c>
      <c r="F96" s="2" t="s">
        <v>533</v>
      </c>
      <c r="G96" s="2" t="s">
        <v>534</v>
      </c>
      <c r="H96" t="s">
        <v>535</v>
      </c>
      <c r="I96" t="s">
        <v>536</v>
      </c>
      <c r="J96" s="3">
        <v>0.88235294117647056</v>
      </c>
      <c r="K96">
        <v>0.5</v>
      </c>
      <c r="L96">
        <v>0.53333333331555555</v>
      </c>
      <c r="M96">
        <v>0.79110324436480894</v>
      </c>
      <c r="N96">
        <v>0.49999999916666671</v>
      </c>
      <c r="O96">
        <v>0.94246974633553915</v>
      </c>
      <c r="P96">
        <v>0.14265237748622889</v>
      </c>
      <c r="Q96">
        <v>-2.549652568995953E-2</v>
      </c>
      <c r="R96">
        <v>0.31792029738426208</v>
      </c>
      <c r="S96">
        <v>0.25</v>
      </c>
      <c r="T96">
        <v>1</v>
      </c>
      <c r="U96">
        <v>22.658603429794312</v>
      </c>
      <c r="V96">
        <v>3800</v>
      </c>
      <c r="W96">
        <v>575</v>
      </c>
      <c r="X96">
        <v>4375</v>
      </c>
      <c r="Y96">
        <v>0</v>
      </c>
      <c r="Z96">
        <v>5</v>
      </c>
      <c r="AA96">
        <v>22.658603429794312</v>
      </c>
    </row>
    <row r="97" spans="1:27" ht="409.5" x14ac:dyDescent="0.25">
      <c r="A97">
        <v>96</v>
      </c>
      <c r="B97" t="s">
        <v>478</v>
      </c>
      <c r="C97" t="s">
        <v>28</v>
      </c>
      <c r="D97" s="2" t="s">
        <v>537</v>
      </c>
      <c r="E97" s="2" t="s">
        <v>538</v>
      </c>
      <c r="F97" s="2" t="s">
        <v>539</v>
      </c>
      <c r="G97" s="2" t="s">
        <v>540</v>
      </c>
      <c r="H97" t="s">
        <v>541</v>
      </c>
      <c r="I97" t="s">
        <v>542</v>
      </c>
      <c r="J97" s="4">
        <v>0.77272727272727271</v>
      </c>
      <c r="K97">
        <v>0.8</v>
      </c>
      <c r="L97">
        <v>0.33333333329999998</v>
      </c>
      <c r="M97">
        <v>0.81389569236589265</v>
      </c>
      <c r="N97">
        <v>9.9999999950000001E-2</v>
      </c>
      <c r="O97">
        <v>0.85483197119871135</v>
      </c>
      <c r="P97">
        <v>0.2109704315662384</v>
      </c>
      <c r="Q97">
        <v>9.8719999194145203E-2</v>
      </c>
      <c r="R97">
        <v>0.32436400651931763</v>
      </c>
      <c r="S97">
        <v>0</v>
      </c>
      <c r="T97">
        <v>0</v>
      </c>
      <c r="U97">
        <v>18.862758159637451</v>
      </c>
      <c r="V97">
        <v>3716</v>
      </c>
      <c r="W97">
        <v>454</v>
      </c>
      <c r="X97">
        <v>4170</v>
      </c>
      <c r="Y97">
        <v>0</v>
      </c>
      <c r="Z97">
        <v>5</v>
      </c>
      <c r="AA97">
        <v>18.862758159637451</v>
      </c>
    </row>
    <row r="98" spans="1:27" ht="409.5" x14ac:dyDescent="0.25">
      <c r="A98">
        <v>97</v>
      </c>
      <c r="B98" t="s">
        <v>478</v>
      </c>
      <c r="C98" t="s">
        <v>71</v>
      </c>
      <c r="D98" s="2" t="s">
        <v>543</v>
      </c>
      <c r="E98" s="2" t="s">
        <v>544</v>
      </c>
      <c r="F98" s="2" t="s">
        <v>545</v>
      </c>
      <c r="G98" s="2" t="s">
        <v>546</v>
      </c>
      <c r="H98" t="s">
        <v>547</v>
      </c>
      <c r="I98" t="s">
        <v>65</v>
      </c>
      <c r="J98" s="3">
        <v>0.875</v>
      </c>
      <c r="K98">
        <v>0.75</v>
      </c>
      <c r="L98">
        <v>0.6791666666496875</v>
      </c>
      <c r="M98">
        <v>0.87562564342699867</v>
      </c>
      <c r="N98">
        <v>0.16666666638888891</v>
      </c>
      <c r="O98">
        <v>0.99184627536227732</v>
      </c>
      <c r="P98">
        <v>0.29349654912948608</v>
      </c>
      <c r="Q98">
        <v>0.2096399515867233</v>
      </c>
      <c r="R98">
        <v>0.37671878933906561</v>
      </c>
      <c r="S98">
        <v>0</v>
      </c>
      <c r="T98">
        <v>0</v>
      </c>
      <c r="U98">
        <v>14.870813131332399</v>
      </c>
      <c r="V98">
        <v>3595</v>
      </c>
      <c r="W98">
        <v>308</v>
      </c>
      <c r="X98">
        <v>3903</v>
      </c>
      <c r="Y98">
        <v>0</v>
      </c>
      <c r="Z98">
        <v>5</v>
      </c>
      <c r="AA98">
        <v>14.870813131332399</v>
      </c>
    </row>
    <row r="99" spans="1:27" ht="409.5" x14ac:dyDescent="0.25">
      <c r="A99">
        <v>98</v>
      </c>
      <c r="B99" t="s">
        <v>478</v>
      </c>
      <c r="C99" t="s">
        <v>71</v>
      </c>
      <c r="D99" s="2" t="s">
        <v>548</v>
      </c>
      <c r="E99" s="2" t="s">
        <v>549</v>
      </c>
      <c r="F99" s="2" t="s">
        <v>550</v>
      </c>
      <c r="G99" s="2" t="s">
        <v>551</v>
      </c>
      <c r="H99" t="s">
        <v>552</v>
      </c>
      <c r="I99" t="s">
        <v>65</v>
      </c>
      <c r="J99" s="4">
        <v>0.76923076923076927</v>
      </c>
      <c r="K99">
        <v>1</v>
      </c>
      <c r="L99">
        <v>0.69999999997666673</v>
      </c>
      <c r="M99">
        <v>0.81248056945521108</v>
      </c>
      <c r="N99">
        <v>0</v>
      </c>
      <c r="O99">
        <v>0</v>
      </c>
      <c r="P99">
        <v>0.1075524911284447</v>
      </c>
      <c r="Q99">
        <v>-2.19660047441721E-2</v>
      </c>
      <c r="R99">
        <v>0.23947359621524811</v>
      </c>
      <c r="S99">
        <v>0.25</v>
      </c>
      <c r="T99">
        <v>1</v>
      </c>
      <c r="U99">
        <v>16.886256694793701</v>
      </c>
      <c r="V99">
        <v>2760</v>
      </c>
      <c r="W99">
        <v>400</v>
      </c>
      <c r="X99">
        <v>3160</v>
      </c>
      <c r="Y99">
        <v>0</v>
      </c>
      <c r="Z99">
        <v>5</v>
      </c>
      <c r="AA99">
        <v>16.886256694793701</v>
      </c>
    </row>
    <row r="100" spans="1:27" ht="409.5" x14ac:dyDescent="0.25">
      <c r="A100">
        <v>99</v>
      </c>
      <c r="B100" t="s">
        <v>478</v>
      </c>
      <c r="C100" t="s">
        <v>28</v>
      </c>
      <c r="D100" s="2" t="s">
        <v>553</v>
      </c>
      <c r="E100" s="2" t="s">
        <v>554</v>
      </c>
      <c r="F100" s="2" t="s">
        <v>555</v>
      </c>
      <c r="G100" s="2" t="s">
        <v>556</v>
      </c>
      <c r="H100" t="s">
        <v>557</v>
      </c>
      <c r="I100" t="s">
        <v>65</v>
      </c>
      <c r="J100" s="3">
        <v>1</v>
      </c>
      <c r="K100">
        <v>1</v>
      </c>
      <c r="L100">
        <v>0.99999999996666666</v>
      </c>
      <c r="M100">
        <v>0.85932582077505826</v>
      </c>
      <c r="N100">
        <v>0.45454545413223141</v>
      </c>
      <c r="O100">
        <v>0.92020134995074054</v>
      </c>
      <c r="P100">
        <v>0.52370685338973999</v>
      </c>
      <c r="Q100">
        <v>0.57711762189865112</v>
      </c>
      <c r="R100">
        <v>0.4692104160785675</v>
      </c>
      <c r="S100">
        <v>1</v>
      </c>
      <c r="T100">
        <v>1</v>
      </c>
      <c r="U100">
        <v>11.448749303817751</v>
      </c>
      <c r="V100">
        <v>3610</v>
      </c>
      <c r="W100">
        <v>180</v>
      </c>
      <c r="X100">
        <v>3790</v>
      </c>
      <c r="Y100">
        <v>0</v>
      </c>
      <c r="Z100">
        <v>5</v>
      </c>
      <c r="AA100">
        <v>11.448749303817751</v>
      </c>
    </row>
    <row r="101" spans="1:27" ht="409.5" x14ac:dyDescent="0.25">
      <c r="A101">
        <v>100</v>
      </c>
      <c r="B101" t="s">
        <v>478</v>
      </c>
      <c r="C101" t="s">
        <v>28</v>
      </c>
      <c r="D101" s="2" t="s">
        <v>558</v>
      </c>
      <c r="E101" s="2" t="s">
        <v>559</v>
      </c>
      <c r="F101" s="2" t="s">
        <v>560</v>
      </c>
      <c r="G101" s="2" t="s">
        <v>561</v>
      </c>
      <c r="H101" t="s">
        <v>562</v>
      </c>
      <c r="I101" t="s">
        <v>65</v>
      </c>
      <c r="J101" s="3">
        <v>1</v>
      </c>
      <c r="K101">
        <v>0</v>
      </c>
      <c r="L101">
        <v>0.99999999989999999</v>
      </c>
      <c r="M101">
        <v>0.79501922416013082</v>
      </c>
      <c r="N101">
        <v>0.1176470587543253</v>
      </c>
      <c r="O101">
        <v>0.85735035779657154</v>
      </c>
      <c r="P101">
        <v>0.22690077126026151</v>
      </c>
      <c r="Q101">
        <v>0.16908456385135651</v>
      </c>
      <c r="R101">
        <v>0.28244379162788391</v>
      </c>
      <c r="S101">
        <v>1</v>
      </c>
      <c r="T101">
        <v>1</v>
      </c>
      <c r="U101">
        <v>15.252943754196171</v>
      </c>
      <c r="V101">
        <v>3670</v>
      </c>
      <c r="W101">
        <v>333</v>
      </c>
      <c r="X101">
        <v>4003</v>
      </c>
      <c r="Y101">
        <v>0</v>
      </c>
      <c r="Z101">
        <v>5</v>
      </c>
      <c r="AA101">
        <v>15.252943754196171</v>
      </c>
    </row>
    <row r="102" spans="1:27" ht="409.5" x14ac:dyDescent="0.25">
      <c r="A102">
        <v>101</v>
      </c>
      <c r="B102" t="s">
        <v>478</v>
      </c>
      <c r="C102" t="s">
        <v>28</v>
      </c>
      <c r="D102" s="2" t="s">
        <v>563</v>
      </c>
      <c r="E102" s="2" t="s">
        <v>564</v>
      </c>
      <c r="F102" s="2" t="s">
        <v>565</v>
      </c>
      <c r="G102" s="2" t="s">
        <v>566</v>
      </c>
      <c r="H102" t="s">
        <v>567</v>
      </c>
      <c r="I102" t="s">
        <v>65</v>
      </c>
      <c r="J102" s="3">
        <v>0.94736842105263153</v>
      </c>
      <c r="K102">
        <v>0</v>
      </c>
      <c r="L102">
        <v>0.99999999989999999</v>
      </c>
      <c r="M102">
        <v>0.75927147260408634</v>
      </c>
      <c r="N102">
        <v>0.24999999979166659</v>
      </c>
      <c r="O102">
        <v>0.93925477634427845</v>
      </c>
      <c r="P102">
        <v>0.19930340349674219</v>
      </c>
      <c r="Q102">
        <v>6.5814197063446045E-2</v>
      </c>
      <c r="R102">
        <v>0.33591824769973749</v>
      </c>
      <c r="S102">
        <v>0.5</v>
      </c>
      <c r="T102">
        <v>1</v>
      </c>
      <c r="U102">
        <v>15.36240911483765</v>
      </c>
      <c r="V102">
        <v>3042</v>
      </c>
      <c r="W102">
        <v>335</v>
      </c>
      <c r="X102">
        <v>3377</v>
      </c>
      <c r="Y102">
        <v>0</v>
      </c>
      <c r="Z102">
        <v>5</v>
      </c>
      <c r="AA102">
        <v>15.36240911483765</v>
      </c>
    </row>
    <row r="103" spans="1:27" ht="409.5" x14ac:dyDescent="0.25">
      <c r="A103">
        <v>102</v>
      </c>
      <c r="B103" t="s">
        <v>478</v>
      </c>
      <c r="C103" t="s">
        <v>71</v>
      </c>
      <c r="D103" s="2" t="s">
        <v>568</v>
      </c>
      <c r="E103" s="2" t="s">
        <v>569</v>
      </c>
      <c r="F103" s="2" t="s">
        <v>570</v>
      </c>
      <c r="G103" s="2" t="s">
        <v>571</v>
      </c>
      <c r="H103" t="s">
        <v>572</v>
      </c>
      <c r="I103" t="s">
        <v>65</v>
      </c>
      <c r="J103" s="5">
        <v>0.79166666666666663</v>
      </c>
      <c r="K103">
        <v>0.75</v>
      </c>
      <c r="L103">
        <v>0.88749999997781248</v>
      </c>
      <c r="M103">
        <v>0.85877611508335738</v>
      </c>
      <c r="N103">
        <v>0</v>
      </c>
      <c r="O103">
        <v>0.84545055438305106</v>
      </c>
      <c r="P103">
        <v>0.30709564685821528</v>
      </c>
      <c r="Q103">
        <v>0.34932142496109009</v>
      </c>
      <c r="R103">
        <v>0.26248863339424128</v>
      </c>
      <c r="S103">
        <v>1</v>
      </c>
      <c r="T103">
        <v>1</v>
      </c>
      <c r="U103">
        <v>14.2597222328186</v>
      </c>
      <c r="V103">
        <v>2944</v>
      </c>
      <c r="W103">
        <v>310</v>
      </c>
      <c r="X103">
        <v>3254</v>
      </c>
      <c r="Y103">
        <v>0</v>
      </c>
      <c r="Z103">
        <v>5</v>
      </c>
      <c r="AA103">
        <v>14.2597222328186</v>
      </c>
    </row>
    <row r="104" spans="1:27" ht="409.5" x14ac:dyDescent="0.25">
      <c r="A104">
        <v>103</v>
      </c>
      <c r="B104" t="s">
        <v>478</v>
      </c>
      <c r="C104" t="s">
        <v>28</v>
      </c>
      <c r="D104" s="2" t="s">
        <v>573</v>
      </c>
      <c r="E104" s="2" t="s">
        <v>574</v>
      </c>
      <c r="F104" s="2" t="s">
        <v>575</v>
      </c>
      <c r="G104" s="2" t="s">
        <v>576</v>
      </c>
      <c r="H104" t="s">
        <v>577</v>
      </c>
      <c r="I104" t="s">
        <v>309</v>
      </c>
      <c r="J104" s="5">
        <v>0.33333333333333331</v>
      </c>
      <c r="K104">
        <v>0</v>
      </c>
      <c r="L104">
        <v>0</v>
      </c>
      <c r="M104">
        <v>0.87776217315518712</v>
      </c>
      <c r="N104">
        <v>0</v>
      </c>
      <c r="O104">
        <v>0.86401748911463128</v>
      </c>
      <c r="P104">
        <v>0.31344491243362432</v>
      </c>
      <c r="Q104">
        <v>0.22480043768882749</v>
      </c>
      <c r="R104">
        <v>0.40184265375137329</v>
      </c>
      <c r="S104">
        <v>0</v>
      </c>
      <c r="T104">
        <v>0</v>
      </c>
      <c r="U104">
        <v>9.3679525852203369</v>
      </c>
      <c r="V104">
        <v>3366</v>
      </c>
      <c r="W104">
        <v>142</v>
      </c>
      <c r="X104">
        <v>3508</v>
      </c>
      <c r="Y104">
        <v>0</v>
      </c>
      <c r="Z104">
        <v>5</v>
      </c>
      <c r="AA104">
        <v>9.3679525852203369</v>
      </c>
    </row>
    <row r="105" spans="1:27" ht="409.5" x14ac:dyDescent="0.25">
      <c r="A105">
        <v>104</v>
      </c>
      <c r="B105" t="s">
        <v>478</v>
      </c>
      <c r="C105" t="s">
        <v>28</v>
      </c>
      <c r="D105" s="2" t="s">
        <v>578</v>
      </c>
      <c r="E105" s="2" t="s">
        <v>579</v>
      </c>
      <c r="F105" s="2" t="s">
        <v>580</v>
      </c>
      <c r="G105" s="2" t="s">
        <v>581</v>
      </c>
      <c r="H105" t="s">
        <v>582</v>
      </c>
      <c r="I105" t="s">
        <v>245</v>
      </c>
      <c r="J105" s="4">
        <v>0.7142857142857143</v>
      </c>
      <c r="K105">
        <v>1</v>
      </c>
      <c r="L105">
        <v>0.99999999995</v>
      </c>
      <c r="M105">
        <v>0.94965929722024223</v>
      </c>
      <c r="N105">
        <v>0</v>
      </c>
      <c r="O105">
        <v>0.94443204042370565</v>
      </c>
      <c r="P105">
        <v>0.42252394556999212</v>
      </c>
      <c r="Q105">
        <v>0.31751522421836847</v>
      </c>
      <c r="R105">
        <v>0.52889204025268555</v>
      </c>
      <c r="S105">
        <v>1</v>
      </c>
      <c r="T105">
        <v>1</v>
      </c>
      <c r="U105">
        <v>10.74191093444824</v>
      </c>
      <c r="V105">
        <v>3358</v>
      </c>
      <c r="W105">
        <v>162</v>
      </c>
      <c r="X105">
        <v>3520</v>
      </c>
      <c r="Y105">
        <v>0</v>
      </c>
      <c r="Z105">
        <v>5</v>
      </c>
      <c r="AA105">
        <v>10.74191093444824</v>
      </c>
    </row>
    <row r="106" spans="1:27" ht="409.5" x14ac:dyDescent="0.25">
      <c r="A106">
        <v>105</v>
      </c>
      <c r="B106" t="s">
        <v>478</v>
      </c>
      <c r="C106" t="s">
        <v>35</v>
      </c>
      <c r="D106" s="2" t="s">
        <v>583</v>
      </c>
      <c r="E106" s="2" t="s">
        <v>584</v>
      </c>
      <c r="F106" s="2" t="s">
        <v>585</v>
      </c>
      <c r="G106" s="2" t="s">
        <v>586</v>
      </c>
      <c r="H106" t="s">
        <v>587</v>
      </c>
      <c r="I106" t="s">
        <v>133</v>
      </c>
      <c r="J106" s="3">
        <v>0.95</v>
      </c>
      <c r="K106">
        <v>0</v>
      </c>
      <c r="L106">
        <v>0</v>
      </c>
      <c r="M106">
        <v>0.501969889943499</v>
      </c>
      <c r="N106">
        <v>0</v>
      </c>
      <c r="O106">
        <v>0.80366098862257263</v>
      </c>
      <c r="P106">
        <v>1.1095411144196991E-2</v>
      </c>
      <c r="Q106">
        <v>-0.1008294150233269</v>
      </c>
      <c r="R106">
        <v>0.12339189648628229</v>
      </c>
      <c r="S106">
        <v>0</v>
      </c>
      <c r="T106">
        <v>0</v>
      </c>
      <c r="U106">
        <v>16.599784851074219</v>
      </c>
      <c r="V106">
        <v>3091</v>
      </c>
      <c r="W106">
        <v>411</v>
      </c>
      <c r="X106">
        <v>3502</v>
      </c>
      <c r="Y106">
        <v>0</v>
      </c>
      <c r="Z106">
        <v>5</v>
      </c>
      <c r="AA106">
        <v>16.599784851074219</v>
      </c>
    </row>
    <row r="107" spans="1:27" ht="409.5" x14ac:dyDescent="0.25">
      <c r="A107">
        <v>106</v>
      </c>
      <c r="B107" t="s">
        <v>478</v>
      </c>
      <c r="C107" t="s">
        <v>71</v>
      </c>
      <c r="D107" s="2" t="s">
        <v>588</v>
      </c>
      <c r="E107" s="2" t="s">
        <v>589</v>
      </c>
      <c r="F107" s="2" t="s">
        <v>590</v>
      </c>
      <c r="G107" s="2" t="s">
        <v>591</v>
      </c>
      <c r="H107" t="s">
        <v>592</v>
      </c>
      <c r="I107" t="s">
        <v>309</v>
      </c>
      <c r="J107" s="3">
        <v>1</v>
      </c>
      <c r="K107">
        <v>1</v>
      </c>
      <c r="L107">
        <v>0.41666666664583329</v>
      </c>
      <c r="M107">
        <v>0.77840220372685198</v>
      </c>
      <c r="N107">
        <v>8.3333333263888879E-2</v>
      </c>
      <c r="O107">
        <v>0.78464599942572488</v>
      </c>
      <c r="P107">
        <v>0.17573513090610501</v>
      </c>
      <c r="Q107">
        <v>0.1627641171216965</v>
      </c>
      <c r="R107">
        <v>0.1850882172584534</v>
      </c>
      <c r="S107">
        <v>0</v>
      </c>
      <c r="T107">
        <v>0</v>
      </c>
      <c r="U107">
        <v>12.549629688262939</v>
      </c>
      <c r="V107">
        <v>3135</v>
      </c>
      <c r="W107">
        <v>250</v>
      </c>
      <c r="X107">
        <v>3385</v>
      </c>
      <c r="Y107">
        <v>0</v>
      </c>
      <c r="Z107">
        <v>5</v>
      </c>
      <c r="AA107">
        <v>12.549629688262939</v>
      </c>
    </row>
    <row r="108" spans="1:27" ht="409.5" x14ac:dyDescent="0.25">
      <c r="A108">
        <v>107</v>
      </c>
      <c r="B108" t="s">
        <v>478</v>
      </c>
      <c r="C108" t="s">
        <v>28</v>
      </c>
      <c r="D108" s="2" t="s">
        <v>593</v>
      </c>
      <c r="E108" s="2" t="s">
        <v>594</v>
      </c>
      <c r="F108" s="2" t="s">
        <v>595</v>
      </c>
      <c r="G108" s="2" t="s">
        <v>596</v>
      </c>
      <c r="H108" t="s">
        <v>597</v>
      </c>
      <c r="I108" t="s">
        <v>41</v>
      </c>
      <c r="J108" s="4">
        <v>0.66666666666666663</v>
      </c>
      <c r="K108">
        <v>1</v>
      </c>
      <c r="L108">
        <v>0.91666666663611107</v>
      </c>
      <c r="M108">
        <v>0.86860392508888462</v>
      </c>
      <c r="N108">
        <v>0.66666666444444445</v>
      </c>
      <c r="O108">
        <v>0.71625644910809572</v>
      </c>
      <c r="P108">
        <v>0.2840212881565094</v>
      </c>
      <c r="Q108">
        <v>0.17168647050857541</v>
      </c>
      <c r="R108">
        <v>0.3977806568145752</v>
      </c>
      <c r="S108">
        <v>0.5</v>
      </c>
      <c r="T108">
        <v>1</v>
      </c>
      <c r="U108">
        <v>13.450165033340451</v>
      </c>
      <c r="V108">
        <v>3545</v>
      </c>
      <c r="W108">
        <v>258</v>
      </c>
      <c r="X108">
        <v>3803</v>
      </c>
      <c r="Y108">
        <v>0</v>
      </c>
      <c r="Z108">
        <v>5</v>
      </c>
      <c r="AA108">
        <v>13.450165033340451</v>
      </c>
    </row>
    <row r="109" spans="1:27" ht="409.5" x14ac:dyDescent="0.25">
      <c r="A109">
        <v>108</v>
      </c>
      <c r="B109" t="s">
        <v>478</v>
      </c>
      <c r="C109" t="s">
        <v>35</v>
      </c>
      <c r="D109" s="2" t="s">
        <v>598</v>
      </c>
      <c r="E109" s="2" t="s">
        <v>599</v>
      </c>
      <c r="F109" s="2" t="s">
        <v>600</v>
      </c>
      <c r="G109" s="2" t="s">
        <v>601</v>
      </c>
      <c r="H109" t="s">
        <v>602</v>
      </c>
      <c r="I109" t="s">
        <v>603</v>
      </c>
      <c r="J109" s="4">
        <v>0.7</v>
      </c>
      <c r="K109">
        <v>1</v>
      </c>
      <c r="L109">
        <v>0.99999999998</v>
      </c>
      <c r="M109">
        <v>0.70794712569121898</v>
      </c>
      <c r="N109">
        <v>0.42857142795918368</v>
      </c>
      <c r="O109">
        <v>0.75922705595399687</v>
      </c>
      <c r="P109">
        <v>0.27186959981918329</v>
      </c>
      <c r="Q109">
        <v>0.1918030381202698</v>
      </c>
      <c r="R109">
        <v>0.35098204016685491</v>
      </c>
      <c r="S109">
        <v>0</v>
      </c>
      <c r="T109">
        <v>0</v>
      </c>
      <c r="U109">
        <v>15.430825233459471</v>
      </c>
      <c r="V109">
        <v>3580</v>
      </c>
      <c r="W109">
        <v>316</v>
      </c>
      <c r="X109">
        <v>3896</v>
      </c>
      <c r="Y109">
        <v>0</v>
      </c>
      <c r="Z109">
        <v>5</v>
      </c>
      <c r="AA109">
        <v>15.430825233459471</v>
      </c>
    </row>
    <row r="110" spans="1:27" ht="409.5" x14ac:dyDescent="0.25">
      <c r="A110">
        <v>109</v>
      </c>
      <c r="B110" t="s">
        <v>478</v>
      </c>
      <c r="C110" t="s">
        <v>28</v>
      </c>
      <c r="D110" s="2" t="s">
        <v>604</v>
      </c>
      <c r="E110" s="2" t="s">
        <v>605</v>
      </c>
      <c r="F110" s="2" t="s">
        <v>606</v>
      </c>
      <c r="G110" s="2" t="s">
        <v>607</v>
      </c>
      <c r="H110" t="s">
        <v>608</v>
      </c>
      <c r="I110" t="s">
        <v>65</v>
      </c>
      <c r="J110" s="4">
        <v>0.63636363636363635</v>
      </c>
      <c r="K110">
        <v>0.5</v>
      </c>
      <c r="L110">
        <v>0.99999999998</v>
      </c>
      <c r="M110">
        <v>0.96554097462680621</v>
      </c>
      <c r="N110">
        <v>0.1538461537278106</v>
      </c>
      <c r="O110">
        <v>0.93663346268747227</v>
      </c>
      <c r="P110">
        <v>0.60878437757492065</v>
      </c>
      <c r="Q110">
        <v>0.46547561883926392</v>
      </c>
      <c r="R110">
        <v>0.75762856006622314</v>
      </c>
      <c r="S110">
        <v>0</v>
      </c>
      <c r="T110">
        <v>0</v>
      </c>
      <c r="U110">
        <v>18.451588153839111</v>
      </c>
      <c r="V110">
        <v>3914</v>
      </c>
      <c r="W110">
        <v>255</v>
      </c>
      <c r="X110">
        <v>4169</v>
      </c>
      <c r="Y110">
        <v>0</v>
      </c>
      <c r="Z110">
        <v>5</v>
      </c>
      <c r="AA110">
        <v>18.451588153839111</v>
      </c>
    </row>
    <row r="111" spans="1:27" ht="409.5" x14ac:dyDescent="0.25">
      <c r="A111">
        <v>110</v>
      </c>
      <c r="B111" t="s">
        <v>478</v>
      </c>
      <c r="C111" t="s">
        <v>71</v>
      </c>
      <c r="D111" s="2" t="s">
        <v>609</v>
      </c>
      <c r="E111" s="2" t="s">
        <v>610</v>
      </c>
      <c r="F111" s="2" t="s">
        <v>611</v>
      </c>
      <c r="G111" s="2" t="s">
        <v>612</v>
      </c>
      <c r="H111" t="s">
        <v>613</v>
      </c>
      <c r="I111" t="s">
        <v>65</v>
      </c>
      <c r="J111" s="3">
        <v>1</v>
      </c>
      <c r="K111">
        <v>0.75</v>
      </c>
      <c r="L111">
        <v>0.99999999995</v>
      </c>
      <c r="M111">
        <v>0.8322863540174682</v>
      </c>
      <c r="N111">
        <v>0.10526315783933519</v>
      </c>
      <c r="O111">
        <v>0.91267134411081419</v>
      </c>
      <c r="P111">
        <v>0.18341411650180819</v>
      </c>
      <c r="Q111">
        <v>1.033753156661987E-2</v>
      </c>
      <c r="R111">
        <v>0.36439189314842219</v>
      </c>
      <c r="S111">
        <v>0</v>
      </c>
      <c r="T111">
        <v>0</v>
      </c>
      <c r="U111">
        <v>22.168801546096802</v>
      </c>
      <c r="V111">
        <v>3275</v>
      </c>
      <c r="W111">
        <v>603</v>
      </c>
      <c r="X111">
        <v>3878</v>
      </c>
      <c r="Y111">
        <v>0</v>
      </c>
      <c r="Z111">
        <v>5</v>
      </c>
      <c r="AA111">
        <v>22.168801546096802</v>
      </c>
    </row>
    <row r="112" spans="1:27" ht="409.5" x14ac:dyDescent="0.25">
      <c r="A112">
        <v>111</v>
      </c>
      <c r="B112" t="s">
        <v>478</v>
      </c>
      <c r="C112" t="s">
        <v>35</v>
      </c>
      <c r="D112" s="2" t="s">
        <v>614</v>
      </c>
      <c r="E112" s="2" t="s">
        <v>615</v>
      </c>
      <c r="F112" s="2" t="s">
        <v>616</v>
      </c>
      <c r="G112" s="2" t="s">
        <v>617</v>
      </c>
      <c r="H112" t="s">
        <v>618</v>
      </c>
      <c r="I112" t="s">
        <v>41</v>
      </c>
      <c r="J112" s="3">
        <v>1</v>
      </c>
      <c r="K112">
        <v>1</v>
      </c>
      <c r="L112">
        <v>0.63888888886759254</v>
      </c>
      <c r="M112">
        <v>0.99514122649523284</v>
      </c>
      <c r="N112">
        <v>0.33333333222222222</v>
      </c>
      <c r="O112">
        <v>0.95889840375011148</v>
      </c>
      <c r="P112">
        <v>0.88683748245239258</v>
      </c>
      <c r="Q112">
        <v>0.8778223991394043</v>
      </c>
      <c r="R112">
        <v>0.89537280797958374</v>
      </c>
      <c r="S112">
        <v>0.33333333333333331</v>
      </c>
      <c r="T112">
        <v>1</v>
      </c>
      <c r="U112">
        <v>8.5003926753997803</v>
      </c>
      <c r="V112">
        <v>3638</v>
      </c>
      <c r="W112">
        <v>81</v>
      </c>
      <c r="X112">
        <v>3719</v>
      </c>
      <c r="Y112">
        <v>0</v>
      </c>
      <c r="Z112">
        <v>5</v>
      </c>
      <c r="AA112">
        <v>8.5003926753997803</v>
      </c>
    </row>
    <row r="113" spans="1:27" ht="409.5" x14ac:dyDescent="0.25">
      <c r="A113">
        <v>112</v>
      </c>
      <c r="B113" t="s">
        <v>478</v>
      </c>
      <c r="C113" t="s">
        <v>71</v>
      </c>
      <c r="D113" s="2" t="s">
        <v>619</v>
      </c>
      <c r="E113" s="2" t="s">
        <v>620</v>
      </c>
      <c r="F113" s="2" t="s">
        <v>621</v>
      </c>
      <c r="G113" s="2" t="s">
        <v>622</v>
      </c>
      <c r="H113" t="s">
        <v>623</v>
      </c>
      <c r="I113" t="s">
        <v>624</v>
      </c>
      <c r="J113" s="3">
        <v>0.9</v>
      </c>
      <c r="K113">
        <v>0.66666666666666663</v>
      </c>
      <c r="L113">
        <v>0</v>
      </c>
      <c r="M113">
        <v>0.78090763273966446</v>
      </c>
      <c r="N113">
        <v>7.6923076863905315E-2</v>
      </c>
      <c r="O113">
        <v>0.85432805421093594</v>
      </c>
      <c r="P113">
        <v>0.23578369617462161</v>
      </c>
      <c r="Q113">
        <v>0.2054819464683533</v>
      </c>
      <c r="R113">
        <v>0.26298469305038452</v>
      </c>
      <c r="S113">
        <v>0</v>
      </c>
      <c r="T113">
        <v>0</v>
      </c>
      <c r="U113">
        <v>12.93045234680176</v>
      </c>
      <c r="V113">
        <v>3200</v>
      </c>
      <c r="W113">
        <v>251</v>
      </c>
      <c r="X113">
        <v>3451</v>
      </c>
      <c r="Y113">
        <v>0</v>
      </c>
      <c r="Z113">
        <v>5</v>
      </c>
      <c r="AA113">
        <v>12.93045234680176</v>
      </c>
    </row>
    <row r="114" spans="1:27" ht="409.5" x14ac:dyDescent="0.25">
      <c r="A114">
        <v>113</v>
      </c>
      <c r="B114" t="s">
        <v>478</v>
      </c>
      <c r="C114" t="s">
        <v>71</v>
      </c>
      <c r="D114" s="2" t="s">
        <v>625</v>
      </c>
      <c r="E114" s="2" t="s">
        <v>626</v>
      </c>
      <c r="F114" s="2" t="s">
        <v>627</v>
      </c>
      <c r="G114" s="2" t="s">
        <v>628</v>
      </c>
      <c r="H114" t="s">
        <v>629</v>
      </c>
      <c r="I114" t="s">
        <v>65</v>
      </c>
      <c r="J114" s="3">
        <v>1</v>
      </c>
      <c r="K114">
        <v>1</v>
      </c>
      <c r="L114">
        <v>0.99999999995</v>
      </c>
      <c r="M114">
        <v>0.79731063092975241</v>
      </c>
      <c r="N114">
        <v>0.39999999920000001</v>
      </c>
      <c r="O114">
        <v>0.97558496853441146</v>
      </c>
      <c r="P114">
        <v>0.17286738753318789</v>
      </c>
      <c r="Q114">
        <v>-0.1534824073314667</v>
      </c>
      <c r="R114">
        <v>0.53981226682662964</v>
      </c>
      <c r="S114">
        <v>1</v>
      </c>
      <c r="T114">
        <v>1</v>
      </c>
      <c r="U114">
        <v>67.209365367889404</v>
      </c>
      <c r="V114">
        <v>3713</v>
      </c>
      <c r="W114">
        <v>2084</v>
      </c>
      <c r="X114">
        <v>5797</v>
      </c>
      <c r="Y114">
        <v>0</v>
      </c>
      <c r="Z114">
        <v>5</v>
      </c>
      <c r="AA114">
        <v>67.209365367889404</v>
      </c>
    </row>
    <row r="115" spans="1:27" ht="409.5" x14ac:dyDescent="0.25">
      <c r="A115">
        <v>114</v>
      </c>
      <c r="B115" t="s">
        <v>478</v>
      </c>
      <c r="C115" t="s">
        <v>35</v>
      </c>
      <c r="D115" s="2" t="s">
        <v>630</v>
      </c>
      <c r="E115" s="2" t="s">
        <v>631</v>
      </c>
      <c r="F115" s="2" t="s">
        <v>632</v>
      </c>
      <c r="G115" s="2" t="s">
        <v>633</v>
      </c>
      <c r="H115" t="s">
        <v>634</v>
      </c>
      <c r="I115" t="s">
        <v>47</v>
      </c>
      <c r="J115" s="4">
        <v>0.7</v>
      </c>
      <c r="K115">
        <v>0</v>
      </c>
      <c r="L115">
        <v>0</v>
      </c>
      <c r="M115">
        <v>0.64511698948692198</v>
      </c>
      <c r="N115">
        <v>0.249999999375</v>
      </c>
      <c r="O115">
        <v>0.90205919560538206</v>
      </c>
      <c r="P115">
        <v>0.15163445472717291</v>
      </c>
      <c r="Q115">
        <v>-7.501877099275589E-2</v>
      </c>
      <c r="R115">
        <v>0.39496329426765442</v>
      </c>
      <c r="S115">
        <v>0</v>
      </c>
      <c r="T115">
        <v>0</v>
      </c>
      <c r="U115">
        <v>12.021947622299191</v>
      </c>
      <c r="V115">
        <v>3849</v>
      </c>
      <c r="W115">
        <v>225</v>
      </c>
      <c r="X115">
        <v>4074</v>
      </c>
      <c r="Y115">
        <v>0</v>
      </c>
      <c r="Z115">
        <v>5</v>
      </c>
      <c r="AA115">
        <v>12.021947622299191</v>
      </c>
    </row>
    <row r="116" spans="1:27" ht="409.5" x14ac:dyDescent="0.25">
      <c r="A116">
        <v>115</v>
      </c>
      <c r="B116" t="s">
        <v>478</v>
      </c>
      <c r="C116" t="s">
        <v>28</v>
      </c>
      <c r="D116" s="2" t="s">
        <v>635</v>
      </c>
      <c r="E116" s="2" t="s">
        <v>636</v>
      </c>
      <c r="F116" s="2" t="s">
        <v>637</v>
      </c>
      <c r="G116" s="2" t="s">
        <v>638</v>
      </c>
      <c r="H116" t="s">
        <v>639</v>
      </c>
      <c r="I116" t="s">
        <v>309</v>
      </c>
      <c r="J116" s="3">
        <v>0.9375</v>
      </c>
      <c r="K116">
        <v>1</v>
      </c>
      <c r="L116">
        <v>0.99999999989999999</v>
      </c>
      <c r="M116">
        <v>0.83902520997449925</v>
      </c>
      <c r="N116">
        <v>0.19999999979999999</v>
      </c>
      <c r="O116">
        <v>0.77480434621006378</v>
      </c>
      <c r="P116">
        <v>0.32409635186195368</v>
      </c>
      <c r="Q116">
        <v>8.9509859681129456E-2</v>
      </c>
      <c r="R116">
        <v>0.57699310779571533</v>
      </c>
      <c r="S116">
        <v>1</v>
      </c>
      <c r="T116">
        <v>1</v>
      </c>
      <c r="U116">
        <v>14.8262345790863</v>
      </c>
      <c r="V116">
        <v>3273</v>
      </c>
      <c r="W116">
        <v>330</v>
      </c>
      <c r="X116">
        <v>3603</v>
      </c>
      <c r="Y116">
        <v>0</v>
      </c>
      <c r="Z116">
        <v>5</v>
      </c>
      <c r="AA116">
        <v>14.8262345790863</v>
      </c>
    </row>
    <row r="117" spans="1:27" ht="409.5" x14ac:dyDescent="0.25">
      <c r="A117">
        <v>116</v>
      </c>
      <c r="B117" t="s">
        <v>478</v>
      </c>
      <c r="C117" t="s">
        <v>28</v>
      </c>
      <c r="D117" s="2" t="s">
        <v>640</v>
      </c>
      <c r="E117" s="2" t="s">
        <v>641</v>
      </c>
      <c r="F117" s="2" t="s">
        <v>642</v>
      </c>
      <c r="G117" s="2" t="s">
        <v>643</v>
      </c>
      <c r="H117" t="s">
        <v>644</v>
      </c>
      <c r="I117" t="s">
        <v>65</v>
      </c>
      <c r="J117" s="5">
        <v>0</v>
      </c>
      <c r="K117">
        <v>0</v>
      </c>
      <c r="L117">
        <v>0</v>
      </c>
      <c r="M117">
        <v>0.75409527398666809</v>
      </c>
      <c r="N117">
        <v>0</v>
      </c>
      <c r="O117">
        <v>0</v>
      </c>
      <c r="P117">
        <v>0.1141133978962898</v>
      </c>
      <c r="Q117">
        <v>0.1072822585701942</v>
      </c>
      <c r="R117">
        <v>0.11701638251543051</v>
      </c>
      <c r="S117">
        <v>0</v>
      </c>
      <c r="T117">
        <v>0</v>
      </c>
      <c r="U117">
        <v>13.7779598236084</v>
      </c>
      <c r="V117">
        <v>3522</v>
      </c>
      <c r="W117">
        <v>281</v>
      </c>
      <c r="X117">
        <v>3803</v>
      </c>
      <c r="Y117">
        <v>0</v>
      </c>
      <c r="Z117">
        <v>5</v>
      </c>
      <c r="AA117">
        <v>13.7779598236084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selection activeCell="B9" sqref="B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8" ht="18.75" x14ac:dyDescent="0.3">
      <c r="A1" s="10" t="s">
        <v>645</v>
      </c>
      <c r="B1" s="11"/>
      <c r="C1" s="11"/>
      <c r="D1" s="11"/>
    </row>
    <row r="3" spans="1:8" ht="15.75" x14ac:dyDescent="0.25">
      <c r="A3" s="6" t="s">
        <v>646</v>
      </c>
    </row>
    <row r="4" spans="1:8" x14ac:dyDescent="0.25">
      <c r="A4" t="s">
        <v>9</v>
      </c>
      <c r="B4" s="3">
        <v>0.82942260800240186</v>
      </c>
      <c r="C4">
        <f>AVERAGE('Detaillierte Ergebnisse'!J2:J117)</f>
        <v>0.82942260800240186</v>
      </c>
      <c r="D4">
        <f>AVERAGE('Detaillierte Ergebnisse'!K2:K117)</f>
        <v>0.68622742200328413</v>
      </c>
      <c r="E4">
        <f>AVERAGE('Detaillierte Ergebnisse'!L2:L117)</f>
        <v>0.63107040227139066</v>
      </c>
      <c r="F4">
        <f>AVERAGE('Detaillierte Ergebnisse'!M2:M117)</f>
        <v>0.78669301336032316</v>
      </c>
      <c r="G4">
        <f>AVERAGE('Detaillierte Ergebnisse'!N2:N117)</f>
        <v>0.27892677037481889</v>
      </c>
      <c r="H4">
        <f>AVERAGE('Detaillierte Ergebnisse'!O2:O117)</f>
        <v>0.73448797585820125</v>
      </c>
    </row>
    <row r="5" spans="1:8" x14ac:dyDescent="0.25">
      <c r="A5" t="s">
        <v>10</v>
      </c>
      <c r="B5" s="4">
        <v>0.68622742200328413</v>
      </c>
    </row>
    <row r="6" spans="1:8" x14ac:dyDescent="0.25">
      <c r="A6" t="s">
        <v>11</v>
      </c>
      <c r="B6" s="4">
        <v>0.63107040227139066</v>
      </c>
    </row>
    <row r="7" spans="1:8" x14ac:dyDescent="0.25">
      <c r="A7" t="s">
        <v>12</v>
      </c>
      <c r="B7" s="4">
        <v>0.78669301336032316</v>
      </c>
    </row>
    <row r="8" spans="1:8" x14ac:dyDescent="0.25">
      <c r="A8" t="s">
        <v>13</v>
      </c>
      <c r="B8" s="5">
        <v>0.27892677037481889</v>
      </c>
    </row>
    <row r="9" spans="1:8" x14ac:dyDescent="0.25">
      <c r="A9" t="s">
        <v>14</v>
      </c>
      <c r="B9" s="4">
        <v>0.73448797585820125</v>
      </c>
    </row>
    <row r="10" spans="1:8" x14ac:dyDescent="0.25">
      <c r="A10" t="s">
        <v>647</v>
      </c>
      <c r="B10" s="5">
        <v>0.27029168605804438</v>
      </c>
    </row>
    <row r="11" spans="1:8" x14ac:dyDescent="0.25">
      <c r="A11" t="s">
        <v>648</v>
      </c>
      <c r="B11" s="5">
        <v>0.18343672156333921</v>
      </c>
    </row>
    <row r="12" spans="1:8" x14ac:dyDescent="0.25">
      <c r="A12" t="s">
        <v>649</v>
      </c>
      <c r="B12" s="5">
        <v>0.36028611660003662</v>
      </c>
    </row>
    <row r="13" spans="1:8" x14ac:dyDescent="0.25">
      <c r="A13" t="s">
        <v>650</v>
      </c>
      <c r="B13" s="5">
        <v>0.38764367816091949</v>
      </c>
    </row>
    <row r="14" spans="1:8" x14ac:dyDescent="0.25">
      <c r="A14" t="s">
        <v>651</v>
      </c>
      <c r="B14" s="5">
        <v>0.53448275862068961</v>
      </c>
    </row>
    <row r="15" spans="1:8" x14ac:dyDescent="0.25">
      <c r="A15" t="s">
        <v>20</v>
      </c>
      <c r="B15" s="7">
        <v>14.790449845379801</v>
      </c>
    </row>
    <row r="16" spans="1:8" x14ac:dyDescent="0.25">
      <c r="A16" t="s">
        <v>652</v>
      </c>
      <c r="B16" s="8">
        <v>3265.3362068965521</v>
      </c>
    </row>
    <row r="17" spans="1:17" x14ac:dyDescent="0.25">
      <c r="A17" t="s">
        <v>653</v>
      </c>
      <c r="B17" s="8">
        <v>288.15517241379308</v>
      </c>
    </row>
    <row r="18" spans="1:17" x14ac:dyDescent="0.25">
      <c r="A18" t="s">
        <v>654</v>
      </c>
      <c r="B18" s="8">
        <v>3553.4913793103451</v>
      </c>
    </row>
    <row r="19" spans="1:17" x14ac:dyDescent="0.25">
      <c r="A19" t="s">
        <v>655</v>
      </c>
      <c r="B19" s="8">
        <v>0</v>
      </c>
    </row>
    <row r="22" spans="1:17" ht="15.75" x14ac:dyDescent="0.25">
      <c r="A22" s="6" t="s">
        <v>656</v>
      </c>
    </row>
    <row r="23" spans="1:17" x14ac:dyDescent="0.25">
      <c r="A23" s="9" t="s">
        <v>657</v>
      </c>
      <c r="B23" s="9" t="s">
        <v>658</v>
      </c>
      <c r="C23" s="9" t="s">
        <v>659</v>
      </c>
      <c r="D23" s="9" t="s">
        <v>660</v>
      </c>
      <c r="E23" s="9" t="s">
        <v>661</v>
      </c>
      <c r="F23" s="9" t="s">
        <v>662</v>
      </c>
      <c r="G23" s="9" t="s">
        <v>663</v>
      </c>
      <c r="H23" s="9" t="s">
        <v>647</v>
      </c>
      <c r="I23" s="9" t="s">
        <v>648</v>
      </c>
      <c r="J23" s="9" t="s">
        <v>649</v>
      </c>
      <c r="K23" s="9" t="s">
        <v>650</v>
      </c>
      <c r="L23" s="9" t="s">
        <v>651</v>
      </c>
      <c r="M23" s="9" t="s">
        <v>664</v>
      </c>
      <c r="N23" s="9" t="s">
        <v>665</v>
      </c>
      <c r="O23" s="9" t="s">
        <v>666</v>
      </c>
      <c r="P23" s="9" t="s">
        <v>667</v>
      </c>
      <c r="Q23" s="9" t="s">
        <v>668</v>
      </c>
    </row>
    <row r="24" spans="1:17" x14ac:dyDescent="0.25">
      <c r="A24" t="s">
        <v>27</v>
      </c>
      <c r="B24" s="7">
        <v>0.73954939431913125</v>
      </c>
      <c r="C24" s="7">
        <v>0.4861111111111111</v>
      </c>
      <c r="D24" s="7">
        <v>0.26168981480064329</v>
      </c>
      <c r="E24" s="7">
        <v>0.69789941388529397</v>
      </c>
      <c r="F24" s="7">
        <v>0.18842592494480459</v>
      </c>
      <c r="G24" s="7">
        <v>0.79197470825177063</v>
      </c>
      <c r="H24" s="7">
        <v>0.1581125408411026</v>
      </c>
      <c r="I24" s="7">
        <v>6.4327046275138855E-2</v>
      </c>
      <c r="J24" s="7">
        <v>0.25394865870475769</v>
      </c>
      <c r="K24" s="7">
        <v>0.12083333333333331</v>
      </c>
      <c r="L24" s="7">
        <v>0.25</v>
      </c>
      <c r="M24" s="7">
        <v>17.931032101313271</v>
      </c>
      <c r="N24" s="8">
        <v>3278.75</v>
      </c>
      <c r="O24" s="8">
        <v>313.5</v>
      </c>
      <c r="P24" s="8">
        <v>3592.25</v>
      </c>
      <c r="Q24" s="8">
        <v>0</v>
      </c>
    </row>
    <row r="25" spans="1:17" x14ac:dyDescent="0.25">
      <c r="A25" t="s">
        <v>117</v>
      </c>
      <c r="B25" s="7">
        <v>0.90652557319223981</v>
      </c>
      <c r="C25" s="7">
        <v>0.66666666666666663</v>
      </c>
      <c r="D25" s="7">
        <v>0.56342592590538965</v>
      </c>
      <c r="E25" s="7">
        <v>0.81924776175301295</v>
      </c>
      <c r="F25" s="7">
        <v>0.52954144527704639</v>
      </c>
      <c r="G25" s="7">
        <v>0.78638447540357759</v>
      </c>
      <c r="H25" s="7">
        <v>0.31885990500450129</v>
      </c>
      <c r="I25" s="7">
        <v>0.15052121877670291</v>
      </c>
      <c r="J25" s="7">
        <v>0.49680954217910772</v>
      </c>
      <c r="K25" s="7">
        <v>0.61111111111111116</v>
      </c>
      <c r="L25" s="7">
        <v>0.77777777777777779</v>
      </c>
      <c r="M25" s="7">
        <v>14.360409206814239</v>
      </c>
      <c r="N25" s="8">
        <v>3119.8888888888891</v>
      </c>
      <c r="O25" s="8">
        <v>236.11111111111109</v>
      </c>
      <c r="P25" s="8">
        <v>3356</v>
      </c>
      <c r="Q25" s="8">
        <v>0</v>
      </c>
    </row>
    <row r="26" spans="1:17" x14ac:dyDescent="0.25">
      <c r="A26" t="s">
        <v>326</v>
      </c>
      <c r="B26" s="7">
        <v>0.81634439634439637</v>
      </c>
      <c r="C26" s="7">
        <v>0.63571428571428568</v>
      </c>
      <c r="D26" s="7">
        <v>0.4986111110874305</v>
      </c>
      <c r="E26" s="7">
        <v>0.81427323737792323</v>
      </c>
      <c r="F26" s="7">
        <v>0.34672649538373868</v>
      </c>
      <c r="G26" s="7">
        <v>0.45407226045252552</v>
      </c>
      <c r="H26" s="7">
        <v>0.27765017747879028</v>
      </c>
      <c r="I26" s="7">
        <v>0.27363872528076172</v>
      </c>
      <c r="J26" s="7">
        <v>0.27976745367050171</v>
      </c>
      <c r="K26" s="7">
        <v>0.35777777777777781</v>
      </c>
      <c r="L26" s="7">
        <v>0.53333333333333333</v>
      </c>
      <c r="M26" s="7">
        <v>12.949391253789271</v>
      </c>
      <c r="N26" s="8">
        <v>3360.6</v>
      </c>
      <c r="O26" s="8">
        <v>250.2</v>
      </c>
      <c r="P26" s="8">
        <v>3610.8</v>
      </c>
      <c r="Q26" s="8">
        <v>0</v>
      </c>
    </row>
    <row r="27" spans="1:17" x14ac:dyDescent="0.25">
      <c r="A27" t="s">
        <v>282</v>
      </c>
      <c r="B27" s="7">
        <v>0.91035714285714275</v>
      </c>
      <c r="C27" s="7">
        <v>1</v>
      </c>
      <c r="D27" s="7">
        <v>0.87604166661830729</v>
      </c>
      <c r="E27" s="7">
        <v>0.85839945790958283</v>
      </c>
      <c r="F27" s="7">
        <v>0.26753501374684352</v>
      </c>
      <c r="G27" s="7">
        <v>0.75677929675117961</v>
      </c>
      <c r="H27" s="7">
        <v>0.26224508881568909</v>
      </c>
      <c r="I27" s="7">
        <v>0.1519794166088104</v>
      </c>
      <c r="J27" s="7">
        <v>0.37419438362121582</v>
      </c>
      <c r="K27" s="7">
        <v>0.8</v>
      </c>
      <c r="L27" s="7">
        <v>1</v>
      </c>
      <c r="M27" s="7">
        <v>14.888442277908331</v>
      </c>
      <c r="N27" s="8">
        <v>3062</v>
      </c>
      <c r="O27" s="8">
        <v>330.8</v>
      </c>
      <c r="P27" s="8">
        <v>3392.8</v>
      </c>
      <c r="Q27" s="8">
        <v>0</v>
      </c>
    </row>
    <row r="28" spans="1:17" x14ac:dyDescent="0.25">
      <c r="A28" t="s">
        <v>160</v>
      </c>
      <c r="B28" s="7">
        <v>0.86666666666666659</v>
      </c>
      <c r="C28" s="7">
        <v>0.66666666666666663</v>
      </c>
      <c r="D28" s="7">
        <v>0.42777777775638892</v>
      </c>
      <c r="E28" s="7">
        <v>0.68912355412148663</v>
      </c>
      <c r="F28" s="7">
        <v>0.33333333259259262</v>
      </c>
      <c r="G28" s="7">
        <v>0.86175270604888998</v>
      </c>
      <c r="H28" s="7">
        <v>0.32541373372077942</v>
      </c>
      <c r="I28" s="7">
        <v>0.1520896106958389</v>
      </c>
      <c r="J28" s="7">
        <v>0.51209855079650879</v>
      </c>
      <c r="K28" s="7">
        <v>0</v>
      </c>
      <c r="L28" s="7">
        <v>0</v>
      </c>
      <c r="M28" s="7">
        <v>14.00657526652018</v>
      </c>
      <c r="N28" s="8">
        <v>2933.333333333333</v>
      </c>
      <c r="O28" s="8">
        <v>252.33333333333329</v>
      </c>
      <c r="P28" s="8">
        <v>3185.666666666667</v>
      </c>
      <c r="Q28" s="8">
        <v>0</v>
      </c>
    </row>
    <row r="29" spans="1:17" x14ac:dyDescent="0.25">
      <c r="A29" t="s">
        <v>77</v>
      </c>
      <c r="B29" s="7">
        <v>0.64920634920634923</v>
      </c>
      <c r="C29" s="7">
        <v>0.7142857142857143</v>
      </c>
      <c r="D29" s="7">
        <v>0.7142857142557143</v>
      </c>
      <c r="E29" s="7">
        <v>0.77223123387715664</v>
      </c>
      <c r="F29" s="7">
        <v>0.24965986355662451</v>
      </c>
      <c r="G29" s="7">
        <v>0.85415711523742288</v>
      </c>
      <c r="H29" s="7">
        <v>0.4121551513671875</v>
      </c>
      <c r="I29" s="7">
        <v>0.33088865876197809</v>
      </c>
      <c r="J29" s="7">
        <v>0.49804827570915222</v>
      </c>
      <c r="K29" s="7">
        <v>0.35714285714285721</v>
      </c>
      <c r="L29" s="7">
        <v>0.42857142857142849</v>
      </c>
      <c r="M29" s="7">
        <v>11.918495586940219</v>
      </c>
      <c r="N29" s="8">
        <v>3329</v>
      </c>
      <c r="O29" s="8">
        <v>175.14285714285711</v>
      </c>
      <c r="P29" s="8">
        <v>3504.1428571428569</v>
      </c>
      <c r="Q29" s="8">
        <v>0</v>
      </c>
    </row>
    <row r="30" spans="1:17" x14ac:dyDescent="0.25">
      <c r="A30" t="s">
        <v>478</v>
      </c>
      <c r="B30" s="7">
        <v>0.81872703620768639</v>
      </c>
      <c r="C30" s="7">
        <v>0.6484375</v>
      </c>
      <c r="D30" s="7">
        <v>0.66792534719211405</v>
      </c>
      <c r="E30" s="7">
        <v>0.79775452413094261</v>
      </c>
      <c r="F30" s="7">
        <v>0.1993877585966343</v>
      </c>
      <c r="G30" s="7">
        <v>0.81568640932657299</v>
      </c>
      <c r="H30" s="7">
        <v>0.27046951651573181</v>
      </c>
      <c r="I30" s="7">
        <v>0.1695546209812164</v>
      </c>
      <c r="J30" s="7">
        <v>0.37506791949272161</v>
      </c>
      <c r="K30" s="7">
        <v>0.38541666666666657</v>
      </c>
      <c r="L30" s="7">
        <v>0.53125</v>
      </c>
      <c r="M30" s="7">
        <v>16.43285940587521</v>
      </c>
      <c r="N30" s="8">
        <v>3409.40625</v>
      </c>
      <c r="O30" s="8">
        <v>360.84375</v>
      </c>
      <c r="P30" s="8">
        <v>3770.25</v>
      </c>
      <c r="Q30" s="8">
        <v>0</v>
      </c>
    </row>
    <row r="31" spans="1:17" x14ac:dyDescent="0.25">
      <c r="A31" t="s">
        <v>134</v>
      </c>
      <c r="B31" s="7">
        <v>0.87334854613088564</v>
      </c>
      <c r="C31" s="7">
        <v>0.85263157894736852</v>
      </c>
      <c r="D31" s="7">
        <v>0.84976851848738244</v>
      </c>
      <c r="E31" s="7">
        <v>0.79703550660856859</v>
      </c>
      <c r="F31" s="7">
        <v>0.34863637730588959</v>
      </c>
      <c r="G31" s="7">
        <v>0.68998169577281632</v>
      </c>
      <c r="H31" s="7">
        <v>0.2871730625629425</v>
      </c>
      <c r="I31" s="7">
        <v>0.23007044196128851</v>
      </c>
      <c r="J31" s="7">
        <v>0.34727311134338379</v>
      </c>
      <c r="K31" s="7">
        <v>0.5307017543859649</v>
      </c>
      <c r="L31" s="7">
        <v>0.68421052631578949</v>
      </c>
      <c r="M31" s="7">
        <v>13.166112862135231</v>
      </c>
      <c r="N31" s="8">
        <v>3212.3157894736842</v>
      </c>
      <c r="O31" s="8">
        <v>232.9473684210526</v>
      </c>
      <c r="P31" s="8">
        <v>3445.2631578947371</v>
      </c>
      <c r="Q31" s="8">
        <v>0</v>
      </c>
    </row>
    <row r="32" spans="1:17" x14ac:dyDescent="0.25">
      <c r="A32" t="s">
        <v>196</v>
      </c>
      <c r="B32" s="7">
        <v>0.87794310031704992</v>
      </c>
      <c r="C32" s="7">
        <v>0.66309523809523807</v>
      </c>
      <c r="D32" s="7">
        <v>0.64027777774419303</v>
      </c>
      <c r="E32" s="7">
        <v>0.77368565465949868</v>
      </c>
      <c r="F32" s="7">
        <v>0.2240870020875653</v>
      </c>
      <c r="G32" s="7">
        <v>0.79029851412415941</v>
      </c>
      <c r="H32" s="7">
        <v>0.2241521030664444</v>
      </c>
      <c r="I32" s="7">
        <v>0.1227134317159653</v>
      </c>
      <c r="J32" s="7">
        <v>0.32743141055107122</v>
      </c>
      <c r="K32" s="7">
        <v>0.26666666666666672</v>
      </c>
      <c r="L32" s="7">
        <v>0.42857142857142849</v>
      </c>
      <c r="M32" s="7">
        <v>14.366870965276449</v>
      </c>
      <c r="N32" s="8">
        <v>3099.8571428571431</v>
      </c>
      <c r="O32" s="8">
        <v>298.28571428571428</v>
      </c>
      <c r="P32" s="8">
        <v>3398.1428571428569</v>
      </c>
      <c r="Q32" s="8">
        <v>0</v>
      </c>
    </row>
    <row r="35" spans="1:17" ht="15.75" x14ac:dyDescent="0.25">
      <c r="A35" s="6" t="s">
        <v>669</v>
      </c>
    </row>
    <row r="36" spans="1:17" x14ac:dyDescent="0.25">
      <c r="A36" s="9" t="s">
        <v>670</v>
      </c>
      <c r="B36" s="9" t="s">
        <v>658</v>
      </c>
      <c r="C36" s="9" t="s">
        <v>659</v>
      </c>
      <c r="D36" s="9" t="s">
        <v>660</v>
      </c>
      <c r="E36" s="9" t="s">
        <v>661</v>
      </c>
      <c r="F36" s="9" t="s">
        <v>662</v>
      </c>
      <c r="G36" s="9" t="s">
        <v>663</v>
      </c>
      <c r="H36" s="9" t="s">
        <v>647</v>
      </c>
      <c r="I36" s="9" t="s">
        <v>648</v>
      </c>
      <c r="J36" s="9" t="s">
        <v>649</v>
      </c>
      <c r="K36" s="9" t="s">
        <v>650</v>
      </c>
      <c r="L36" s="9" t="s">
        <v>651</v>
      </c>
      <c r="M36" s="9" t="s">
        <v>664</v>
      </c>
      <c r="N36" s="9" t="s">
        <v>665</v>
      </c>
      <c r="O36" s="9" t="s">
        <v>666</v>
      </c>
      <c r="P36" s="9" t="s">
        <v>667</v>
      </c>
      <c r="Q36" s="9" t="s">
        <v>668</v>
      </c>
    </row>
    <row r="37" spans="1:17" x14ac:dyDescent="0.25">
      <c r="A37" t="s">
        <v>671</v>
      </c>
      <c r="B37" s="7">
        <v>0.85579120902747075</v>
      </c>
      <c r="C37" s="7">
        <v>0.78787878787878785</v>
      </c>
      <c r="D37" s="7">
        <v>0.67466329963745653</v>
      </c>
      <c r="E37" s="7">
        <v>0.75941558724030556</v>
      </c>
      <c r="F37" s="7">
        <v>0.37101971946583062</v>
      </c>
      <c r="G37" s="7">
        <v>0.83105921980640884</v>
      </c>
      <c r="H37" s="7">
        <v>0.32293996214866638</v>
      </c>
      <c r="I37" s="7">
        <v>0.17493484914302829</v>
      </c>
      <c r="J37" s="7">
        <v>0.4793640673160553</v>
      </c>
      <c r="K37" s="7">
        <v>0.3419191919191919</v>
      </c>
      <c r="L37" s="7">
        <v>0.54545454545454541</v>
      </c>
      <c r="M37" s="7">
        <v>13.28991245500969</v>
      </c>
      <c r="N37" s="8">
        <v>3203.818181818182</v>
      </c>
      <c r="O37" s="8">
        <v>228.5454545454545</v>
      </c>
      <c r="P37" s="8">
        <v>3432.363636363636</v>
      </c>
      <c r="Q37" s="8">
        <v>0</v>
      </c>
    </row>
    <row r="38" spans="1:17" x14ac:dyDescent="0.25">
      <c r="A38" t="s">
        <v>672</v>
      </c>
      <c r="B38" s="7">
        <v>0.80999797252094941</v>
      </c>
      <c r="C38" s="7">
        <v>0.63747072599531618</v>
      </c>
      <c r="D38" s="7">
        <v>0.60261015322661859</v>
      </c>
      <c r="E38" s="7">
        <v>0.79400877785537549</v>
      </c>
      <c r="F38" s="7">
        <v>0.25081355157563351</v>
      </c>
      <c r="G38" s="7">
        <v>0.69538580059861144</v>
      </c>
      <c r="H38" s="7">
        <v>0.26622483134269709</v>
      </c>
      <c r="I38" s="7">
        <v>0.19569382071495059</v>
      </c>
      <c r="J38" s="7">
        <v>0.33767107129096979</v>
      </c>
      <c r="K38" s="7">
        <v>0.42240437158469951</v>
      </c>
      <c r="L38" s="7">
        <v>0.54098360655737709</v>
      </c>
      <c r="M38" s="7">
        <v>14.56596141174191</v>
      </c>
      <c r="N38" s="8">
        <v>3301.8524590163929</v>
      </c>
      <c r="O38" s="8">
        <v>276.22950819672133</v>
      </c>
      <c r="P38" s="8">
        <v>3578.0819672131151</v>
      </c>
      <c r="Q38" s="8">
        <v>0</v>
      </c>
    </row>
    <row r="39" spans="1:17" x14ac:dyDescent="0.25">
      <c r="A39" t="s">
        <v>673</v>
      </c>
      <c r="B39" s="7">
        <v>0.83934099280737939</v>
      </c>
      <c r="C39" s="7">
        <v>0.66893939393939394</v>
      </c>
      <c r="D39" s="7">
        <v>0.619999999974854</v>
      </c>
      <c r="E39" s="7">
        <v>0.80798960230361871</v>
      </c>
      <c r="F39" s="7">
        <v>0.2255927966644809</v>
      </c>
      <c r="G39" s="7">
        <v>0.73582619678322669</v>
      </c>
      <c r="H39" s="7">
        <v>0.20259551703929901</v>
      </c>
      <c r="I39" s="7">
        <v>0.16220381855964661</v>
      </c>
      <c r="J39" s="7">
        <v>0.2443746626377106</v>
      </c>
      <c r="K39" s="7">
        <v>0.35984848484848481</v>
      </c>
      <c r="L39" s="7">
        <v>0.5</v>
      </c>
      <c r="M39" s="7">
        <v>17.663701133294541</v>
      </c>
      <c r="N39" s="8">
        <v>3256.363636363636</v>
      </c>
      <c r="O39" s="8">
        <v>410.63636363636363</v>
      </c>
      <c r="P39" s="8">
        <v>3667</v>
      </c>
      <c r="Q39"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2026-04-03T10:19:10Z</dcterms:created>
  <dcterms:modified xsi:type="dcterms:W3CDTF">2026-04-03T10:40:17Z</dcterms:modified>
</cp:coreProperties>
</file>