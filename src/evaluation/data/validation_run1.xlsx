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ni-Köln\Masterarbeit\Software\uzk-masterarbeit\src\evaluation\data\"/>
    </mc:Choice>
  </mc:AlternateContent>
  <xr:revisionPtr revIDLastSave="0" documentId="13_ncr:1_{FE58ED87-10AD-4985-9055-56554F6109AA}" xr6:coauthVersionLast="47" xr6:coauthVersionMax="47" xr10:uidLastSave="{00000000-0000-0000-0000-000000000000}"/>
  <bookViews>
    <workbookView xWindow="-120" yWindow="-120" windowWidth="29040" windowHeight="15840" xr2:uid="{00000000-000D-0000-FFFF-FFFF00000000}"/>
  </bookViews>
  <sheets>
    <sheet name="Human Details" sheetId="3" r:id="rId1"/>
    <sheet name="Human Erläuterungen" sheetId="4" r:id="rId2"/>
    <sheet name="LLM-As-Judge Details" sheetId="1" r:id="rId3"/>
    <sheet name="LLM-As-Judge Zusammenfassung" sheetId="2" r:id="rId4"/>
  </sheets>
  <definedNames>
    <definedName name="_xlnm._FilterDatabase" localSheetId="2" hidden="1">'LLM-As-Judge Details'!$A$1:$T$16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3" l="1"/>
  <c r="N2" i="3"/>
</calcChain>
</file>

<file path=xl/sharedStrings.xml><?xml version="1.0" encoding="utf-8"?>
<sst xmlns="http://schemas.openxmlformats.org/spreadsheetml/2006/main" count="348" uniqueCount="154">
  <si>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</si>
  <si>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</si>
  <si>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</si>
  <si>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</si>
  <si>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</si>
  <si>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</si>
  <si>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</si>
  <si>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</si>
  <si>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</si>
  <si>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</si>
  <si>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</si>
  <si>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</si>
  <si>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</si>
  <si>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</si>
  <si>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</si>
  <si>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RR_at5</t>
  </si>
  <si>
    <t>hit_at5</t>
  </si>
  <si>
    <t>latency</t>
  </si>
  <si>
    <t>context_count</t>
  </si>
  <si>
    <t>response_time_seconds</t>
  </si>
  <si>
    <t>Allgemein</t>
  </si>
  <si>
    <t>medium</t>
  </si>
  <si>
    <t>Inwiefern würde ich als Student von einem Studium an der WiSo-Fakultät profitieren?</t>
  </si>
  <si>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</si>
  <si>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</si>
  <si>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</si>
  <si>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</si>
  <si>
    <t>['html', 'html', 'html', 'html', 'pdf']</t>
  </si>
  <si>
    <t>easy</t>
  </si>
  <si>
    <t>['html', 'pdf', 'pdf', 'pdf', 'pdf']</t>
  </si>
  <si>
    <t>['html', 'html', 'html', 'html', 'html']</t>
  </si>
  <si>
    <t>['pdf', 'pdf', 'pdf', 'pdf', 'pdf']</t>
  </si>
  <si>
    <t>hard</t>
  </si>
  <si>
    <t>Welchen Vorteil bietet das Projekt E-PLUS?</t>
  </si>
  <si>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</si>
  <si>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</si>
  <si>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</si>
  <si>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</si>
  <si>
    <t>Modulhandbuch/PO</t>
  </si>
  <si>
    <t>Welche Bachelorstudiengänge der WiSo-Fakultät haben ein eigenes Modulhandbuch unter PO 2021?</t>
  </si>
  <si>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</si>
  <si>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</si>
  <si>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</si>
  <si>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</si>
  <si>
    <t>['html', 'html', 'pdf', 'pdf', 'pdf']</t>
  </si>
  <si>
    <t>['html', 'html', 'pdf', 'html', 'html']</t>
  </si>
  <si>
    <t>Bachelor-Studium</t>
  </si>
  <si>
    <t>Welche Bachelorstudiengänge bietet WiSo-Fakultät allgemein an?</t>
  </si>
  <si>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</si>
  <si>
    <t>Die WiSo-Fakultät bietet folgende Bachelorprogramme an: Betriebswirtschaftslehre, Volkswirtschaftslehre, Sozialwissenschaften, Management, Economics &amp; Social Sciences, Wirtschaftsinformatik, Gesundheitsökonomie sowie der Lehramts-Bachelor.</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</si>
  <si>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</si>
  <si>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['https://wiso.uni-koeln.de/de/studium/studienorganisation/faq/bachelor', 'https://wiso.uni-koeln.de/de/studium/bachelor', 'https://wiso.uni-koeln.de/en/studies/organising-your-studies/faq/bachelor', 'https://wiso.uni-koeln.de/de/studium/bachelor', 'https://wiso.uni-koeln.de/de/studium/studienorganisation/faq/allgemeine-fragen']</t>
  </si>
  <si>
    <t>['pdf', 'pdf', 'pdf', 'pdf', 'html']</t>
  </si>
  <si>
    <t>Services/Info</t>
  </si>
  <si>
    <t>Welche Verbundstudiengänge mit WiSo-Beteiligung werden angeboten?</t>
  </si>
  <si>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</si>
  <si>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</si>
  <si>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</si>
  <si>
    <t>['https://wiso.uni-koeln.de/de/studium/bachelor', 'https://wiso.uni-koeln.de/de/studium/master', 'https://wiso.uni-koeln.de/de/studium/master', 'https://wiso.uni-koeln.de/de/studium/studienorganisation/faq/bachelor', 'https://wiso.uni-koeln.de/de/studium/master']</t>
  </si>
  <si>
    <t>Master-Studium</t>
  </si>
  <si>
    <t>Wo finden Interessierte studiengangsspezifische Informationen zu einzelnen WiSo-Masterprogrammen, etwa zum Master Information Systems?</t>
  </si>
  <si>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</si>
  <si>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</si>
  <si>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t>
  </si>
  <si>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</si>
  <si>
    <t>Studiengang spezifisch</t>
  </si>
  <si>
    <t>Welche Bewerbungsfrist gilt für den Master Studiengang Information Systems?</t>
  </si>
  <si>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</si>
  <si>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</si>
  <si>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</si>
  <si>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</si>
  <si>
    <t>Welche zentralen Kompetenzen und Themen werden für den Master Information Systems an der WiSo-Köln hervorgehoben?</t>
  </si>
  <si>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</si>
  <si>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</si>
  <si>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</si>
  <si>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</si>
  <si>
    <t>International</t>
  </si>
  <si>
    <t>FAQ</t>
  </si>
  <si>
    <t>Mein Abiturschnitt erfüllt nicht den NC vom letzten Bewerbungsverfahren für einen WiSo-Bachelorstudiengang. Macht eine Bewerbung trotzdem Sinn?</t>
  </si>
  <si>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</si>
  <si>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</si>
  <si>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</si>
  <si>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</si>
  <si>
    <t>Ich studiere im Bachelor woanders und möchte an die WiSo Köln wechseln. Was muss ich tun?</t>
  </si>
  <si>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</si>
  <si>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</si>
  <si>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t>
  </si>
  <si>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</si>
  <si>
    <t>['html', 'pdf', 'pdf', 'html', 'pdf']</t>
  </si>
  <si>
    <t>Was ist das Besondere am Master Business Administration Corporate Development an der WiSo-Fakultät und welche Vorteile habe ich dadurch?</t>
  </si>
  <si>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Bereichen wie Accounting, Finance, Marketing, Human Resources Management und Operations Management ausbilden kannst.</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</si>
  <si>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</si>
  <si>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t>
  </si>
  <si>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</si>
  <si>
    <t>PDF-Spezifisch</t>
  </si>
  <si>
    <t>Wie groß ist der Bachelor Wirtschaftsinformatik an der Uni Köln ungefähr, und seit wann gibt es den Studiengang?</t>
  </si>
  <si>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</si>
  <si>
    <t>Im Bachelor Wirtschaftsinformatik starten jährlich rund 100 Studierende. Der Studiengang besteht bereits seit 2008 und ist sehr erfolgreich, mit mehr als 1.100 Bewerbungen pro Jahr.</t>
  </si>
  <si>
    <t>['3.6.2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</si>
  <si>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</si>
  <si>
    <t>Ich studiere bzw. plane den M.Sc. International Management (CEMS) in Köln. Wie unterscheiden sich das reguläre MIM-Programm und das CEMS-Curriculum konkret im Aufbau und bei den Anforderungen?</t>
  </si>
  <si>
    <t>Das CEMS-Curriculum und das reguläre MIM-Programm an der Universität zu Köln unterscheiden sich in folgenden Aspekten:  1. **ECTS-Gesamtpunkte**: Das CEMS-Curriculum umfasst insgesamt 66 ECTS, während das reguläre MIM-Programm 60 ECTS hat. 2. **Master-Thesis**: Im CEMS-Curriculum gibt es keine Master-Thesis, im Gegensatz zum regulären MIM-Programm. 3. **Internship**: Das CEMS-Curriculum erfordert eine internationale Praxisphase (International Internship), die nicht Teil des regulären MIM-Programms ist. 4. **Sprachanforderung**: Im CEMS-Curriculum gibt es eine Sprachanforderung, die im regulären MIM-Programm nicht besteht. 5. **Modulstruktur**: Das CEMS-Curriculum hat einen anderen Modulbaukasten als das reguläre MIM-Programm, mit einem Schwerpunkt auf Hard Skills und internationaler Praxis.  Es ist wichtig zu beachten, dass die genauen Anforderungen und Strukturen je nach Semester und Programmänderung variieren können. Es lohnt sich, direkt bei der Universität oder der Studienberatung nachzufragen, um aktuelle Informationen zu erhalten.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</si>
  <si>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</si>
  <si>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 14 3.3 Supplementary section ............................................................................................ 14 3.4 Extracurricular course programme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 'es)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t>
  </si>
  <si>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'file://D:/Uni-Köln/Masterarbeit/Software/uzk-masterarbeit/data/pdf_cache/__wiso.uni-koeln.de_sites_fakultaet_dokumente_downloads_Modulhandbuecher_Studienjahr_22-23_MHB_PO2021_m_mhb_po2021_intmanagement.pdf']</t>
  </si>
  <si>
    <t>Was umfasst das Modul „Studies Abroad in Economics III“ im M.Sc. Economics und wie funktioniert die Anerkennung der im Ausland erbrachten Leistungen?</t>
  </si>
  <si>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Die Studienberatung wird Ihnen dabei helfen, Ihre Prüfungsleistungen an der ausländischen Hochschule anzuerkennen und in Ihr Studium einzubinden.  Bitte beachten Sie, dass die Anerkennung von Leistungen je nach Kurswahl und Modulvoraussetzungen variieren kann. Es ist daher wichtig, sich vorher mit der Studienberatung in Verbindung zu setzen, um sicherzustellen, dass Ihre ausländischen Prüfungsleistungen anerkannt werden können.  Wenn Sie weitere Fragen haben oder Hilfe benötigen, stehe ich Ihnen gerne zur Verfügung!</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</si>
  <si>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</si>
  <si>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</si>
  <si>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</si>
  <si>
    <t>Welche Zugangsvoraussetzungen und fachlichen Anforderungen gelten für den Masterstudiengang Business Administration Marketing an der Universität zu Köln?</t>
  </si>
  <si>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marktorientierten Unternehmensführung  Es ist wichtig zu beachten, dass die genauen Anforderungen je nach Semester oder Studienjahr variieren können. Es wird empfohlen, sich direkt an der Universität zu wenden oder auf den offiziellen Webseiten der Universität zu informieren.  Ich hoffe, diese Informationen helfen dir weiter! Wenn du weitere Fragen hast, stehe ich gerne zur Verfügung.</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</si>
  <si>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</si>
  <si>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</si>
  <si>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</si>
  <si>
    <t>📊 RAGAS-Evaluation Zusammenfassung</t>
  </si>
  <si>
    <t>Durchschnittliche Scores</t>
  </si>
  <si>
    <t>MRR@5</t>
  </si>
  <si>
    <t>Hit@5</t>
  </si>
  <si>
    <t>Scores nach Kategorie</t>
  </si>
  <si>
    <t>Kategorie</t>
  </si>
  <si>
    <t>Faithfulness</t>
  </si>
  <si>
    <t>Context Recall</t>
  </si>
  <si>
    <t>Context Precision</t>
  </si>
  <si>
    <t>Semantic Similarity</t>
  </si>
  <si>
    <t>Context Entity Recall</t>
  </si>
  <si>
    <t>Answer Relevancy</t>
  </si>
  <si>
    <t>Latency</t>
  </si>
  <si>
    <t>Scores nach Schwierigkeit</t>
  </si>
  <si>
    <t>Schwierigkeit</t>
  </si>
  <si>
    <t>EASY</t>
  </si>
  <si>
    <t>MEDIUM</t>
  </si>
  <si>
    <t>HARD</t>
  </si>
  <si>
    <t>Entitäten (Referenz)</t>
  </si>
  <si>
    <t>Student, Theorie- und methodenorientierter Studienansatz, Forschung, Lehre, Praxis, Praxisnähe, Langjährige Zusammenarbeit, WiSo-Fakultät, Unternehmen, Lehrbeauftragte, Berufsfelder</t>
  </si>
  <si>
    <t>Gedeckte Entitäten (Retrieved Context)</t>
  </si>
  <si>
    <t>Nicht gedeckte Entitäten (Retrieved Context)</t>
  </si>
  <si>
    <t>Student, Forschung, Lehre, Praxis, WiSo-Fakultät</t>
  </si>
  <si>
    <t>Theorie- und methodenorientierter Studienansatz, Praxisnähe, Langjährige Zusammenarbeit, Unternehmen, Lehrbeauftragte, Berufsfelder</t>
  </si>
  <si>
    <t>Anzahl Gedeckte Entitäten (Retrieved Context)</t>
  </si>
  <si>
    <t>Anzahl nicht-gedeckter Entitäten (Retrieved Context)</t>
  </si>
  <si>
    <t>Komplett abweichend</t>
  </si>
  <si>
    <t>Komplett zutreffend</t>
  </si>
  <si>
    <t>Annähernd identisch</t>
  </si>
  <si>
    <t>Stark abweichend</t>
  </si>
  <si>
    <t>Teilweise ähnlich</t>
  </si>
  <si>
    <t>Irrelevant</t>
  </si>
  <si>
    <t>Teilweise Relevant</t>
  </si>
  <si>
    <t>Absolut Relevant</t>
  </si>
  <si>
    <t>Sehr Relevant</t>
  </si>
  <si>
    <t>Fast Irrelevant</t>
  </si>
  <si>
    <t>Anmerkungen</t>
  </si>
  <si>
    <t>Obwohl nicht die Gold-Referenz gefunden wurde, sind die Chunks sehr relevant. Im Grunde genommen zeigt dies, wie schwierig es ist tatsächlich ein RAG-System zu evaluieren. Der Testsatz ist bspw. Bei dieser Frage sehr gut auf den eigentlichen Inhalt zugeschnitten, aber die Gold-Referenz wird nicht gefetched. Stattdessen wird Context gefetched, der sehr relevant ist</t>
  </si>
  <si>
    <t>Ein gutes Beispiel, wie Context-Precision durch LLM versagt. E-PLUS klingt ähnlich wie E-homework und somit wird es als "relevant" eingestuft, obwohl es das nicht ist. Das LLM kann diesen Unterschied aber nicht erkennen. Zusätzlich dazu werden Chunks nicht gefetched, da SEMANTISCHE ÄHNLICHKEIT zu niedrig --&gt; hybrid-search könnte hier sehr gut Abhilfe schaffen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</si>
</sst>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0" fontId="4" fillId="6" borderId="0" xfId="0" applyFont="1" applyFill="1"/>
    <xf numFmtId="0" fontId="0" fillId="0" borderId="0" xfId="0" applyAlignment="1">
      <alignment horizontal="center" vertical="center"/>
    </xf>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CDF19-0ECB-4C14-8078-9039741F0363}">
  <dimension ref="A1:Z16"/>
  <sheetViews>
    <sheetView tabSelected="1" topLeftCell="K4" workbookViewId="0">
      <selection activeCell="Z4" sqref="Z4"/>
    </sheetView>
  </sheetViews>
  <sheetFormatPr baseColWidth="10"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6" ht="9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133</v>
      </c>
      <c r="V1" s="1" t="s">
        <v>135</v>
      </c>
      <c r="W1" s="1" t="s">
        <v>136</v>
      </c>
      <c r="X1" s="1" t="s">
        <v>139</v>
      </c>
      <c r="Y1" s="1" t="s">
        <v>140</v>
      </c>
      <c r="Z1" s="1" t="s">
        <v>151</v>
      </c>
    </row>
    <row r="2" spans="1:26" ht="409.5" x14ac:dyDescent="0.25">
      <c r="A2">
        <v>1</v>
      </c>
      <c r="B2" t="s">
        <v>20</v>
      </c>
      <c r="C2" t="s">
        <v>21</v>
      </c>
      <c r="D2" s="2" t="s">
        <v>22</v>
      </c>
      <c r="E2" s="2" t="s">
        <v>23</v>
      </c>
      <c r="F2" s="2" t="s">
        <v>24</v>
      </c>
      <c r="G2" s="2" t="s">
        <v>25</v>
      </c>
      <c r="H2" t="s">
        <v>26</v>
      </c>
      <c r="I2" t="s">
        <v>27</v>
      </c>
      <c r="J2" s="7">
        <v>1</v>
      </c>
      <c r="K2">
        <v>1</v>
      </c>
      <c r="L2">
        <v>0.68</v>
      </c>
      <c r="M2">
        <v>0.8</v>
      </c>
      <c r="N2">
        <f>IFERROR(X2/(X2+Y2), 0)</f>
        <v>0.45454545454545453</v>
      </c>
      <c r="O2">
        <v>1</v>
      </c>
      <c r="P2">
        <v>0</v>
      </c>
      <c r="Q2">
        <v>0</v>
      </c>
      <c r="R2">
        <v>45.547114849090583</v>
      </c>
      <c r="S2">
        <v>5</v>
      </c>
      <c r="T2">
        <v>45.547114849090583</v>
      </c>
      <c r="U2" t="s">
        <v>134</v>
      </c>
      <c r="V2" t="s">
        <v>137</v>
      </c>
      <c r="W2" t="s">
        <v>138</v>
      </c>
      <c r="X2">
        <v>5</v>
      </c>
      <c r="Y2">
        <v>6</v>
      </c>
      <c r="Z2" t="s">
        <v>152</v>
      </c>
    </row>
    <row r="3" spans="1:26" ht="409.5" x14ac:dyDescent="0.25">
      <c r="A3">
        <v>8</v>
      </c>
      <c r="B3" t="s">
        <v>20</v>
      </c>
      <c r="C3" t="s">
        <v>32</v>
      </c>
      <c r="D3" s="2" t="s">
        <v>33</v>
      </c>
      <c r="E3" s="2" t="s">
        <v>34</v>
      </c>
      <c r="F3" s="2" t="s">
        <v>35</v>
      </c>
      <c r="G3" s="2" t="s">
        <v>36</v>
      </c>
      <c r="H3" t="s">
        <v>37</v>
      </c>
      <c r="I3" t="s">
        <v>29</v>
      </c>
      <c r="J3" s="7">
        <v>0.5</v>
      </c>
      <c r="K3">
        <v>0</v>
      </c>
      <c r="L3">
        <v>0</v>
      </c>
      <c r="M3">
        <v>0</v>
      </c>
      <c r="N3">
        <f>IFERROR(X3/(X3+Y3), 0)</f>
        <v>0</v>
      </c>
      <c r="O3">
        <v>0</v>
      </c>
      <c r="P3">
        <v>0</v>
      </c>
      <c r="Q3">
        <v>0</v>
      </c>
      <c r="R3">
        <v>10.010499954223629</v>
      </c>
      <c r="S3">
        <v>5</v>
      </c>
      <c r="T3">
        <v>10.010499954223629</v>
      </c>
      <c r="Z3" t="s">
        <v>153</v>
      </c>
    </row>
    <row r="4" spans="1:26" ht="409.5" x14ac:dyDescent="0.25">
      <c r="A4">
        <v>11</v>
      </c>
      <c r="B4" t="s">
        <v>38</v>
      </c>
      <c r="C4" t="s">
        <v>21</v>
      </c>
      <c r="D4" s="2" t="s">
        <v>39</v>
      </c>
      <c r="E4" s="2" t="s">
        <v>40</v>
      </c>
      <c r="F4" s="2" t="s">
        <v>41</v>
      </c>
      <c r="G4" s="2" t="s">
        <v>42</v>
      </c>
      <c r="H4" t="s">
        <v>43</v>
      </c>
      <c r="I4" t="s">
        <v>44</v>
      </c>
      <c r="J4" s="7"/>
      <c r="P4">
        <v>0.5</v>
      </c>
      <c r="Q4">
        <v>1</v>
      </c>
      <c r="R4">
        <v>9.4738509654998779</v>
      </c>
      <c r="S4">
        <v>5</v>
      </c>
      <c r="T4">
        <v>9.4738509654998779</v>
      </c>
    </row>
    <row r="5" spans="1:26" ht="409.5" x14ac:dyDescent="0.25">
      <c r="A5">
        <v>17</v>
      </c>
      <c r="B5" t="s">
        <v>46</v>
      </c>
      <c r="C5" t="s">
        <v>28</v>
      </c>
      <c r="D5" s="2" t="s">
        <v>47</v>
      </c>
      <c r="E5" s="2" t="s">
        <v>48</v>
      </c>
      <c r="F5" s="2" t="s">
        <v>49</v>
      </c>
      <c r="G5" s="2" t="s">
        <v>50</v>
      </c>
      <c r="H5" t="s">
        <v>51</v>
      </c>
      <c r="I5" t="s">
        <v>30</v>
      </c>
      <c r="J5" s="7"/>
      <c r="P5">
        <v>0.5</v>
      </c>
      <c r="Q5">
        <v>1</v>
      </c>
      <c r="R5">
        <v>7.7230634689331046</v>
      </c>
      <c r="S5">
        <v>5</v>
      </c>
      <c r="T5">
        <v>7.7230634689331046</v>
      </c>
    </row>
    <row r="6" spans="1:26" ht="409.5" x14ac:dyDescent="0.25">
      <c r="A6">
        <v>20</v>
      </c>
      <c r="B6" t="s">
        <v>46</v>
      </c>
      <c r="C6" t="s">
        <v>32</v>
      </c>
      <c r="D6" s="2" t="s">
        <v>54</v>
      </c>
      <c r="E6" s="2" t="s">
        <v>55</v>
      </c>
      <c r="F6" s="2" t="s">
        <v>56</v>
      </c>
      <c r="G6" s="2" t="s">
        <v>57</v>
      </c>
      <c r="H6" t="s">
        <v>58</v>
      </c>
      <c r="I6" t="s">
        <v>30</v>
      </c>
      <c r="J6" s="7"/>
      <c r="P6">
        <v>1</v>
      </c>
      <c r="Q6">
        <v>1</v>
      </c>
      <c r="R6">
        <v>8.7654869556427002</v>
      </c>
      <c r="S6">
        <v>5</v>
      </c>
      <c r="T6">
        <v>8.7654869556427002</v>
      </c>
    </row>
    <row r="7" spans="1:26" ht="409.5" x14ac:dyDescent="0.25">
      <c r="A7">
        <v>30</v>
      </c>
      <c r="B7" t="s">
        <v>59</v>
      </c>
      <c r="C7" t="s">
        <v>28</v>
      </c>
      <c r="D7" s="2" t="s">
        <v>60</v>
      </c>
      <c r="E7" s="2" t="s">
        <v>61</v>
      </c>
      <c r="F7" s="2" t="s">
        <v>62</v>
      </c>
      <c r="G7" s="2" t="s">
        <v>63</v>
      </c>
      <c r="H7" t="s">
        <v>64</v>
      </c>
      <c r="I7" t="s">
        <v>45</v>
      </c>
      <c r="J7" s="7"/>
      <c r="P7">
        <v>0</v>
      </c>
      <c r="Q7">
        <v>0</v>
      </c>
      <c r="R7">
        <v>9.9265642166137695</v>
      </c>
      <c r="S7">
        <v>5</v>
      </c>
      <c r="T7">
        <v>9.9265642166137695</v>
      </c>
    </row>
    <row r="8" spans="1:26" ht="409.5" x14ac:dyDescent="0.25">
      <c r="A8">
        <v>33</v>
      </c>
      <c r="B8" t="s">
        <v>65</v>
      </c>
      <c r="C8" t="s">
        <v>28</v>
      </c>
      <c r="D8" s="2" t="s">
        <v>66</v>
      </c>
      <c r="E8" s="2" t="s">
        <v>67</v>
      </c>
      <c r="F8" s="2" t="s">
        <v>68</v>
      </c>
      <c r="G8" s="2" t="s">
        <v>69</v>
      </c>
      <c r="H8" t="s">
        <v>70</v>
      </c>
      <c r="I8" t="s">
        <v>30</v>
      </c>
      <c r="J8" s="7"/>
      <c r="P8">
        <v>0.2</v>
      </c>
      <c r="Q8">
        <v>1</v>
      </c>
      <c r="R8">
        <v>8.1560134887695313</v>
      </c>
      <c r="S8">
        <v>5</v>
      </c>
      <c r="T8">
        <v>8.1560134887695313</v>
      </c>
    </row>
    <row r="9" spans="1:26" ht="409.5" x14ac:dyDescent="0.25">
      <c r="A9">
        <v>34</v>
      </c>
      <c r="B9" t="s">
        <v>65</v>
      </c>
      <c r="C9" t="s">
        <v>21</v>
      </c>
      <c r="D9" s="2" t="s">
        <v>71</v>
      </c>
      <c r="E9" s="2" t="s">
        <v>72</v>
      </c>
      <c r="F9" s="2" t="s">
        <v>73</v>
      </c>
      <c r="G9" s="2" t="s">
        <v>74</v>
      </c>
      <c r="H9" t="s">
        <v>75</v>
      </c>
      <c r="I9" t="s">
        <v>27</v>
      </c>
      <c r="J9" s="7"/>
      <c r="P9">
        <v>0.33333333333333331</v>
      </c>
      <c r="Q9">
        <v>1</v>
      </c>
      <c r="R9">
        <v>11.905722618103029</v>
      </c>
      <c r="S9">
        <v>5</v>
      </c>
      <c r="T9">
        <v>11.905722618103029</v>
      </c>
    </row>
    <row r="10" spans="1:26" ht="409.5" x14ac:dyDescent="0.25">
      <c r="A10">
        <v>64</v>
      </c>
      <c r="B10" t="s">
        <v>77</v>
      </c>
      <c r="C10" t="s">
        <v>21</v>
      </c>
      <c r="D10" s="2" t="s">
        <v>78</v>
      </c>
      <c r="E10" s="2" t="s">
        <v>79</v>
      </c>
      <c r="F10" s="2" t="s">
        <v>80</v>
      </c>
      <c r="G10" s="2" t="s">
        <v>81</v>
      </c>
      <c r="H10" t="s">
        <v>82</v>
      </c>
      <c r="I10" t="s">
        <v>44</v>
      </c>
      <c r="J10" s="7"/>
      <c r="P10">
        <v>0</v>
      </c>
      <c r="Q10">
        <v>0</v>
      </c>
      <c r="R10">
        <v>19.49518513679504</v>
      </c>
      <c r="S10">
        <v>5</v>
      </c>
      <c r="T10">
        <v>19.49518513679504</v>
      </c>
    </row>
    <row r="11" spans="1:26" ht="409.5" x14ac:dyDescent="0.25">
      <c r="A11">
        <v>65</v>
      </c>
      <c r="B11" t="s">
        <v>77</v>
      </c>
      <c r="C11" t="s">
        <v>32</v>
      </c>
      <c r="D11" s="2" t="s">
        <v>83</v>
      </c>
      <c r="E11" s="2" t="s">
        <v>84</v>
      </c>
      <c r="F11" s="2" t="s">
        <v>85</v>
      </c>
      <c r="G11" s="2" t="s">
        <v>86</v>
      </c>
      <c r="H11" t="s">
        <v>87</v>
      </c>
      <c r="I11" t="s">
        <v>88</v>
      </c>
      <c r="J11" s="7"/>
      <c r="P11">
        <v>1</v>
      </c>
      <c r="Q11">
        <v>1</v>
      </c>
      <c r="R11">
        <v>10.89683628082275</v>
      </c>
      <c r="S11">
        <v>5</v>
      </c>
      <c r="T11">
        <v>10.89683628082275</v>
      </c>
    </row>
    <row r="12" spans="1:26" ht="409.5" x14ac:dyDescent="0.25">
      <c r="A12">
        <v>84</v>
      </c>
      <c r="B12" t="s">
        <v>65</v>
      </c>
      <c r="C12" t="s">
        <v>21</v>
      </c>
      <c r="D12" s="2" t="s">
        <v>89</v>
      </c>
      <c r="E12" s="2" t="s">
        <v>90</v>
      </c>
      <c r="F12" s="2" t="s">
        <v>91</v>
      </c>
      <c r="G12" s="2" t="s">
        <v>92</v>
      </c>
      <c r="H12" t="s">
        <v>93</v>
      </c>
      <c r="I12" t="s">
        <v>30</v>
      </c>
      <c r="J12" s="7"/>
      <c r="P12">
        <v>0</v>
      </c>
      <c r="Q12">
        <v>0</v>
      </c>
      <c r="R12">
        <v>11.943759441375731</v>
      </c>
      <c r="S12">
        <v>5</v>
      </c>
      <c r="T12">
        <v>11.943759441375731</v>
      </c>
    </row>
    <row r="13" spans="1:26" ht="409.5" x14ac:dyDescent="0.25">
      <c r="A13">
        <v>89</v>
      </c>
      <c r="B13" t="s">
        <v>94</v>
      </c>
      <c r="C13" t="s">
        <v>28</v>
      </c>
      <c r="D13" s="2" t="s">
        <v>95</v>
      </c>
      <c r="E13" s="2" t="s">
        <v>96</v>
      </c>
      <c r="F13" s="2" t="s">
        <v>97</v>
      </c>
      <c r="G13" s="2" t="s">
        <v>98</v>
      </c>
      <c r="H13" t="s">
        <v>99</v>
      </c>
      <c r="I13" t="s">
        <v>31</v>
      </c>
      <c r="J13" s="7"/>
      <c r="P13">
        <v>0</v>
      </c>
      <c r="Q13">
        <v>0</v>
      </c>
      <c r="R13">
        <v>8.4058101177215576</v>
      </c>
      <c r="S13">
        <v>5</v>
      </c>
      <c r="T13">
        <v>8.4058101177215576</v>
      </c>
    </row>
    <row r="14" spans="1:26" ht="409.5" x14ac:dyDescent="0.25">
      <c r="A14">
        <v>91</v>
      </c>
      <c r="B14" t="s">
        <v>94</v>
      </c>
      <c r="C14" t="s">
        <v>32</v>
      </c>
      <c r="D14" s="2" t="s">
        <v>100</v>
      </c>
      <c r="E14" s="2" t="s">
        <v>101</v>
      </c>
      <c r="F14" s="2" t="s">
        <v>102</v>
      </c>
      <c r="G14" s="2" t="s">
        <v>103</v>
      </c>
      <c r="H14" t="s">
        <v>104</v>
      </c>
      <c r="I14" t="s">
        <v>31</v>
      </c>
      <c r="J14" s="7"/>
      <c r="P14">
        <v>0.5</v>
      </c>
      <c r="Q14">
        <v>1</v>
      </c>
      <c r="R14">
        <v>14.452758550643919</v>
      </c>
      <c r="S14">
        <v>5</v>
      </c>
      <c r="T14">
        <v>14.452758550643919</v>
      </c>
    </row>
    <row r="15" spans="1:26" ht="409.5" x14ac:dyDescent="0.25">
      <c r="A15">
        <v>97</v>
      </c>
      <c r="B15" t="s">
        <v>94</v>
      </c>
      <c r="C15" t="s">
        <v>32</v>
      </c>
      <c r="D15" s="2" t="s">
        <v>105</v>
      </c>
      <c r="E15" s="2" t="s">
        <v>106</v>
      </c>
      <c r="F15" s="2" t="s">
        <v>107</v>
      </c>
      <c r="G15" s="2" t="s">
        <v>108</v>
      </c>
      <c r="H15" t="s">
        <v>109</v>
      </c>
      <c r="I15" t="s">
        <v>31</v>
      </c>
      <c r="J15" s="7"/>
      <c r="P15">
        <v>0</v>
      </c>
      <c r="Q15">
        <v>0</v>
      </c>
      <c r="R15">
        <v>15.475528955459589</v>
      </c>
      <c r="S15">
        <v>5</v>
      </c>
      <c r="T15">
        <v>15.475528955459589</v>
      </c>
    </row>
    <row r="16" spans="1:26" ht="409.5" x14ac:dyDescent="0.25">
      <c r="A16">
        <v>110</v>
      </c>
      <c r="B16" t="s">
        <v>94</v>
      </c>
      <c r="C16" t="s">
        <v>28</v>
      </c>
      <c r="D16" s="2" t="s">
        <v>110</v>
      </c>
      <c r="E16" s="2" t="s">
        <v>111</v>
      </c>
      <c r="F16" s="2" t="s">
        <v>112</v>
      </c>
      <c r="G16" s="2" t="s">
        <v>113</v>
      </c>
      <c r="H16" t="s">
        <v>114</v>
      </c>
      <c r="I16" t="s">
        <v>52</v>
      </c>
      <c r="J16" s="7"/>
      <c r="P16">
        <v>0</v>
      </c>
      <c r="Q16">
        <v>0</v>
      </c>
      <c r="R16">
        <v>16.019131183624271</v>
      </c>
      <c r="S16">
        <v>5</v>
      </c>
      <c r="T16">
        <v>16.019131183624271</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510D8-0C13-4999-957D-C1CE83B890B0}">
  <dimension ref="A1:E8"/>
  <sheetViews>
    <sheetView workbookViewId="0">
      <selection activeCell="A28" sqref="A28"/>
    </sheetView>
  </sheetViews>
  <sheetFormatPr baseColWidth="10" defaultRowHeight="15" x14ac:dyDescent="0.25"/>
  <cols>
    <col min="1" max="1" width="20.7109375" bestFit="1" customWidth="1"/>
    <col min="2" max="2" width="18" bestFit="1" customWidth="1"/>
    <col min="3" max="3" width="16.5703125" bestFit="1" customWidth="1"/>
    <col min="4" max="4" width="19.5703125" bestFit="1" customWidth="1"/>
    <col min="5" max="5" width="19.28515625" bestFit="1" customWidth="1"/>
  </cols>
  <sheetData>
    <row r="1" spans="1:5" x14ac:dyDescent="0.25">
      <c r="A1" s="9" t="s">
        <v>124</v>
      </c>
      <c r="B1" s="9"/>
      <c r="C1" s="9"/>
      <c r="D1" s="9"/>
      <c r="E1" s="9"/>
    </row>
    <row r="2" spans="1:5" x14ac:dyDescent="0.25">
      <c r="A2" s="9" t="s">
        <v>141</v>
      </c>
      <c r="B2" s="9" t="s">
        <v>144</v>
      </c>
      <c r="C2" s="9" t="s">
        <v>145</v>
      </c>
      <c r="D2" s="9" t="s">
        <v>143</v>
      </c>
      <c r="E2" s="9" t="s">
        <v>142</v>
      </c>
    </row>
    <row r="3" spans="1:5" x14ac:dyDescent="0.25">
      <c r="A3" s="9">
        <v>0</v>
      </c>
      <c r="B3" s="9">
        <v>0.2</v>
      </c>
      <c r="C3" s="9">
        <v>0.5</v>
      </c>
      <c r="D3" s="9">
        <v>0.8</v>
      </c>
      <c r="E3" s="9">
        <v>1</v>
      </c>
    </row>
    <row r="4" spans="1:5" x14ac:dyDescent="0.25">
      <c r="A4" s="9"/>
      <c r="B4" s="9"/>
      <c r="C4" s="9"/>
      <c r="D4" s="9"/>
      <c r="E4" s="9"/>
    </row>
    <row r="5" spans="1:5" x14ac:dyDescent="0.25">
      <c r="A5" s="9"/>
      <c r="B5" s="9"/>
      <c r="C5" s="9"/>
      <c r="D5" s="9"/>
      <c r="E5" s="9"/>
    </row>
    <row r="6" spans="1:5" x14ac:dyDescent="0.25">
      <c r="A6" s="9" t="s">
        <v>126</v>
      </c>
      <c r="B6" s="9"/>
      <c r="C6" s="9"/>
      <c r="D6" s="9"/>
      <c r="E6" s="9"/>
    </row>
    <row r="7" spans="1:5" x14ac:dyDescent="0.25">
      <c r="A7" s="9" t="s">
        <v>146</v>
      </c>
      <c r="B7" s="9" t="s">
        <v>150</v>
      </c>
      <c r="C7" s="9" t="s">
        <v>147</v>
      </c>
      <c r="D7" s="9" t="s">
        <v>149</v>
      </c>
      <c r="E7" s="9" t="s">
        <v>148</v>
      </c>
    </row>
    <row r="8" spans="1:5" x14ac:dyDescent="0.25">
      <c r="A8" s="9">
        <v>0</v>
      </c>
      <c r="B8" s="9">
        <v>0.25</v>
      </c>
      <c r="C8" s="9">
        <v>0.5</v>
      </c>
      <c r="D8" s="9">
        <v>0.75</v>
      </c>
      <c r="E8" s="9">
        <v>1</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6"/>
  <sheetViews>
    <sheetView topLeftCell="F2" zoomScale="85" zoomScaleNormal="85" workbookViewId="0">
      <selection activeCell="L3" sqref="L3"/>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0"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409.5" x14ac:dyDescent="0.25">
      <c r="A2">
        <v>1</v>
      </c>
      <c r="B2" t="s">
        <v>20</v>
      </c>
      <c r="C2" t="s">
        <v>21</v>
      </c>
      <c r="D2" s="2" t="s">
        <v>22</v>
      </c>
      <c r="E2" s="2" t="s">
        <v>23</v>
      </c>
      <c r="F2" s="2" t="s">
        <v>24</v>
      </c>
      <c r="G2" s="2" t="s">
        <v>25</v>
      </c>
      <c r="H2" t="s">
        <v>26</v>
      </c>
      <c r="I2" t="s">
        <v>27</v>
      </c>
      <c r="J2" s="3">
        <v>0.8571428571428571</v>
      </c>
      <c r="K2">
        <v>1</v>
      </c>
      <c r="L2">
        <v>0.41666666664583329</v>
      </c>
      <c r="M2">
        <v>0.69174534625042605</v>
      </c>
      <c r="N2">
        <v>0.1111111109876543</v>
      </c>
      <c r="O2">
        <v>0.82932121972340545</v>
      </c>
      <c r="P2">
        <v>0</v>
      </c>
      <c r="Q2">
        <v>0</v>
      </c>
      <c r="R2">
        <v>45.547114849090583</v>
      </c>
      <c r="S2">
        <v>5</v>
      </c>
      <c r="T2">
        <v>45.547114849090583</v>
      </c>
    </row>
    <row r="3" spans="1:20" ht="409.5" x14ac:dyDescent="0.25">
      <c r="A3">
        <v>8</v>
      </c>
      <c r="B3" t="s">
        <v>20</v>
      </c>
      <c r="C3" t="s">
        <v>32</v>
      </c>
      <c r="D3" s="2" t="s">
        <v>33</v>
      </c>
      <c r="E3" s="2" t="s">
        <v>34</v>
      </c>
      <c r="F3" s="2" t="s">
        <v>35</v>
      </c>
      <c r="G3" s="2" t="s">
        <v>36</v>
      </c>
      <c r="H3" t="s">
        <v>37</v>
      </c>
      <c r="I3" t="s">
        <v>29</v>
      </c>
      <c r="J3" s="4">
        <v>0.4</v>
      </c>
      <c r="K3">
        <v>0</v>
      </c>
      <c r="L3">
        <v>0.99999999989999999</v>
      </c>
      <c r="M3">
        <v>0.71366373138551342</v>
      </c>
      <c r="N3">
        <v>0</v>
      </c>
      <c r="O3">
        <v>0</v>
      </c>
      <c r="P3">
        <v>0</v>
      </c>
      <c r="Q3">
        <v>0</v>
      </c>
      <c r="R3">
        <v>10.010499954223629</v>
      </c>
      <c r="S3">
        <v>5</v>
      </c>
      <c r="T3">
        <v>10.010499954223629</v>
      </c>
    </row>
    <row r="4" spans="1:20" ht="409.5" x14ac:dyDescent="0.25">
      <c r="A4">
        <v>11</v>
      </c>
      <c r="B4" t="s">
        <v>38</v>
      </c>
      <c r="C4" t="s">
        <v>21</v>
      </c>
      <c r="D4" s="2" t="s">
        <v>39</v>
      </c>
      <c r="E4" s="2" t="s">
        <v>40</v>
      </c>
      <c r="F4" s="2" t="s">
        <v>41</v>
      </c>
      <c r="G4" s="2" t="s">
        <v>42</v>
      </c>
      <c r="H4" t="s">
        <v>43</v>
      </c>
      <c r="I4" t="s">
        <v>44</v>
      </c>
      <c r="J4" s="4">
        <v>0.5</v>
      </c>
      <c r="K4">
        <v>1</v>
      </c>
      <c r="L4">
        <v>0.99999999996666666</v>
      </c>
      <c r="M4">
        <v>0.71741346021913099</v>
      </c>
      <c r="N4">
        <v>0.79999999919999998</v>
      </c>
      <c r="O4">
        <v>0</v>
      </c>
      <c r="P4">
        <v>0.5</v>
      </c>
      <c r="Q4">
        <v>1</v>
      </c>
      <c r="R4">
        <v>9.4738509654998779</v>
      </c>
      <c r="S4">
        <v>5</v>
      </c>
      <c r="T4">
        <v>9.4738509654998779</v>
      </c>
    </row>
    <row r="5" spans="1:20" ht="409.5" x14ac:dyDescent="0.25">
      <c r="A5">
        <v>17</v>
      </c>
      <c r="B5" t="s">
        <v>46</v>
      </c>
      <c r="C5" t="s">
        <v>28</v>
      </c>
      <c r="D5" s="2" t="s">
        <v>47</v>
      </c>
      <c r="E5" s="2" t="s">
        <v>48</v>
      </c>
      <c r="F5" s="2" t="s">
        <v>49</v>
      </c>
      <c r="G5" s="2" t="s">
        <v>50</v>
      </c>
      <c r="H5" t="s">
        <v>51</v>
      </c>
      <c r="I5" t="s">
        <v>30</v>
      </c>
      <c r="J5" s="4">
        <v>0.5</v>
      </c>
      <c r="K5">
        <v>0</v>
      </c>
      <c r="L5">
        <v>0.99999999995</v>
      </c>
      <c r="M5">
        <v>0.76307917657424806</v>
      </c>
      <c r="N5">
        <v>0.1111111109876543</v>
      </c>
      <c r="O5">
        <v>0</v>
      </c>
      <c r="P5">
        <v>0.5</v>
      </c>
      <c r="Q5">
        <v>1</v>
      </c>
      <c r="R5">
        <v>7.7230634689331046</v>
      </c>
      <c r="S5">
        <v>5</v>
      </c>
      <c r="T5">
        <v>7.7230634689331046</v>
      </c>
    </row>
    <row r="6" spans="1:20" ht="409.5" x14ac:dyDescent="0.25">
      <c r="A6">
        <v>20</v>
      </c>
      <c r="B6" t="s">
        <v>46</v>
      </c>
      <c r="C6" t="s">
        <v>32</v>
      </c>
      <c r="D6" s="2" t="s">
        <v>54</v>
      </c>
      <c r="E6" s="2" t="s">
        <v>55</v>
      </c>
      <c r="F6" s="2" t="s">
        <v>56</v>
      </c>
      <c r="G6" s="2" t="s">
        <v>57</v>
      </c>
      <c r="H6" t="s">
        <v>58</v>
      </c>
      <c r="I6" t="s">
        <v>30</v>
      </c>
      <c r="J6" s="3">
        <v>0.8</v>
      </c>
      <c r="K6">
        <v>1</v>
      </c>
      <c r="L6">
        <v>0.69999999996499995</v>
      </c>
      <c r="M6">
        <v>0.54732096792325347</v>
      </c>
      <c r="N6">
        <v>0</v>
      </c>
      <c r="O6">
        <v>0.55936743224954488</v>
      </c>
      <c r="P6">
        <v>1</v>
      </c>
      <c r="Q6">
        <v>1</v>
      </c>
      <c r="R6">
        <v>8.7654869556427002</v>
      </c>
      <c r="S6">
        <v>5</v>
      </c>
      <c r="T6">
        <v>8.7654869556427002</v>
      </c>
    </row>
    <row r="7" spans="1:20" ht="409.5" x14ac:dyDescent="0.25">
      <c r="A7">
        <v>30</v>
      </c>
      <c r="B7" t="s">
        <v>59</v>
      </c>
      <c r="C7" t="s">
        <v>28</v>
      </c>
      <c r="D7" s="2" t="s">
        <v>60</v>
      </c>
      <c r="E7" s="2" t="s">
        <v>61</v>
      </c>
      <c r="F7" s="2" t="s">
        <v>62</v>
      </c>
      <c r="G7" s="2" t="s">
        <v>63</v>
      </c>
      <c r="H7" t="s">
        <v>64</v>
      </c>
      <c r="I7" t="s">
        <v>45</v>
      </c>
      <c r="J7" s="4">
        <v>0.25</v>
      </c>
      <c r="K7">
        <v>1</v>
      </c>
      <c r="L7">
        <v>0.99999999989999999</v>
      </c>
      <c r="M7">
        <v>0.86740094111044419</v>
      </c>
      <c r="N7">
        <v>0</v>
      </c>
      <c r="O7">
        <v>0</v>
      </c>
      <c r="P7">
        <v>0</v>
      </c>
      <c r="Q7">
        <v>0</v>
      </c>
      <c r="R7">
        <v>9.9265642166137695</v>
      </c>
      <c r="S7">
        <v>5</v>
      </c>
      <c r="T7">
        <v>9.9265642166137695</v>
      </c>
    </row>
    <row r="8" spans="1:20" ht="409.5" x14ac:dyDescent="0.25">
      <c r="A8">
        <v>33</v>
      </c>
      <c r="B8" t="s">
        <v>65</v>
      </c>
      <c r="C8" t="s">
        <v>28</v>
      </c>
      <c r="D8" s="2" t="s">
        <v>66</v>
      </c>
      <c r="E8" s="2" t="s">
        <v>67</v>
      </c>
      <c r="F8" s="2" t="s">
        <v>68</v>
      </c>
      <c r="G8" s="2" t="s">
        <v>69</v>
      </c>
      <c r="H8" t="s">
        <v>70</v>
      </c>
      <c r="I8" t="s">
        <v>30</v>
      </c>
      <c r="J8" s="4">
        <v>0.33333333333333331</v>
      </c>
      <c r="K8">
        <v>1</v>
      </c>
      <c r="L8">
        <v>0.8666666666377778</v>
      </c>
      <c r="M8">
        <v>0.88175794034474853</v>
      </c>
      <c r="N8">
        <v>0.249999999375</v>
      </c>
      <c r="O8">
        <v>0.87696433281486375</v>
      </c>
      <c r="P8">
        <v>0.2</v>
      </c>
      <c r="Q8">
        <v>1</v>
      </c>
      <c r="R8">
        <v>8.1560134887695313</v>
      </c>
      <c r="S8">
        <v>5</v>
      </c>
      <c r="T8">
        <v>8.1560134887695313</v>
      </c>
    </row>
    <row r="9" spans="1:20" ht="409.5" x14ac:dyDescent="0.25">
      <c r="A9">
        <v>34</v>
      </c>
      <c r="B9" t="s">
        <v>65</v>
      </c>
      <c r="C9" t="s">
        <v>21</v>
      </c>
      <c r="D9" s="2" t="s">
        <v>71</v>
      </c>
      <c r="E9" s="2" t="s">
        <v>72</v>
      </c>
      <c r="F9" s="2" t="s">
        <v>73</v>
      </c>
      <c r="G9" s="2" t="s">
        <v>74</v>
      </c>
      <c r="H9" t="s">
        <v>75</v>
      </c>
      <c r="I9" t="s">
        <v>27</v>
      </c>
      <c r="J9" s="4">
        <v>0</v>
      </c>
      <c r="K9">
        <v>0</v>
      </c>
      <c r="L9">
        <v>0</v>
      </c>
      <c r="M9">
        <v>0.74801993950570767</v>
      </c>
      <c r="N9">
        <v>0</v>
      </c>
      <c r="O9">
        <v>0.92611321766246613</v>
      </c>
      <c r="P9">
        <v>0.33333333333333331</v>
      </c>
      <c r="Q9">
        <v>1</v>
      </c>
      <c r="R9">
        <v>11.905722618103029</v>
      </c>
      <c r="S9">
        <v>5</v>
      </c>
      <c r="T9">
        <v>11.905722618103029</v>
      </c>
    </row>
    <row r="10" spans="1:20" ht="409.5" x14ac:dyDescent="0.25">
      <c r="A10">
        <v>64</v>
      </c>
      <c r="B10" t="s">
        <v>77</v>
      </c>
      <c r="C10" t="s">
        <v>21</v>
      </c>
      <c r="D10" s="2" t="s">
        <v>78</v>
      </c>
      <c r="E10" s="2" t="s">
        <v>79</v>
      </c>
      <c r="F10" s="2" t="s">
        <v>80</v>
      </c>
      <c r="G10" s="2" t="s">
        <v>81</v>
      </c>
      <c r="H10" t="s">
        <v>82</v>
      </c>
      <c r="I10" t="s">
        <v>44</v>
      </c>
      <c r="J10" s="3">
        <v>0.8</v>
      </c>
      <c r="K10">
        <v>0.14285714285714279</v>
      </c>
      <c r="L10">
        <v>0.99999999995</v>
      </c>
      <c r="M10">
        <v>0.80823798188452467</v>
      </c>
      <c r="N10">
        <v>0</v>
      </c>
      <c r="O10">
        <v>0.9057499525724565</v>
      </c>
      <c r="P10">
        <v>0</v>
      </c>
      <c r="Q10">
        <v>0</v>
      </c>
      <c r="R10">
        <v>19.49518513679504</v>
      </c>
      <c r="S10">
        <v>5</v>
      </c>
      <c r="T10">
        <v>19.49518513679504</v>
      </c>
    </row>
    <row r="11" spans="1:20" ht="409.5" x14ac:dyDescent="0.25">
      <c r="A11">
        <v>65</v>
      </c>
      <c r="B11" t="s">
        <v>77</v>
      </c>
      <c r="C11" t="s">
        <v>32</v>
      </c>
      <c r="D11" s="2" t="s">
        <v>83</v>
      </c>
      <c r="E11" s="2" t="s">
        <v>84</v>
      </c>
      <c r="F11" s="2" t="s">
        <v>85</v>
      </c>
      <c r="G11" s="2" t="s">
        <v>86</v>
      </c>
      <c r="H11" t="s">
        <v>87</v>
      </c>
      <c r="I11" t="s">
        <v>88</v>
      </c>
      <c r="J11" s="5">
        <v>0.66666666666666663</v>
      </c>
      <c r="K11">
        <v>1</v>
      </c>
      <c r="L11">
        <v>0.99999999998</v>
      </c>
      <c r="M11">
        <v>0.85041125424598185</v>
      </c>
      <c r="N11">
        <v>5.8823529377162627E-2</v>
      </c>
      <c r="O11">
        <v>0.72243167472066594</v>
      </c>
      <c r="P11">
        <v>1</v>
      </c>
      <c r="Q11">
        <v>1</v>
      </c>
      <c r="R11">
        <v>10.89683628082275</v>
      </c>
      <c r="S11">
        <v>5</v>
      </c>
      <c r="T11">
        <v>10.89683628082275</v>
      </c>
    </row>
    <row r="12" spans="1:20" ht="409.5" x14ac:dyDescent="0.25">
      <c r="A12">
        <v>84</v>
      </c>
      <c r="B12" t="s">
        <v>65</v>
      </c>
      <c r="C12" t="s">
        <v>21</v>
      </c>
      <c r="D12" s="2" t="s">
        <v>89</v>
      </c>
      <c r="E12" s="2" t="s">
        <v>90</v>
      </c>
      <c r="F12" s="2" t="s">
        <v>91</v>
      </c>
      <c r="G12" s="2" t="s">
        <v>92</v>
      </c>
      <c r="H12" t="s">
        <v>93</v>
      </c>
      <c r="I12" t="s">
        <v>30</v>
      </c>
      <c r="J12" s="3">
        <v>0.8</v>
      </c>
      <c r="K12">
        <v>1</v>
      </c>
      <c r="L12">
        <v>0.75555555553037035</v>
      </c>
      <c r="M12">
        <v>0.72480963765983408</v>
      </c>
      <c r="N12">
        <v>0</v>
      </c>
      <c r="O12">
        <v>0.95987955397349634</v>
      </c>
      <c r="P12">
        <v>0</v>
      </c>
      <c r="Q12">
        <v>0</v>
      </c>
      <c r="R12">
        <v>11.943759441375731</v>
      </c>
      <c r="S12">
        <v>5</v>
      </c>
      <c r="T12">
        <v>11.943759441375731</v>
      </c>
    </row>
    <row r="13" spans="1:20" ht="409.5" x14ac:dyDescent="0.25">
      <c r="A13">
        <v>89</v>
      </c>
      <c r="B13" t="s">
        <v>94</v>
      </c>
      <c r="C13" t="s">
        <v>28</v>
      </c>
      <c r="D13" s="2" t="s">
        <v>95</v>
      </c>
      <c r="E13" s="2" t="s">
        <v>96</v>
      </c>
      <c r="F13" s="2" t="s">
        <v>97</v>
      </c>
      <c r="G13" s="2" t="s">
        <v>98</v>
      </c>
      <c r="H13" t="s">
        <v>99</v>
      </c>
      <c r="I13" t="s">
        <v>31</v>
      </c>
      <c r="J13" s="4">
        <v>0</v>
      </c>
      <c r="K13">
        <v>0</v>
      </c>
      <c r="L13">
        <v>0.19999999998000001</v>
      </c>
      <c r="M13">
        <v>0.57422403734337246</v>
      </c>
      <c r="N13">
        <v>0</v>
      </c>
      <c r="O13">
        <v>0</v>
      </c>
      <c r="P13">
        <v>0</v>
      </c>
      <c r="Q13">
        <v>0</v>
      </c>
      <c r="R13">
        <v>8.4058101177215576</v>
      </c>
      <c r="S13">
        <v>5</v>
      </c>
      <c r="T13">
        <v>8.4058101177215576</v>
      </c>
    </row>
    <row r="14" spans="1:20" ht="409.5" x14ac:dyDescent="0.25">
      <c r="A14">
        <v>91</v>
      </c>
      <c r="B14" t="s">
        <v>94</v>
      </c>
      <c r="C14" t="s">
        <v>32</v>
      </c>
      <c r="D14" s="2" t="s">
        <v>100</v>
      </c>
      <c r="E14" s="2" t="s">
        <v>101</v>
      </c>
      <c r="F14" s="2" t="s">
        <v>102</v>
      </c>
      <c r="G14" s="2" t="s">
        <v>103</v>
      </c>
      <c r="H14" t="s">
        <v>104</v>
      </c>
      <c r="I14" t="s">
        <v>31</v>
      </c>
      <c r="J14" s="4">
        <v>0.58333333333333337</v>
      </c>
      <c r="K14">
        <v>0.4</v>
      </c>
      <c r="L14">
        <v>0.88749999997781248</v>
      </c>
      <c r="M14">
        <v>0.83352148197934484</v>
      </c>
      <c r="N14">
        <v>0</v>
      </c>
      <c r="O14">
        <v>0</v>
      </c>
      <c r="P14">
        <v>0.5</v>
      </c>
      <c r="Q14">
        <v>1</v>
      </c>
      <c r="R14">
        <v>14.452758550643919</v>
      </c>
      <c r="S14">
        <v>5</v>
      </c>
      <c r="T14">
        <v>14.452758550643919</v>
      </c>
    </row>
    <row r="15" spans="1:20" ht="409.5" x14ac:dyDescent="0.25">
      <c r="A15">
        <v>97</v>
      </c>
      <c r="B15" t="s">
        <v>94</v>
      </c>
      <c r="C15" t="s">
        <v>32</v>
      </c>
      <c r="D15" s="2" t="s">
        <v>105</v>
      </c>
      <c r="E15" s="2" t="s">
        <v>106</v>
      </c>
      <c r="F15" s="2" t="s">
        <v>107</v>
      </c>
      <c r="G15" s="2" t="s">
        <v>108</v>
      </c>
      <c r="H15" t="s">
        <v>109</v>
      </c>
      <c r="I15" t="s">
        <v>31</v>
      </c>
      <c r="J15" s="4">
        <v>0.375</v>
      </c>
      <c r="K15">
        <v>0.25</v>
      </c>
      <c r="L15">
        <v>0.99999999998</v>
      </c>
      <c r="M15">
        <v>0.83696191881469706</v>
      </c>
      <c r="N15">
        <v>0</v>
      </c>
      <c r="O15">
        <v>0</v>
      </c>
      <c r="P15">
        <v>0</v>
      </c>
      <c r="Q15">
        <v>0</v>
      </c>
      <c r="R15">
        <v>15.475528955459589</v>
      </c>
      <c r="S15">
        <v>5</v>
      </c>
      <c r="T15">
        <v>15.475528955459589</v>
      </c>
    </row>
    <row r="16" spans="1:20" ht="409.5" x14ac:dyDescent="0.25">
      <c r="A16">
        <v>110</v>
      </c>
      <c r="B16" t="s">
        <v>94</v>
      </c>
      <c r="C16" t="s">
        <v>28</v>
      </c>
      <c r="D16" s="2" t="s">
        <v>110</v>
      </c>
      <c r="E16" s="2" t="s">
        <v>111</v>
      </c>
      <c r="F16" s="2" t="s">
        <v>112</v>
      </c>
      <c r="G16" s="2" t="s">
        <v>113</v>
      </c>
      <c r="H16" t="s">
        <v>114</v>
      </c>
      <c r="I16" t="s">
        <v>52</v>
      </c>
      <c r="J16" s="4">
        <v>0.55555555555555558</v>
      </c>
      <c r="K16">
        <v>0.25</v>
      </c>
      <c r="L16">
        <v>0.44999999997750001</v>
      </c>
      <c r="M16">
        <v>0.76220810325268817</v>
      </c>
      <c r="N16">
        <v>7.6923076863905315E-2</v>
      </c>
      <c r="O16">
        <v>0.92710612806559023</v>
      </c>
      <c r="P16">
        <v>0</v>
      </c>
      <c r="Q16">
        <v>0</v>
      </c>
      <c r="R16">
        <v>16.019131183624271</v>
      </c>
      <c r="S16">
        <v>5</v>
      </c>
      <c r="T16">
        <v>16.019131183624271</v>
      </c>
    </row>
  </sheetData>
  <autoFilter ref="A1:T16" xr:uid="{00000000-0001-0000-00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2"/>
  <sheetViews>
    <sheetView workbookViewId="0">
      <selection sqref="A1:D1"/>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10" width="10" customWidth="1"/>
  </cols>
  <sheetData>
    <row r="1" spans="1:10" ht="18.75" x14ac:dyDescent="0.3">
      <c r="A1" s="10" t="s">
        <v>115</v>
      </c>
      <c r="B1" s="11"/>
      <c r="C1" s="11"/>
      <c r="D1" s="11"/>
    </row>
    <row r="3" spans="1:10" ht="15.75" x14ac:dyDescent="0.25">
      <c r="A3" s="6" t="s">
        <v>116</v>
      </c>
    </row>
    <row r="4" spans="1:10" x14ac:dyDescent="0.25">
      <c r="A4" t="s">
        <v>9</v>
      </c>
      <c r="B4" s="5">
        <v>0.64263006338899198</v>
      </c>
    </row>
    <row r="5" spans="1:10" x14ac:dyDescent="0.25">
      <c r="A5" t="s">
        <v>10</v>
      </c>
      <c r="B5" s="5">
        <v>0.68697722567287778</v>
      </c>
    </row>
    <row r="6" spans="1:10" x14ac:dyDescent="0.25">
      <c r="A6" t="s">
        <v>11</v>
      </c>
      <c r="B6" s="5">
        <v>0.71522946857201253</v>
      </c>
    </row>
    <row r="7" spans="1:10" x14ac:dyDescent="0.25">
      <c r="A7" t="s">
        <v>12</v>
      </c>
      <c r="B7" s="5">
        <v>0.76445786427386186</v>
      </c>
    </row>
    <row r="8" spans="1:10" x14ac:dyDescent="0.25">
      <c r="A8" t="s">
        <v>13</v>
      </c>
      <c r="B8" s="4">
        <v>0.112832086749091</v>
      </c>
    </row>
    <row r="9" spans="1:10" x14ac:dyDescent="0.25">
      <c r="A9" t="s">
        <v>14</v>
      </c>
      <c r="B9" s="4">
        <v>0.53499107956067182</v>
      </c>
    </row>
    <row r="10" spans="1:10" x14ac:dyDescent="0.25">
      <c r="A10" t="s">
        <v>117</v>
      </c>
      <c r="B10" s="4">
        <v>0.31057971014492758</v>
      </c>
    </row>
    <row r="11" spans="1:10" x14ac:dyDescent="0.25">
      <c r="A11" t="s">
        <v>118</v>
      </c>
      <c r="B11" s="4">
        <v>0.46086956521739131</v>
      </c>
    </row>
    <row r="12" spans="1:10" x14ac:dyDescent="0.25">
      <c r="A12" t="s">
        <v>17</v>
      </c>
      <c r="B12" s="7">
        <v>11.52793571223383</v>
      </c>
    </row>
    <row r="15" spans="1:10" ht="15.75" x14ac:dyDescent="0.25">
      <c r="A15" s="6" t="s">
        <v>119</v>
      </c>
    </row>
    <row r="16" spans="1:10" x14ac:dyDescent="0.25">
      <c r="A16" s="8" t="s">
        <v>120</v>
      </c>
      <c r="B16" s="8" t="s">
        <v>121</v>
      </c>
      <c r="C16" s="8" t="s">
        <v>122</v>
      </c>
      <c r="D16" s="8" t="s">
        <v>123</v>
      </c>
      <c r="E16" s="8" t="s">
        <v>124</v>
      </c>
      <c r="F16" s="8" t="s">
        <v>125</v>
      </c>
      <c r="G16" s="8" t="s">
        <v>126</v>
      </c>
      <c r="H16" s="8" t="s">
        <v>117</v>
      </c>
      <c r="I16" s="8" t="s">
        <v>118</v>
      </c>
      <c r="J16" s="8" t="s">
        <v>127</v>
      </c>
    </row>
    <row r="17" spans="1:10" x14ac:dyDescent="0.25">
      <c r="A17" t="s">
        <v>20</v>
      </c>
      <c r="B17" s="7">
        <v>0.59093915343915338</v>
      </c>
      <c r="C17" s="7">
        <v>0.56388888888888888</v>
      </c>
      <c r="D17" s="7">
        <v>0.52268518515517559</v>
      </c>
      <c r="E17" s="7">
        <v>0.68328176857947109</v>
      </c>
      <c r="F17" s="7">
        <v>4.9041005229979083E-2</v>
      </c>
      <c r="G17" s="7">
        <v>0.53057324286092822</v>
      </c>
      <c r="H17" s="7">
        <v>0.1041666666666667</v>
      </c>
      <c r="I17" s="7">
        <v>0.16666666666666671</v>
      </c>
      <c r="J17" s="7">
        <v>14.979521771272021</v>
      </c>
    </row>
    <row r="18" spans="1:10" x14ac:dyDescent="0.25">
      <c r="A18" t="s">
        <v>46</v>
      </c>
      <c r="B18" s="7">
        <v>0.64320987654320982</v>
      </c>
      <c r="C18" s="7">
        <v>0.61111111111111116</v>
      </c>
      <c r="D18" s="7">
        <v>0.66712962959821376</v>
      </c>
      <c r="E18" s="7">
        <v>0.81153205396113237</v>
      </c>
      <c r="F18" s="7">
        <v>0.1905643735522263</v>
      </c>
      <c r="G18" s="7">
        <v>0.40356268675483631</v>
      </c>
      <c r="H18" s="7">
        <v>0.61111111111111116</v>
      </c>
      <c r="I18" s="7">
        <v>0.77777777777777779</v>
      </c>
      <c r="J18" s="7">
        <v>10.625456121232769</v>
      </c>
    </row>
    <row r="19" spans="1:10" x14ac:dyDescent="0.25">
      <c r="A19" t="s">
        <v>77</v>
      </c>
      <c r="B19" s="7">
        <v>0.59936507936507932</v>
      </c>
      <c r="C19" s="7">
        <v>0.62952380952380949</v>
      </c>
      <c r="D19" s="7">
        <v>0.68999999997788897</v>
      </c>
      <c r="E19" s="7">
        <v>0.77147495159164226</v>
      </c>
      <c r="F19" s="7">
        <v>0.1252972298789079</v>
      </c>
      <c r="G19" s="7">
        <v>0.42938223995882391</v>
      </c>
      <c r="H19" s="7">
        <v>0.26</v>
      </c>
      <c r="I19" s="7">
        <v>0.53333333333333333</v>
      </c>
      <c r="J19" s="7">
        <v>10.5272546450297</v>
      </c>
    </row>
    <row r="20" spans="1:10" x14ac:dyDescent="0.25">
      <c r="A20" t="s">
        <v>76</v>
      </c>
      <c r="B20" s="7">
        <v>0.9</v>
      </c>
      <c r="C20" s="7">
        <v>0.9</v>
      </c>
      <c r="D20" s="7">
        <v>0.99999999997400002</v>
      </c>
      <c r="E20" s="7">
        <v>0.79588336736326415</v>
      </c>
      <c r="F20" s="7">
        <v>6.9999999917499986E-2</v>
      </c>
      <c r="G20" s="7">
        <v>0.66223837253788176</v>
      </c>
      <c r="H20" s="7">
        <v>0.36666666666666659</v>
      </c>
      <c r="I20" s="7">
        <v>0.8</v>
      </c>
      <c r="J20" s="7">
        <v>13.965163803100589</v>
      </c>
    </row>
    <row r="21" spans="1:10" x14ac:dyDescent="0.25">
      <c r="A21" t="s">
        <v>59</v>
      </c>
      <c r="B21" s="7">
        <v>0.48333333333333328</v>
      </c>
      <c r="C21" s="7">
        <v>0.66666666666666663</v>
      </c>
      <c r="D21" s="7">
        <v>0.99999999994888888</v>
      </c>
      <c r="E21" s="7">
        <v>0.8159067103026908</v>
      </c>
      <c r="F21" s="7">
        <v>0.12169312154278999</v>
      </c>
      <c r="G21" s="7">
        <v>0.55107461282597503</v>
      </c>
      <c r="H21" s="7">
        <v>0</v>
      </c>
      <c r="I21" s="7">
        <v>0</v>
      </c>
      <c r="J21" s="7">
        <v>11.264041344324751</v>
      </c>
    </row>
    <row r="22" spans="1:10" x14ac:dyDescent="0.25">
      <c r="A22" t="s">
        <v>38</v>
      </c>
      <c r="B22" s="7">
        <v>0.7176870748299321</v>
      </c>
      <c r="C22" s="7">
        <v>0.5714285714285714</v>
      </c>
      <c r="D22" s="7">
        <v>0.69047619045690478</v>
      </c>
      <c r="E22" s="7">
        <v>0.69565471284756342</v>
      </c>
      <c r="F22" s="7">
        <v>0.16098901077698649</v>
      </c>
      <c r="G22" s="7">
        <v>0.48276925164897783</v>
      </c>
      <c r="H22" s="7">
        <v>0.35714285714285721</v>
      </c>
      <c r="I22" s="7">
        <v>0.42857142857142849</v>
      </c>
      <c r="J22" s="7">
        <v>8.9927342278616766</v>
      </c>
    </row>
    <row r="23" spans="1:10" x14ac:dyDescent="0.25">
      <c r="A23" t="s">
        <v>94</v>
      </c>
      <c r="B23" s="7">
        <v>0.63860610715449428</v>
      </c>
      <c r="C23" s="7">
        <v>0.65115207373271877</v>
      </c>
      <c r="D23" s="7">
        <v>0.75568996413036482</v>
      </c>
      <c r="E23" s="7">
        <v>0.77977188256323204</v>
      </c>
      <c r="F23" s="7">
        <v>7.0322956484434429E-2</v>
      </c>
      <c r="G23" s="7">
        <v>0.53581011700253334</v>
      </c>
      <c r="H23" s="7">
        <v>0.30107526881720431</v>
      </c>
      <c r="I23" s="7">
        <v>0.41935483870967738</v>
      </c>
      <c r="J23" s="7">
        <v>12.716946225012499</v>
      </c>
    </row>
    <row r="24" spans="1:10" x14ac:dyDescent="0.25">
      <c r="A24" t="s">
        <v>53</v>
      </c>
      <c r="B24" s="7">
        <v>0.72058823529411775</v>
      </c>
      <c r="C24" s="7">
        <v>0.80263157894736847</v>
      </c>
      <c r="D24" s="7">
        <v>0.72178362570531551</v>
      </c>
      <c r="E24" s="7">
        <v>0.77245008731331755</v>
      </c>
      <c r="F24" s="7">
        <v>0.19853479816510411</v>
      </c>
      <c r="G24" s="7">
        <v>0.53290007534133665</v>
      </c>
      <c r="H24" s="7">
        <v>0.3771929824561403</v>
      </c>
      <c r="I24" s="7">
        <v>0.47368421052631582</v>
      </c>
      <c r="J24" s="7">
        <v>9.323980080453973</v>
      </c>
    </row>
    <row r="25" spans="1:10" x14ac:dyDescent="0.25">
      <c r="A25" t="s">
        <v>65</v>
      </c>
      <c r="B25" s="7">
        <v>0.54487179487179493</v>
      </c>
      <c r="C25" s="7">
        <v>0.81122448979591844</v>
      </c>
      <c r="D25" s="7">
        <v>0.68938492060784129</v>
      </c>
      <c r="E25" s="7">
        <v>0.7636543166389328</v>
      </c>
      <c r="F25" s="7">
        <v>7.1320346244488714E-2</v>
      </c>
      <c r="G25" s="7">
        <v>0.71466299526400989</v>
      </c>
      <c r="H25" s="7">
        <v>0.30238095238095242</v>
      </c>
      <c r="I25" s="7">
        <v>0.5</v>
      </c>
      <c r="J25" s="7">
        <v>11.033741695540289</v>
      </c>
    </row>
    <row r="28" spans="1:10" ht="15.75" x14ac:dyDescent="0.25">
      <c r="A28" s="6" t="s">
        <v>128</v>
      </c>
    </row>
    <row r="29" spans="1:10" x14ac:dyDescent="0.25">
      <c r="A29" s="8" t="s">
        <v>129</v>
      </c>
      <c r="B29" s="8" t="s">
        <v>121</v>
      </c>
      <c r="C29" s="8" t="s">
        <v>122</v>
      </c>
      <c r="D29" s="8" t="s">
        <v>123</v>
      </c>
      <c r="E29" s="8" t="s">
        <v>124</v>
      </c>
      <c r="F29" s="8" t="s">
        <v>125</v>
      </c>
      <c r="G29" s="8" t="s">
        <v>126</v>
      </c>
      <c r="H29" s="8" t="s">
        <v>117</v>
      </c>
      <c r="I29" s="8" t="s">
        <v>118</v>
      </c>
      <c r="J29" s="8" t="s">
        <v>127</v>
      </c>
    </row>
    <row r="30" spans="1:10" x14ac:dyDescent="0.25">
      <c r="A30" t="s">
        <v>130</v>
      </c>
      <c r="B30" s="7">
        <v>0.68468013468013467</v>
      </c>
      <c r="C30" s="7">
        <v>0.69444444444444453</v>
      </c>
      <c r="D30" s="7">
        <v>0.7124158248813337</v>
      </c>
      <c r="E30" s="7">
        <v>0.76214763897332782</v>
      </c>
      <c r="F30" s="7">
        <v>0.13838198807263191</v>
      </c>
      <c r="G30" s="7">
        <v>0.62369426178181597</v>
      </c>
      <c r="H30" s="7">
        <v>0.31919191919191919</v>
      </c>
      <c r="I30" s="7">
        <v>0.48484848484848492</v>
      </c>
      <c r="J30" s="7">
        <v>10.4357247208104</v>
      </c>
    </row>
    <row r="31" spans="1:10" x14ac:dyDescent="0.25">
      <c r="A31" t="s">
        <v>131</v>
      </c>
      <c r="B31" s="7">
        <v>0.6246572871572873</v>
      </c>
      <c r="C31" s="7">
        <v>0.6590476190476191</v>
      </c>
      <c r="D31" s="7">
        <v>0.67506944442152139</v>
      </c>
      <c r="E31" s="7">
        <v>0.76146998947149525</v>
      </c>
      <c r="F31" s="7">
        <v>9.0421014074411568E-2</v>
      </c>
      <c r="G31" s="7">
        <v>0.44899743649121843</v>
      </c>
      <c r="H31" s="7">
        <v>0.32194444444444442</v>
      </c>
      <c r="I31" s="7">
        <v>0.46666666666666667</v>
      </c>
      <c r="J31" s="7">
        <v>12.36574467817942</v>
      </c>
    </row>
    <row r="32" spans="1:10" x14ac:dyDescent="0.25">
      <c r="A32" t="s">
        <v>132</v>
      </c>
      <c r="B32" s="7">
        <v>0.62619047619047619</v>
      </c>
      <c r="C32" s="7">
        <v>0.75194805194805203</v>
      </c>
      <c r="D32" s="7">
        <v>0.82897727270027921</v>
      </c>
      <c r="E32" s="7">
        <v>0.77607195168566312</v>
      </c>
      <c r="F32" s="7">
        <v>0.13562834205835991</v>
      </c>
      <c r="G32" s="7">
        <v>0.63646442369110201</v>
      </c>
      <c r="H32" s="7">
        <v>0.26666666666666672</v>
      </c>
      <c r="I32" s="7">
        <v>0.40909090909090912</v>
      </c>
      <c r="J32" s="7">
        <v>10.881318655881021</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Human Details</vt:lpstr>
      <vt:lpstr>Human Erläuterungen</vt:lpstr>
      <vt:lpstr>LLM-As-Judge Details</vt:lpstr>
      <vt:lpstr>LLM-As-Judge 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2026-01-10T11:53:46Z</dcterms:created>
  <dcterms:modified xsi:type="dcterms:W3CDTF">2026-01-11T12:48:29Z</dcterms:modified>
</cp:coreProperties>
</file>