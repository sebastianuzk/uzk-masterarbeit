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-Köln\Masterarbeit\Software\uzk-masterarbeit\src\evaluation\data\"/>
    </mc:Choice>
  </mc:AlternateContent>
  <xr:revisionPtr revIDLastSave="0" documentId="13_ncr:1_{D38FD6E6-4BDD-4FB9-9C45-085677519544}" xr6:coauthVersionLast="47" xr6:coauthVersionMax="47" xr10:uidLastSave="{00000000-0000-0000-0000-000000000000}"/>
  <bookViews>
    <workbookView xWindow="-120" yWindow="-120" windowWidth="29040" windowHeight="15840" activeTab="1" xr2:uid="{D3F11DAE-F554-4455-8ED3-B07E6EB1D3EC}"/>
  </bookViews>
  <sheets>
    <sheet name="naive max_size" sheetId="1" r:id="rId1"/>
    <sheet name="gpt_naive max_size" sheetId="5" r:id="rId2"/>
    <sheet name="naive overlap" sheetId="2" r:id="rId3"/>
    <sheet name="semantic percentile" sheetId="3" r:id="rId4"/>
    <sheet name="semantic min_size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5" l="1"/>
  <c r="E48" i="5"/>
  <c r="E47" i="5"/>
  <c r="E46" i="5"/>
  <c r="F46" i="5" s="1"/>
  <c r="G46" i="5" s="1"/>
  <c r="E45" i="5"/>
  <c r="E44" i="5"/>
  <c r="E43" i="5"/>
  <c r="E42" i="5"/>
  <c r="E41" i="5"/>
  <c r="E35" i="5"/>
  <c r="E34" i="5"/>
  <c r="E33" i="5"/>
  <c r="F33" i="5" s="1"/>
  <c r="G33" i="5" s="1"/>
  <c r="E32" i="5"/>
  <c r="E31" i="5"/>
  <c r="E30" i="5"/>
  <c r="E29" i="5"/>
  <c r="E28" i="5"/>
  <c r="E27" i="5"/>
  <c r="E23" i="5"/>
  <c r="F23" i="5" s="1"/>
  <c r="E22" i="5"/>
  <c r="E21" i="5"/>
  <c r="E20" i="5"/>
  <c r="E19" i="5"/>
  <c r="E18" i="5"/>
  <c r="E17" i="5"/>
  <c r="E16" i="5"/>
  <c r="E15" i="5"/>
  <c r="E11" i="5"/>
  <c r="E10" i="5"/>
  <c r="E9" i="5"/>
  <c r="E8" i="5"/>
  <c r="F32" i="5" s="1"/>
  <c r="G32" i="5" s="1"/>
  <c r="E7" i="5"/>
  <c r="E6" i="5"/>
  <c r="F18" i="5" s="1"/>
  <c r="G18" i="5" s="1"/>
  <c r="E5" i="5"/>
  <c r="E4" i="5"/>
  <c r="E3" i="5"/>
  <c r="N47" i="3"/>
  <c r="N48" i="3"/>
  <c r="N49" i="3"/>
  <c r="N50" i="3"/>
  <c r="N51" i="3"/>
  <c r="N52" i="3"/>
  <c r="N53" i="3"/>
  <c r="N54" i="3"/>
  <c r="N46" i="3"/>
  <c r="M54" i="3"/>
  <c r="M53" i="3"/>
  <c r="M52" i="3"/>
  <c r="M51" i="3"/>
  <c r="O51" i="3" s="1"/>
  <c r="M50" i="3"/>
  <c r="O50" i="3" s="1"/>
  <c r="M49" i="3"/>
  <c r="O49" i="3" s="1"/>
  <c r="M48" i="3"/>
  <c r="M47" i="3"/>
  <c r="M46" i="3"/>
  <c r="F54" i="3"/>
  <c r="F53" i="3"/>
  <c r="F52" i="3"/>
  <c r="F51" i="3"/>
  <c r="F50" i="3"/>
  <c r="F49" i="3"/>
  <c r="F48" i="3"/>
  <c r="F47" i="3"/>
  <c r="F46" i="3"/>
  <c r="E40" i="4"/>
  <c r="F40" i="4" s="1"/>
  <c r="E39" i="4"/>
  <c r="F39" i="4" s="1"/>
  <c r="G39" i="4" s="1"/>
  <c r="E38" i="4"/>
  <c r="F38" i="4" s="1"/>
  <c r="G38" i="4" s="1"/>
  <c r="E37" i="4"/>
  <c r="F37" i="4" s="1"/>
  <c r="G37" i="4" s="1"/>
  <c r="E36" i="4"/>
  <c r="F36" i="4" s="1"/>
  <c r="G36" i="4" s="1"/>
  <c r="E35" i="4"/>
  <c r="F35" i="4" s="1"/>
  <c r="G35" i="4" s="1"/>
  <c r="E34" i="4"/>
  <c r="F34" i="4" s="1"/>
  <c r="G34" i="4" s="1"/>
  <c r="E33" i="4"/>
  <c r="F33" i="4" s="1"/>
  <c r="G33" i="4" s="1"/>
  <c r="E32" i="4"/>
  <c r="F32" i="4" s="1"/>
  <c r="G32" i="4" s="1"/>
  <c r="E26" i="4"/>
  <c r="F26" i="4" s="1"/>
  <c r="E25" i="4"/>
  <c r="F25" i="4" s="1"/>
  <c r="G25" i="4" s="1"/>
  <c r="E24" i="4"/>
  <c r="F24" i="4" s="1"/>
  <c r="G24" i="4" s="1"/>
  <c r="E23" i="4"/>
  <c r="F23" i="4" s="1"/>
  <c r="G23" i="4" s="1"/>
  <c r="E22" i="4"/>
  <c r="F22" i="4" s="1"/>
  <c r="G22" i="4" s="1"/>
  <c r="E21" i="4"/>
  <c r="F21" i="4" s="1"/>
  <c r="G21" i="4" s="1"/>
  <c r="E20" i="4"/>
  <c r="F20" i="4" s="1"/>
  <c r="G20" i="4" s="1"/>
  <c r="E19" i="4"/>
  <c r="F19" i="4" s="1"/>
  <c r="G19" i="4" s="1"/>
  <c r="E18" i="4"/>
  <c r="F18" i="4" s="1"/>
  <c r="G18" i="4" s="1"/>
  <c r="E12" i="4"/>
  <c r="E11" i="4"/>
  <c r="E10" i="4"/>
  <c r="E9" i="4"/>
  <c r="E8" i="4"/>
  <c r="E7" i="4"/>
  <c r="E6" i="4"/>
  <c r="E5" i="4"/>
  <c r="E4" i="4"/>
  <c r="E26" i="3"/>
  <c r="E25" i="3"/>
  <c r="E24" i="3"/>
  <c r="E23" i="3"/>
  <c r="F23" i="3" s="1"/>
  <c r="G23" i="3" s="1"/>
  <c r="E22" i="3"/>
  <c r="F22" i="3" s="1"/>
  <c r="G22" i="3" s="1"/>
  <c r="E21" i="3"/>
  <c r="F21" i="3" s="1"/>
  <c r="G21" i="3" s="1"/>
  <c r="E20" i="3"/>
  <c r="E19" i="3"/>
  <c r="E18" i="3"/>
  <c r="E67" i="3"/>
  <c r="E66" i="3"/>
  <c r="E65" i="3"/>
  <c r="E64" i="3"/>
  <c r="E63" i="3"/>
  <c r="E62" i="3"/>
  <c r="E61" i="3"/>
  <c r="E60" i="3"/>
  <c r="E59" i="3"/>
  <c r="E40" i="3"/>
  <c r="E39" i="3"/>
  <c r="E38" i="3"/>
  <c r="E37" i="3"/>
  <c r="E36" i="3"/>
  <c r="E35" i="3"/>
  <c r="E34" i="3"/>
  <c r="E33" i="3"/>
  <c r="E32" i="3"/>
  <c r="E54" i="3"/>
  <c r="E53" i="3"/>
  <c r="E52" i="3"/>
  <c r="E51" i="3"/>
  <c r="E50" i="3"/>
  <c r="E49" i="3"/>
  <c r="E48" i="3"/>
  <c r="E47" i="3"/>
  <c r="E46" i="3"/>
  <c r="E12" i="3"/>
  <c r="E11" i="3"/>
  <c r="E10" i="3"/>
  <c r="E9" i="3"/>
  <c r="E8" i="3"/>
  <c r="E7" i="3"/>
  <c r="G49" i="3" s="1"/>
  <c r="E6" i="3"/>
  <c r="G48" i="3" s="1"/>
  <c r="E5" i="3"/>
  <c r="E4" i="3"/>
  <c r="E37" i="2"/>
  <c r="F37" i="2" s="1"/>
  <c r="E36" i="2"/>
  <c r="F36" i="2" s="1"/>
  <c r="G36" i="2" s="1"/>
  <c r="E35" i="2"/>
  <c r="F35" i="2" s="1"/>
  <c r="G35" i="2" s="1"/>
  <c r="E34" i="2"/>
  <c r="F34" i="2" s="1"/>
  <c r="G34" i="2" s="1"/>
  <c r="E33" i="2"/>
  <c r="F33" i="2" s="1"/>
  <c r="G33" i="2" s="1"/>
  <c r="E32" i="2"/>
  <c r="F32" i="2" s="1"/>
  <c r="G32" i="2" s="1"/>
  <c r="E31" i="2"/>
  <c r="F31" i="2" s="1"/>
  <c r="G31" i="2" s="1"/>
  <c r="E30" i="2"/>
  <c r="F30" i="2" s="1"/>
  <c r="G30" i="2" s="1"/>
  <c r="E29" i="2"/>
  <c r="F29" i="2" s="1"/>
  <c r="G29" i="2" s="1"/>
  <c r="E24" i="2"/>
  <c r="F24" i="2" s="1"/>
  <c r="E23" i="2"/>
  <c r="F23" i="2" s="1"/>
  <c r="G23" i="2" s="1"/>
  <c r="E22" i="2"/>
  <c r="F22" i="2" s="1"/>
  <c r="G22" i="2" s="1"/>
  <c r="E21" i="2"/>
  <c r="F21" i="2" s="1"/>
  <c r="G21" i="2" s="1"/>
  <c r="E20" i="2"/>
  <c r="F20" i="2" s="1"/>
  <c r="G20" i="2" s="1"/>
  <c r="E19" i="2"/>
  <c r="F19" i="2" s="1"/>
  <c r="G19" i="2" s="1"/>
  <c r="E18" i="2"/>
  <c r="F18" i="2" s="1"/>
  <c r="G18" i="2" s="1"/>
  <c r="E17" i="2"/>
  <c r="F17" i="2" s="1"/>
  <c r="G17" i="2" s="1"/>
  <c r="E16" i="2"/>
  <c r="F16" i="2" s="1"/>
  <c r="G16" i="2" s="1"/>
  <c r="E11" i="2"/>
  <c r="E10" i="2"/>
  <c r="E9" i="2"/>
  <c r="E8" i="2"/>
  <c r="E7" i="2"/>
  <c r="E6" i="2"/>
  <c r="E5" i="2"/>
  <c r="E4" i="2"/>
  <c r="E3" i="2"/>
  <c r="I16" i="1"/>
  <c r="I17" i="1"/>
  <c r="I18" i="1"/>
  <c r="I19" i="1"/>
  <c r="I20" i="1"/>
  <c r="I21" i="1"/>
  <c r="I22" i="1"/>
  <c r="I15" i="1"/>
  <c r="H16" i="1"/>
  <c r="H17" i="1"/>
  <c r="H18" i="1"/>
  <c r="H19" i="1"/>
  <c r="H20" i="1"/>
  <c r="H21" i="1"/>
  <c r="H22" i="1"/>
  <c r="H23" i="1"/>
  <c r="H15" i="1"/>
  <c r="E15" i="1"/>
  <c r="F15" i="1" s="1"/>
  <c r="G15" i="1" s="1"/>
  <c r="E35" i="1"/>
  <c r="F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F47" i="1"/>
  <c r="E23" i="1"/>
  <c r="F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42" i="1"/>
  <c r="E43" i="1"/>
  <c r="F43" i="1" s="1"/>
  <c r="E44" i="1"/>
  <c r="E45" i="1"/>
  <c r="F45" i="1" s="1"/>
  <c r="E46" i="1"/>
  <c r="F46" i="1" s="1"/>
  <c r="E47" i="1"/>
  <c r="E48" i="1"/>
  <c r="E49" i="1"/>
  <c r="F49" i="1" s="1"/>
  <c r="E41" i="1"/>
  <c r="F41" i="1" s="1"/>
  <c r="E4" i="1"/>
  <c r="E5" i="1"/>
  <c r="E6" i="1"/>
  <c r="F44" i="1" s="1"/>
  <c r="E7" i="1"/>
  <c r="E8" i="1"/>
  <c r="E9" i="1"/>
  <c r="E10" i="1"/>
  <c r="F48" i="1" s="1"/>
  <c r="E11" i="1"/>
  <c r="E3" i="1"/>
  <c r="F49" i="5" l="1"/>
  <c r="F48" i="5"/>
  <c r="G48" i="5" s="1"/>
  <c r="F47" i="5"/>
  <c r="G47" i="5" s="1"/>
  <c r="F20" i="5"/>
  <c r="G20" i="5" s="1"/>
  <c r="F31" i="5"/>
  <c r="G31" i="5" s="1"/>
  <c r="F43" i="5"/>
  <c r="G43" i="5" s="1"/>
  <c r="F21" i="5"/>
  <c r="G21" i="5" s="1"/>
  <c r="F44" i="5"/>
  <c r="G44" i="5" s="1"/>
  <c r="F22" i="5"/>
  <c r="G22" i="5" s="1"/>
  <c r="F45" i="5"/>
  <c r="G45" i="5" s="1"/>
  <c r="F16" i="5"/>
  <c r="G16" i="5" s="1"/>
  <c r="F27" i="5"/>
  <c r="G27" i="5" s="1"/>
  <c r="F34" i="5"/>
  <c r="G34" i="5" s="1"/>
  <c r="F17" i="5"/>
  <c r="G17" i="5" s="1"/>
  <c r="F28" i="5"/>
  <c r="G28" i="5" s="1"/>
  <c r="F35" i="5"/>
  <c r="F15" i="5"/>
  <c r="G15" i="5" s="1"/>
  <c r="F29" i="5"/>
  <c r="G29" i="5" s="1"/>
  <c r="F41" i="5"/>
  <c r="G41" i="5" s="1"/>
  <c r="F19" i="5"/>
  <c r="G19" i="5" s="1"/>
  <c r="F30" i="5"/>
  <c r="G30" i="5" s="1"/>
  <c r="F42" i="5"/>
  <c r="G42" i="5" s="1"/>
  <c r="O52" i="3"/>
  <c r="O53" i="3"/>
  <c r="O47" i="3"/>
  <c r="O48" i="3"/>
  <c r="O46" i="3"/>
  <c r="G46" i="3"/>
  <c r="F24" i="3"/>
  <c r="G24" i="3" s="1"/>
  <c r="F18" i="3"/>
  <c r="G18" i="3" s="1"/>
  <c r="F25" i="3"/>
  <c r="G25" i="3" s="1"/>
  <c r="F19" i="3"/>
  <c r="G19" i="3" s="1"/>
  <c r="F26" i="3"/>
  <c r="G52" i="3"/>
  <c r="F20" i="3"/>
  <c r="G20" i="3" s="1"/>
  <c r="G51" i="3"/>
  <c r="F62" i="3"/>
  <c r="G62" i="3" s="1"/>
  <c r="F61" i="3"/>
  <c r="G61" i="3" s="1"/>
  <c r="G53" i="3"/>
  <c r="F63" i="3"/>
  <c r="G63" i="3" s="1"/>
  <c r="F66" i="3"/>
  <c r="G66" i="3" s="1"/>
  <c r="G50" i="3"/>
  <c r="F60" i="3"/>
  <c r="G60" i="3" s="1"/>
  <c r="F64" i="3"/>
  <c r="G64" i="3" s="1"/>
  <c r="G47" i="3"/>
  <c r="F65" i="3"/>
  <c r="G65" i="3" s="1"/>
  <c r="F59" i="3"/>
  <c r="G59" i="3" s="1"/>
  <c r="F67" i="3"/>
  <c r="F40" i="3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32" i="3"/>
  <c r="G32" i="3" s="1"/>
  <c r="F33" i="3"/>
  <c r="G33" i="3" s="1"/>
  <c r="G43" i="1"/>
  <c r="F42" i="1"/>
  <c r="G42" i="1" s="1"/>
  <c r="G45" i="1"/>
  <c r="G41" i="1"/>
  <c r="G44" i="1"/>
  <c r="G48" i="1"/>
  <c r="G47" i="1"/>
  <c r="G46" i="1"/>
</calcChain>
</file>

<file path=xl/sharedStrings.xml><?xml version="1.0" encoding="utf-8"?>
<sst xmlns="http://schemas.openxmlformats.org/spreadsheetml/2006/main" count="339" uniqueCount="21">
  <si>
    <t>run1</t>
  </si>
  <si>
    <t>run2</t>
  </si>
  <si>
    <t>run3</t>
  </si>
  <si>
    <t>durchschnitt</t>
  </si>
  <si>
    <t>faithfulness</t>
  </si>
  <si>
    <t>context_recall</t>
  </si>
  <si>
    <t>context_precision</t>
  </si>
  <si>
    <t>semantic_similarity</t>
  </si>
  <si>
    <t>context_entity_recall</t>
  </si>
  <si>
    <t>answer_relevancy</t>
  </si>
  <si>
    <t>MRR@5</t>
  </si>
  <si>
    <t>Hit@5</t>
  </si>
  <si>
    <t>latency</t>
  </si>
  <si>
    <t>Differenz</t>
  </si>
  <si>
    <t>in %</t>
  </si>
  <si>
    <t>zu 1500</t>
  </si>
  <si>
    <t>-</t>
  </si>
  <si>
    <t>+</t>
  </si>
  <si>
    <t>naive</t>
  </si>
  <si>
    <t>semantic</t>
  </si>
  <si>
    <t>differenz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</si>
</sst>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A45F-A104-431D-A20F-223D7510156E}">
  <dimension ref="A1:J49"/>
  <sheetViews>
    <sheetView topLeftCell="A4" workbookViewId="0">
      <selection activeCell="H26" sqref="H26"/>
    </sheetView>
  </sheetViews>
  <sheetFormatPr baseColWidth="10" defaultRowHeight="15" x14ac:dyDescent="0.25"/>
  <cols>
    <col min="1" max="1" width="18.85546875" bestFit="1" customWidth="1"/>
  </cols>
  <sheetData>
    <row r="1" spans="1:10" x14ac:dyDescent="0.25">
      <c r="A1">
        <v>1000</v>
      </c>
      <c r="B1">
        <v>300</v>
      </c>
    </row>
    <row r="2" spans="1:10" x14ac:dyDescent="0.25">
      <c r="B2" t="s">
        <v>0</v>
      </c>
      <c r="C2" t="s">
        <v>1</v>
      </c>
      <c r="D2" t="s">
        <v>2</v>
      </c>
      <c r="E2" t="s">
        <v>3</v>
      </c>
    </row>
    <row r="3" spans="1:10" x14ac:dyDescent="0.25">
      <c r="A3" t="s">
        <v>4</v>
      </c>
      <c r="B3" s="3">
        <v>0.60699999999999998</v>
      </c>
      <c r="C3" s="3">
        <v>0.629</v>
      </c>
      <c r="D3" s="3">
        <v>0.66900000000000004</v>
      </c>
      <c r="E3" s="2">
        <f>AVERAGE(B3:D3)</f>
        <v>0.63500000000000001</v>
      </c>
    </row>
    <row r="4" spans="1:10" x14ac:dyDescent="0.25">
      <c r="A4" t="s">
        <v>5</v>
      </c>
      <c r="B4">
        <v>0.61599999999999999</v>
      </c>
      <c r="C4">
        <v>0.63500000000000001</v>
      </c>
      <c r="D4">
        <v>0.60899999999999999</v>
      </c>
      <c r="E4" s="2">
        <f t="shared" ref="E4:E11" si="0">AVERAGE(B4:D4)</f>
        <v>0.62</v>
      </c>
    </row>
    <row r="5" spans="1:10" x14ac:dyDescent="0.25">
      <c r="A5" t="s">
        <v>6</v>
      </c>
      <c r="B5">
        <v>0.71799999999999997</v>
      </c>
      <c r="C5">
        <v>0.71699999999999997</v>
      </c>
      <c r="D5">
        <v>0.71299999999999997</v>
      </c>
      <c r="E5" s="2">
        <f t="shared" si="0"/>
        <v>0.71600000000000008</v>
      </c>
    </row>
    <row r="6" spans="1:10" x14ac:dyDescent="0.25">
      <c r="A6" t="s">
        <v>7</v>
      </c>
      <c r="B6">
        <v>0.76300000000000001</v>
      </c>
      <c r="C6">
        <v>0.75600000000000001</v>
      </c>
      <c r="D6">
        <v>0.75900000000000001</v>
      </c>
      <c r="E6" s="2">
        <f t="shared" si="0"/>
        <v>0.7593333333333333</v>
      </c>
    </row>
    <row r="7" spans="1:10" x14ac:dyDescent="0.25">
      <c r="A7" t="s">
        <v>8</v>
      </c>
      <c r="B7">
        <v>0.13</v>
      </c>
      <c r="C7">
        <v>0.13</v>
      </c>
      <c r="D7">
        <v>0.13400000000000001</v>
      </c>
      <c r="E7" s="2">
        <f t="shared" si="0"/>
        <v>0.13133333333333333</v>
      </c>
    </row>
    <row r="8" spans="1:10" x14ac:dyDescent="0.25">
      <c r="A8" t="s">
        <v>9</v>
      </c>
      <c r="B8">
        <v>0.56799999999999995</v>
      </c>
      <c r="C8">
        <v>0.60599999999999998</v>
      </c>
      <c r="D8">
        <v>0.58299999999999996</v>
      </c>
      <c r="E8" s="2">
        <f t="shared" si="0"/>
        <v>0.58566666666666667</v>
      </c>
    </row>
    <row r="9" spans="1:10" x14ac:dyDescent="0.25">
      <c r="A9" t="s">
        <v>10</v>
      </c>
      <c r="B9">
        <v>0.34399999999999997</v>
      </c>
      <c r="C9">
        <v>0.35</v>
      </c>
      <c r="D9">
        <v>0.23</v>
      </c>
      <c r="E9" s="2">
        <f t="shared" si="0"/>
        <v>0.308</v>
      </c>
    </row>
    <row r="10" spans="1:10" x14ac:dyDescent="0.25">
      <c r="A10" t="s">
        <v>11</v>
      </c>
      <c r="B10">
        <v>0.45700000000000002</v>
      </c>
      <c r="C10">
        <v>0.47399999999999998</v>
      </c>
      <c r="D10">
        <v>0.30399999999999999</v>
      </c>
      <c r="E10" s="2">
        <f t="shared" si="0"/>
        <v>0.41166666666666668</v>
      </c>
    </row>
    <row r="11" spans="1:10" x14ac:dyDescent="0.25">
      <c r="A11" t="s">
        <v>12</v>
      </c>
      <c r="B11" s="1">
        <v>34.784999999999997</v>
      </c>
      <c r="C11" s="1">
        <v>13.036</v>
      </c>
      <c r="D11" s="1">
        <v>47.48</v>
      </c>
      <c r="E11" s="2">
        <f t="shared" si="0"/>
        <v>31.766999999999996</v>
      </c>
    </row>
    <row r="13" spans="1:10" x14ac:dyDescent="0.25">
      <c r="A13">
        <v>1250</v>
      </c>
      <c r="B13">
        <v>300</v>
      </c>
    </row>
    <row r="14" spans="1:10" x14ac:dyDescent="0.25">
      <c r="B14" t="s">
        <v>0</v>
      </c>
      <c r="C14" t="s">
        <v>1</v>
      </c>
      <c r="D14" t="s">
        <v>2</v>
      </c>
      <c r="E14" t="s">
        <v>3</v>
      </c>
      <c r="F14" t="s">
        <v>13</v>
      </c>
      <c r="G14" t="s">
        <v>14</v>
      </c>
      <c r="H14" t="s">
        <v>15</v>
      </c>
      <c r="I14" t="s">
        <v>14</v>
      </c>
    </row>
    <row r="15" spans="1:10" x14ac:dyDescent="0.25">
      <c r="A15" t="s">
        <v>4</v>
      </c>
      <c r="B15">
        <v>0.65040001787789381</v>
      </c>
      <c r="C15">
        <v>0.64034976822587431</v>
      </c>
      <c r="D15">
        <v>0.67240834386852077</v>
      </c>
      <c r="E15">
        <f>AVERAGE(B15:D15)</f>
        <v>0.65438604332409633</v>
      </c>
      <c r="F15">
        <f>E15-$E$3</f>
        <v>1.9386043324096325E-2</v>
      </c>
      <c r="G15">
        <f>F15*100</f>
        <v>1.9386043324096325</v>
      </c>
      <c r="H15">
        <f>E15-E27</f>
        <v>1.8100629663682755E-2</v>
      </c>
      <c r="I15">
        <f>H15*100</f>
        <v>1.8100629663682755</v>
      </c>
      <c r="J15" t="s">
        <v>17</v>
      </c>
    </row>
    <row r="16" spans="1:10" x14ac:dyDescent="0.25">
      <c r="A16" t="s">
        <v>5</v>
      </c>
      <c r="B16">
        <v>0.66408045977011487</v>
      </c>
      <c r="C16">
        <v>0.66451149425287348</v>
      </c>
      <c r="D16">
        <v>0.65999999999999992</v>
      </c>
      <c r="E16">
        <f t="shared" ref="E16:E23" si="1">AVERAGE(B16:D16)</f>
        <v>0.6628639846743295</v>
      </c>
      <c r="F16">
        <f>E16-$E$4</f>
        <v>4.2863984674329503E-2</v>
      </c>
      <c r="G16">
        <f t="shared" ref="G16:G22" si="2">F16*100</f>
        <v>4.2863984674329503</v>
      </c>
      <c r="H16">
        <f t="shared" ref="H16:H23" si="3">E16-E28</f>
        <v>-3.131682968039784E-2</v>
      </c>
      <c r="I16">
        <f t="shared" ref="I16:I22" si="4">H16*100</f>
        <v>-3.131682968039784</v>
      </c>
      <c r="J16" t="s">
        <v>16</v>
      </c>
    </row>
    <row r="17" spans="1:10" x14ac:dyDescent="0.25">
      <c r="A17" t="s">
        <v>6</v>
      </c>
      <c r="B17">
        <v>0.65787835246914472</v>
      </c>
      <c r="C17">
        <v>0.66246408043756977</v>
      </c>
      <c r="D17">
        <v>0.66101449273140767</v>
      </c>
      <c r="E17">
        <f t="shared" si="1"/>
        <v>0.66045230854604076</v>
      </c>
      <c r="F17">
        <f>E17-$E$5</f>
        <v>-5.5547691453959325E-2</v>
      </c>
      <c r="G17">
        <f t="shared" si="2"/>
        <v>-5.554769145395932</v>
      </c>
      <c r="H17">
        <f t="shared" si="3"/>
        <v>-5.3736097242280123E-2</v>
      </c>
      <c r="I17">
        <f t="shared" si="4"/>
        <v>-5.3736097242280128</v>
      </c>
      <c r="J17" t="s">
        <v>16</v>
      </c>
    </row>
    <row r="18" spans="1:10" x14ac:dyDescent="0.25">
      <c r="A18" t="s">
        <v>7</v>
      </c>
      <c r="B18">
        <v>0.76358558102811269</v>
      </c>
      <c r="C18">
        <v>0.76358558102811269</v>
      </c>
      <c r="D18">
        <v>0.76358558102811269</v>
      </c>
      <c r="E18">
        <f t="shared" si="1"/>
        <v>0.76358558102811269</v>
      </c>
      <c r="F18">
        <f>E18-$E$6</f>
        <v>4.2522476947793875E-3</v>
      </c>
      <c r="G18">
        <f t="shared" si="2"/>
        <v>0.42522476947793875</v>
      </c>
      <c r="H18">
        <f t="shared" si="3"/>
        <v>2.375451686304153E-3</v>
      </c>
      <c r="I18">
        <f t="shared" si="4"/>
        <v>0.2375451686304153</v>
      </c>
    </row>
    <row r="19" spans="1:10" x14ac:dyDescent="0.25">
      <c r="A19" t="s">
        <v>8</v>
      </c>
      <c r="B19">
        <v>0.13669368470583701</v>
      </c>
      <c r="C19">
        <v>0.14197545499120501</v>
      </c>
      <c r="D19">
        <v>0.13999108624627049</v>
      </c>
      <c r="E19">
        <f t="shared" si="1"/>
        <v>0.13955340864777083</v>
      </c>
      <c r="F19">
        <f>E19-$E$7</f>
        <v>8.2200753144374972E-3</v>
      </c>
      <c r="G19">
        <f t="shared" si="2"/>
        <v>0.82200753144374972</v>
      </c>
      <c r="H19">
        <f t="shared" si="3"/>
        <v>2.0610990041821819E-2</v>
      </c>
      <c r="I19">
        <f t="shared" si="4"/>
        <v>2.0610990041821822</v>
      </c>
      <c r="J19" t="s">
        <v>17</v>
      </c>
    </row>
    <row r="20" spans="1:10" x14ac:dyDescent="0.25">
      <c r="A20" t="s">
        <v>9</v>
      </c>
      <c r="B20">
        <v>0.60434664323796838</v>
      </c>
      <c r="C20">
        <v>0.60455667750684317</v>
      </c>
      <c r="D20">
        <v>0.60592149549436569</v>
      </c>
      <c r="E20">
        <f t="shared" si="1"/>
        <v>0.60494160541305908</v>
      </c>
      <c r="F20">
        <f>E20-$E$8</f>
        <v>1.9274938746392412E-2</v>
      </c>
      <c r="G20">
        <f t="shared" si="2"/>
        <v>1.9274938746392412</v>
      </c>
      <c r="H20">
        <f t="shared" si="3"/>
        <v>6.486868167422577E-2</v>
      </c>
      <c r="I20">
        <f t="shared" si="4"/>
        <v>6.4868681674225765</v>
      </c>
      <c r="J20" t="s">
        <v>17</v>
      </c>
    </row>
    <row r="21" spans="1:10" x14ac:dyDescent="0.25">
      <c r="A21" t="s">
        <v>10</v>
      </c>
      <c r="B21">
        <v>0.31422413793103449</v>
      </c>
      <c r="C21">
        <v>0.31853448275862067</v>
      </c>
      <c r="D21">
        <v>0.3271551724137931</v>
      </c>
      <c r="E21">
        <f t="shared" si="1"/>
        <v>0.31997126436781609</v>
      </c>
      <c r="F21">
        <f>E21-$E$9</f>
        <v>1.1971264367816092E-2</v>
      </c>
      <c r="G21">
        <f t="shared" si="2"/>
        <v>1.1971264367816092</v>
      </c>
      <c r="H21">
        <f t="shared" si="3"/>
        <v>-3.5553056804930594E-3</v>
      </c>
      <c r="I21">
        <f t="shared" si="4"/>
        <v>-0.35553056804930594</v>
      </c>
    </row>
    <row r="22" spans="1:10" x14ac:dyDescent="0.25">
      <c r="A22" t="s">
        <v>11</v>
      </c>
      <c r="B22">
        <v>0.46551724137931028</v>
      </c>
      <c r="C22">
        <v>0.47413793103448282</v>
      </c>
      <c r="D22">
        <v>0.48275862068965519</v>
      </c>
      <c r="E22">
        <f t="shared" si="1"/>
        <v>0.47413793103448282</v>
      </c>
      <c r="F22">
        <f>E22-$E$10</f>
        <v>6.2471264367816137E-2</v>
      </c>
      <c r="G22">
        <f t="shared" si="2"/>
        <v>6.2471264367816133</v>
      </c>
      <c r="H22">
        <f t="shared" si="3"/>
        <v>-8.4852573713143364E-3</v>
      </c>
      <c r="I22">
        <f t="shared" si="4"/>
        <v>-0.84852573713143364</v>
      </c>
      <c r="J22" t="s">
        <v>16</v>
      </c>
    </row>
    <row r="23" spans="1:10" x14ac:dyDescent="0.25">
      <c r="A23" t="s">
        <v>12</v>
      </c>
      <c r="B23" s="1">
        <v>11.3045620609974</v>
      </c>
      <c r="C23">
        <v>11.271574879514761</v>
      </c>
      <c r="D23">
        <v>10.505874237109881</v>
      </c>
      <c r="E23">
        <f t="shared" si="1"/>
        <v>11.027337059207348</v>
      </c>
      <c r="F23">
        <f>E23-$E$11</f>
        <v>-20.739662940792648</v>
      </c>
      <c r="H23">
        <f t="shared" si="3"/>
        <v>-4.3462803443482603</v>
      </c>
    </row>
    <row r="25" spans="1:10" x14ac:dyDescent="0.25">
      <c r="A25">
        <v>1500</v>
      </c>
      <c r="B25">
        <v>300</v>
      </c>
    </row>
    <row r="26" spans="1:10" x14ac:dyDescent="0.25">
      <c r="B26" t="s">
        <v>0</v>
      </c>
      <c r="C26" t="s">
        <v>1</v>
      </c>
      <c r="D26" t="s">
        <v>2</v>
      </c>
      <c r="E26" t="s">
        <v>3</v>
      </c>
      <c r="F26" t="s">
        <v>13</v>
      </c>
      <c r="G26" t="s">
        <v>14</v>
      </c>
    </row>
    <row r="27" spans="1:10" x14ac:dyDescent="0.25">
      <c r="A27" t="s">
        <v>4</v>
      </c>
      <c r="B27">
        <v>0.63900000000000001</v>
      </c>
      <c r="C27">
        <v>0.63200000000000001</v>
      </c>
      <c r="D27">
        <v>0.63785624098124105</v>
      </c>
      <c r="E27">
        <f>AVERAGE(B27:D27)</f>
        <v>0.63628541366041358</v>
      </c>
      <c r="F27">
        <f>E27-$E$3</f>
        <v>1.2854136604135702E-3</v>
      </c>
      <c r="G27">
        <f>F27*100</f>
        <v>0.12854136604135702</v>
      </c>
      <c r="H27">
        <v>0</v>
      </c>
    </row>
    <row r="28" spans="1:10" x14ac:dyDescent="0.25">
      <c r="A28" t="s">
        <v>5</v>
      </c>
      <c r="B28">
        <v>0.69699999999999995</v>
      </c>
      <c r="C28">
        <v>0.69899999999999995</v>
      </c>
      <c r="D28">
        <v>0.68654244306418222</v>
      </c>
      <c r="E28">
        <f t="shared" ref="E28:E35" si="5">AVERAGE(B28:D28)</f>
        <v>0.69418081435472734</v>
      </c>
      <c r="F28">
        <f>E28-$E$4</f>
        <v>7.4180814354727342E-2</v>
      </c>
      <c r="G28">
        <f t="shared" ref="G28:G34" si="6">F28*100</f>
        <v>7.4180814354727342</v>
      </c>
      <c r="H28" t="s">
        <v>17</v>
      </c>
    </row>
    <row r="29" spans="1:10" x14ac:dyDescent="0.25">
      <c r="A29" t="s">
        <v>6</v>
      </c>
      <c r="B29">
        <v>0.72499999999999998</v>
      </c>
      <c r="C29">
        <v>0.71299999999999997</v>
      </c>
      <c r="D29">
        <v>0.70456521736496258</v>
      </c>
      <c r="E29">
        <f t="shared" si="5"/>
        <v>0.71418840578832088</v>
      </c>
      <c r="F29">
        <f>E29-$E$5</f>
        <v>-1.8115942116792016E-3</v>
      </c>
      <c r="G29">
        <f t="shared" si="6"/>
        <v>-0.18115942116792016</v>
      </c>
      <c r="H29">
        <v>0</v>
      </c>
    </row>
    <row r="30" spans="1:10" x14ac:dyDescent="0.25">
      <c r="A30" t="s">
        <v>7</v>
      </c>
      <c r="B30">
        <v>0.75600000000000001</v>
      </c>
      <c r="C30">
        <v>0.76400000000000001</v>
      </c>
      <c r="D30">
        <v>0.76363038802542538</v>
      </c>
      <c r="E30">
        <f t="shared" si="5"/>
        <v>0.76121012934180854</v>
      </c>
      <c r="F30">
        <f>E30-$E$6</f>
        <v>1.8767960084752344E-3</v>
      </c>
      <c r="G30">
        <f t="shared" si="6"/>
        <v>0.18767960084752344</v>
      </c>
      <c r="H30">
        <v>0</v>
      </c>
    </row>
    <row r="31" spans="1:10" x14ac:dyDescent="0.25">
      <c r="A31" t="s">
        <v>8</v>
      </c>
      <c r="B31">
        <v>0.12</v>
      </c>
      <c r="C31">
        <v>0.11600000000000001</v>
      </c>
      <c r="D31">
        <v>0.12082725581784701</v>
      </c>
      <c r="E31">
        <f t="shared" si="5"/>
        <v>0.11894241860594901</v>
      </c>
      <c r="F31">
        <f>E31-$E$7</f>
        <v>-1.2390914727384322E-2</v>
      </c>
      <c r="G31">
        <f t="shared" si="6"/>
        <v>-1.2390914727384321</v>
      </c>
      <c r="H31" t="s">
        <v>16</v>
      </c>
    </row>
    <row r="32" spans="1:10" x14ac:dyDescent="0.25">
      <c r="A32" t="s">
        <v>9</v>
      </c>
      <c r="B32">
        <v>0.54300000000000004</v>
      </c>
      <c r="C32">
        <v>0.53500000000000003</v>
      </c>
      <c r="D32">
        <v>0.54221877121649986</v>
      </c>
      <c r="E32">
        <f t="shared" si="5"/>
        <v>0.54007292373883331</v>
      </c>
      <c r="F32">
        <f>E32-$E$8</f>
        <v>-4.5593742927833358E-2</v>
      </c>
      <c r="G32">
        <f t="shared" si="6"/>
        <v>-4.5593742927833354</v>
      </c>
      <c r="H32" t="s">
        <v>16</v>
      </c>
    </row>
    <row r="33" spans="1:8" x14ac:dyDescent="0.25">
      <c r="A33" t="s">
        <v>10</v>
      </c>
      <c r="B33">
        <v>0.34899999999999998</v>
      </c>
      <c r="C33">
        <v>0.311</v>
      </c>
      <c r="D33">
        <v>0.31057971014492758</v>
      </c>
      <c r="E33">
        <f t="shared" si="5"/>
        <v>0.32352657004830915</v>
      </c>
      <c r="F33">
        <f>E33-$E$9</f>
        <v>1.5526570048309152E-2</v>
      </c>
      <c r="G33">
        <f t="shared" si="6"/>
        <v>1.5526570048309152</v>
      </c>
      <c r="H33" t="s">
        <v>17</v>
      </c>
    </row>
    <row r="34" spans="1:8" x14ac:dyDescent="0.25">
      <c r="A34" t="s">
        <v>11</v>
      </c>
      <c r="B34">
        <v>0.52600000000000002</v>
      </c>
      <c r="C34">
        <v>0.46100000000000002</v>
      </c>
      <c r="D34">
        <v>0.46086956521739131</v>
      </c>
      <c r="E34">
        <f t="shared" si="5"/>
        <v>0.48262318840579715</v>
      </c>
      <c r="F34">
        <f>E34-$E$10</f>
        <v>7.0956521739130474E-2</v>
      </c>
      <c r="G34">
        <f t="shared" si="6"/>
        <v>7.0956521739130469</v>
      </c>
      <c r="H34" t="s">
        <v>17</v>
      </c>
    </row>
    <row r="35" spans="1:8" x14ac:dyDescent="0.25">
      <c r="A35" t="s">
        <v>12</v>
      </c>
      <c r="B35">
        <v>22.539000000000001</v>
      </c>
      <c r="C35" s="1">
        <v>12.643000000000001</v>
      </c>
      <c r="D35">
        <v>10.93885221066682</v>
      </c>
      <c r="E35">
        <f t="shared" si="5"/>
        <v>15.373617403555608</v>
      </c>
      <c r="F35">
        <f>E35-$E$11</f>
        <v>-16.39338259644439</v>
      </c>
    </row>
    <row r="39" spans="1:8" x14ac:dyDescent="0.25">
      <c r="A39">
        <v>1750</v>
      </c>
      <c r="B39">
        <v>300</v>
      </c>
    </row>
    <row r="40" spans="1:8" x14ac:dyDescent="0.25">
      <c r="B40" t="s">
        <v>0</v>
      </c>
      <c r="C40" t="s">
        <v>1</v>
      </c>
      <c r="D40" t="s">
        <v>2</v>
      </c>
      <c r="E40" t="s">
        <v>3</v>
      </c>
      <c r="F40" t="s">
        <v>13</v>
      </c>
      <c r="G40" t="s">
        <v>14</v>
      </c>
    </row>
    <row r="41" spans="1:8" x14ac:dyDescent="0.25">
      <c r="A41" t="s">
        <v>4</v>
      </c>
      <c r="B41">
        <v>0.61</v>
      </c>
      <c r="C41">
        <v>0.625</v>
      </c>
      <c r="D41">
        <v>0.62968106995884776</v>
      </c>
      <c r="E41">
        <f>AVERAGE(B41:D41)</f>
        <v>0.62156035665294918</v>
      </c>
      <c r="F41" s="2">
        <f>E41-$E$3</f>
        <v>-1.3439643347050834E-2</v>
      </c>
      <c r="G41">
        <f>F41*100</f>
        <v>-1.3439643347050834</v>
      </c>
    </row>
    <row r="42" spans="1:8" x14ac:dyDescent="0.25">
      <c r="A42" t="s">
        <v>5</v>
      </c>
      <c r="B42">
        <v>0.67400000000000004</v>
      </c>
      <c r="C42">
        <v>0.66500000000000004</v>
      </c>
      <c r="D42">
        <v>0.65932539682539681</v>
      </c>
      <c r="E42">
        <f t="shared" ref="E42:E49" si="7">AVERAGE(B42:D42)</f>
        <v>0.66610846560846559</v>
      </c>
      <c r="F42" s="2">
        <f>E42-$E$4</f>
        <v>4.6108465608465599E-2</v>
      </c>
      <c r="G42">
        <f t="shared" ref="G42:G48" si="8">F42*100</f>
        <v>4.6108465608465599</v>
      </c>
    </row>
    <row r="43" spans="1:8" x14ac:dyDescent="0.25">
      <c r="A43" t="s">
        <v>6</v>
      </c>
      <c r="B43">
        <v>0.65600000000000003</v>
      </c>
      <c r="C43">
        <v>0.68600000000000005</v>
      </c>
      <c r="D43">
        <v>0.6832367149506936</v>
      </c>
      <c r="E43">
        <f t="shared" si="7"/>
        <v>0.6750789049835646</v>
      </c>
      <c r="F43" s="2">
        <f>E43-$E$5</f>
        <v>-4.0921095016435483E-2</v>
      </c>
      <c r="G43">
        <f t="shared" si="8"/>
        <v>-4.0921095016435487</v>
      </c>
    </row>
    <row r="44" spans="1:8" x14ac:dyDescent="0.25">
      <c r="A44" t="s">
        <v>7</v>
      </c>
      <c r="B44">
        <v>0.745</v>
      </c>
      <c r="C44">
        <v>0.749</v>
      </c>
      <c r="D44">
        <v>0.74911420071885138</v>
      </c>
      <c r="E44">
        <f t="shared" si="7"/>
        <v>0.74770473357295053</v>
      </c>
      <c r="F44" s="2">
        <f>E44-$E$6</f>
        <v>-1.1628599760382774E-2</v>
      </c>
      <c r="G44">
        <f t="shared" si="8"/>
        <v>-1.1628599760382774</v>
      </c>
    </row>
    <row r="45" spans="1:8" x14ac:dyDescent="0.25">
      <c r="A45" t="s">
        <v>8</v>
      </c>
      <c r="B45">
        <v>0.113</v>
      </c>
      <c r="C45">
        <v>0.12</v>
      </c>
      <c r="D45">
        <v>0.124968967134149</v>
      </c>
      <c r="E45">
        <f t="shared" si="7"/>
        <v>0.11932298904471633</v>
      </c>
      <c r="F45" s="2">
        <f>E45-$E$7</f>
        <v>-1.2010344288616998E-2</v>
      </c>
      <c r="G45">
        <f t="shared" si="8"/>
        <v>-1.2010344288616999</v>
      </c>
    </row>
    <row r="46" spans="1:8" x14ac:dyDescent="0.25">
      <c r="A46" t="s">
        <v>9</v>
      </c>
      <c r="B46">
        <v>0.55300000000000005</v>
      </c>
      <c r="C46">
        <v>0.56599999999999995</v>
      </c>
      <c r="D46">
        <v>0.58041485626270672</v>
      </c>
      <c r="E46">
        <f t="shared" si="7"/>
        <v>0.56647161875423557</v>
      </c>
      <c r="F46" s="2">
        <f>E46-$E$8</f>
        <v>-1.9195047912431096E-2</v>
      </c>
      <c r="G46">
        <f t="shared" si="8"/>
        <v>-1.9195047912431096</v>
      </c>
    </row>
    <row r="47" spans="1:8" x14ac:dyDescent="0.25">
      <c r="A47" t="s">
        <v>10</v>
      </c>
      <c r="B47">
        <v>0.23899999999999999</v>
      </c>
      <c r="C47">
        <v>0.23799999999999999</v>
      </c>
      <c r="D47">
        <v>0.25186781609195402</v>
      </c>
      <c r="E47">
        <f t="shared" si="7"/>
        <v>0.24295593869731799</v>
      </c>
      <c r="F47" s="2">
        <f>E47-$E$9</f>
        <v>-6.5044061302682005E-2</v>
      </c>
      <c r="G47">
        <f t="shared" si="8"/>
        <v>-6.5044061302682001</v>
      </c>
    </row>
    <row r="48" spans="1:8" x14ac:dyDescent="0.25">
      <c r="A48" t="s">
        <v>11</v>
      </c>
      <c r="B48">
        <v>0.38800000000000001</v>
      </c>
      <c r="C48">
        <v>0.39700000000000002</v>
      </c>
      <c r="D48">
        <v>0.40517241379310343</v>
      </c>
      <c r="E48">
        <f t="shared" si="7"/>
        <v>0.39672413793103445</v>
      </c>
      <c r="F48" s="2">
        <f>E48-$E$10</f>
        <v>-1.4942528735632232E-2</v>
      </c>
      <c r="G48">
        <f t="shared" si="8"/>
        <v>-1.4942528735632232</v>
      </c>
    </row>
    <row r="49" spans="1:6" x14ac:dyDescent="0.25">
      <c r="A49" t="s">
        <v>12</v>
      </c>
      <c r="B49" s="1">
        <v>11.717000000000001</v>
      </c>
      <c r="C49" s="1">
        <v>25.544</v>
      </c>
      <c r="D49">
        <v>14.020321907668279</v>
      </c>
      <c r="E49">
        <f t="shared" si="7"/>
        <v>17.093773969222763</v>
      </c>
      <c r="F49" s="2">
        <f>E49-$E$11</f>
        <v>-14.673226030777233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63B57-AFAE-4268-833F-1978FDE50B6B}">
  <dimension ref="A1:G49"/>
  <sheetViews>
    <sheetView tabSelected="1" topLeftCell="A14" workbookViewId="0">
      <selection activeCell="H31" sqref="H31"/>
    </sheetView>
  </sheetViews>
  <sheetFormatPr baseColWidth="10" defaultRowHeight="15" x14ac:dyDescent="0.25"/>
  <cols>
    <col min="1" max="1" width="18.85546875" bestFit="1" customWidth="1"/>
  </cols>
  <sheetData>
    <row r="1" spans="1:7" x14ac:dyDescent="0.25">
      <c r="A1">
        <v>1000</v>
      </c>
      <c r="B1">
        <v>300</v>
      </c>
    </row>
    <row r="2" spans="1:7" x14ac:dyDescent="0.25">
      <c r="B2" t="s">
        <v>0</v>
      </c>
      <c r="C2" t="s">
        <v>1</v>
      </c>
      <c r="D2" t="s">
        <v>2</v>
      </c>
      <c r="E2" t="s">
        <v>3</v>
      </c>
    </row>
    <row r="3" spans="1:7" x14ac:dyDescent="0.25">
      <c r="A3" t="s">
        <v>4</v>
      </c>
      <c r="B3" s="3"/>
      <c r="C3" s="3"/>
      <c r="D3" s="3"/>
      <c r="E3" s="2" t="e">
        <f>AVERAGE(B3:D3)</f>
        <v>#DIV/0!</v>
      </c>
    </row>
    <row r="4" spans="1:7" x14ac:dyDescent="0.25">
      <c r="A4" t="s">
        <v>5</v>
      </c>
      <c r="E4" s="2" t="e">
        <f t="shared" ref="E4:E11" si="0">AVERAGE(B4:D4)</f>
        <v>#DIV/0!</v>
      </c>
    </row>
    <row r="5" spans="1:7" x14ac:dyDescent="0.25">
      <c r="A5" t="s">
        <v>6</v>
      </c>
      <c r="E5" s="2" t="e">
        <f t="shared" si="0"/>
        <v>#DIV/0!</v>
      </c>
    </row>
    <row r="6" spans="1:7" x14ac:dyDescent="0.25">
      <c r="A6" t="s">
        <v>7</v>
      </c>
      <c r="E6" s="2" t="e">
        <f t="shared" si="0"/>
        <v>#DIV/0!</v>
      </c>
    </row>
    <row r="7" spans="1:7" x14ac:dyDescent="0.25">
      <c r="A7" t="s">
        <v>8</v>
      </c>
      <c r="E7" s="2" t="e">
        <f t="shared" si="0"/>
        <v>#DIV/0!</v>
      </c>
    </row>
    <row r="8" spans="1:7" x14ac:dyDescent="0.25">
      <c r="A8" t="s">
        <v>9</v>
      </c>
      <c r="E8" s="2" t="e">
        <f t="shared" si="0"/>
        <v>#DIV/0!</v>
      </c>
    </row>
    <row r="9" spans="1:7" x14ac:dyDescent="0.25">
      <c r="A9" t="s">
        <v>10</v>
      </c>
      <c r="E9" s="2" t="e">
        <f t="shared" si="0"/>
        <v>#DIV/0!</v>
      </c>
    </row>
    <row r="10" spans="1:7" x14ac:dyDescent="0.25">
      <c r="A10" t="s">
        <v>11</v>
      </c>
      <c r="E10" s="2" t="e">
        <f t="shared" si="0"/>
        <v>#DIV/0!</v>
      </c>
    </row>
    <row r="11" spans="1:7" x14ac:dyDescent="0.25">
      <c r="A11" t="s">
        <v>12</v>
      </c>
      <c r="B11" s="1"/>
      <c r="C11" s="1"/>
      <c r="D11" s="1"/>
      <c r="E11" s="2" t="e">
        <f t="shared" si="0"/>
        <v>#DIV/0!</v>
      </c>
    </row>
    <row r="13" spans="1:7" x14ac:dyDescent="0.25">
      <c r="A13">
        <v>1250</v>
      </c>
      <c r="B13">
        <v>300</v>
      </c>
    </row>
    <row r="14" spans="1:7" x14ac:dyDescent="0.25">
      <c r="B14" t="s">
        <v>0</v>
      </c>
      <c r="C14" t="s">
        <v>1</v>
      </c>
      <c r="D14" t="s">
        <v>2</v>
      </c>
      <c r="E14" t="s">
        <v>3</v>
      </c>
      <c r="F14" t="s">
        <v>13</v>
      </c>
      <c r="G14" t="s">
        <v>14</v>
      </c>
    </row>
    <row r="15" spans="1:7" x14ac:dyDescent="0.25">
      <c r="A15" t="s">
        <v>4</v>
      </c>
      <c r="B15">
        <v>0.69945357716701795</v>
      </c>
      <c r="C15">
        <v>0.6795021277889991</v>
      </c>
      <c r="D15">
        <v>0.69120162991966927</v>
      </c>
      <c r="E15">
        <f>AVERAGE(B15:D15)</f>
        <v>0.69005244495856211</v>
      </c>
      <c r="F15" t="e">
        <f>E15-$E$3</f>
        <v>#DIV/0!</v>
      </c>
      <c r="G15" t="e">
        <f>F15*100</f>
        <v>#DIV/0!</v>
      </c>
    </row>
    <row r="16" spans="1:7" x14ac:dyDescent="0.25">
      <c r="A16" t="s">
        <v>5</v>
      </c>
      <c r="B16">
        <v>0.61134057971014499</v>
      </c>
      <c r="C16">
        <v>0.60628591954023003</v>
      </c>
      <c r="D16">
        <v>0.62047413793103456</v>
      </c>
      <c r="E16">
        <f t="shared" ref="E16:E23" si="1">AVERAGE(B16:D16)</f>
        <v>0.61270021239380312</v>
      </c>
      <c r="F16" t="e">
        <f>E16-$E$4</f>
        <v>#DIV/0!</v>
      </c>
      <c r="G16" t="e">
        <f t="shared" ref="G16:G22" si="2">F16*100</f>
        <v>#DIV/0!</v>
      </c>
    </row>
    <row r="17" spans="1:7" x14ac:dyDescent="0.25">
      <c r="A17" t="s">
        <v>6</v>
      </c>
      <c r="B17">
        <v>0.57977828743671855</v>
      </c>
      <c r="C17">
        <v>0.5693366857997334</v>
      </c>
      <c r="D17">
        <v>0.58335727966791828</v>
      </c>
      <c r="E17">
        <f t="shared" si="1"/>
        <v>0.57749075096812341</v>
      </c>
      <c r="F17" t="e">
        <f>E17-$E$5</f>
        <v>#DIV/0!</v>
      </c>
      <c r="G17" t="e">
        <f t="shared" si="2"/>
        <v>#DIV/0!</v>
      </c>
    </row>
    <row r="18" spans="1:7" x14ac:dyDescent="0.25">
      <c r="A18" t="s">
        <v>7</v>
      </c>
      <c r="B18">
        <v>0.76445431250814044</v>
      </c>
      <c r="C18">
        <v>0.76445431250814044</v>
      </c>
      <c r="D18">
        <v>0.76394038159581756</v>
      </c>
      <c r="E18">
        <f t="shared" si="1"/>
        <v>0.76428300220403278</v>
      </c>
      <c r="F18" t="e">
        <f>E18-$E$6</f>
        <v>#DIV/0!</v>
      </c>
      <c r="G18" t="e">
        <f t="shared" si="2"/>
        <v>#DIV/0!</v>
      </c>
    </row>
    <row r="19" spans="1:7" x14ac:dyDescent="0.25">
      <c r="A19" t="s">
        <v>8</v>
      </c>
      <c r="B19">
        <v>0.25233225683849669</v>
      </c>
      <c r="C19">
        <v>0.25233470207780773</v>
      </c>
      <c r="D19">
        <v>0.25556369724652522</v>
      </c>
      <c r="E19">
        <f t="shared" si="1"/>
        <v>0.25341021872094321</v>
      </c>
      <c r="F19" t="e">
        <f>E19-$E$7</f>
        <v>#DIV/0!</v>
      </c>
      <c r="G19" t="e">
        <f t="shared" si="2"/>
        <v>#DIV/0!</v>
      </c>
    </row>
    <row r="20" spans="1:7" x14ac:dyDescent="0.25">
      <c r="A20" t="s">
        <v>9</v>
      </c>
      <c r="B20">
        <v>0.62712365568616846</v>
      </c>
      <c r="C20">
        <v>0.60685930765855134</v>
      </c>
      <c r="D20">
        <v>0.59911507491363925</v>
      </c>
      <c r="E20">
        <f t="shared" si="1"/>
        <v>0.61103267941945294</v>
      </c>
      <c r="F20" t="e">
        <f>E20-$E$8</f>
        <v>#DIV/0!</v>
      </c>
      <c r="G20" t="e">
        <f t="shared" si="2"/>
        <v>#DIV/0!</v>
      </c>
    </row>
    <row r="21" spans="1:7" x14ac:dyDescent="0.25">
      <c r="A21" t="s">
        <v>10</v>
      </c>
      <c r="B21">
        <v>0.33721264367816078</v>
      </c>
      <c r="C21">
        <v>0.32859195402298852</v>
      </c>
      <c r="D21">
        <v>0.33721264367816078</v>
      </c>
      <c r="E21">
        <f t="shared" si="1"/>
        <v>0.33433908045977007</v>
      </c>
      <c r="F21" t="e">
        <f>E21-$E$9</f>
        <v>#DIV/0!</v>
      </c>
      <c r="G21" t="e">
        <f t="shared" si="2"/>
        <v>#DIV/0!</v>
      </c>
    </row>
    <row r="22" spans="1:7" x14ac:dyDescent="0.25">
      <c r="A22" t="s">
        <v>11</v>
      </c>
      <c r="B22">
        <v>0.48275862068965519</v>
      </c>
      <c r="C22">
        <v>0.47413793103448282</v>
      </c>
      <c r="D22">
        <v>0.48275862068965519</v>
      </c>
      <c r="E22">
        <f t="shared" si="1"/>
        <v>0.47988505747126436</v>
      </c>
      <c r="F22" t="e">
        <f>E22-$E$10</f>
        <v>#DIV/0!</v>
      </c>
      <c r="G22" t="e">
        <f t="shared" si="2"/>
        <v>#DIV/0!</v>
      </c>
    </row>
    <row r="23" spans="1:7" x14ac:dyDescent="0.25">
      <c r="A23" t="s">
        <v>12</v>
      </c>
      <c r="B23" s="1">
        <v>11.411141514778141</v>
      </c>
      <c r="C23">
        <v>11.46074738584716</v>
      </c>
      <c r="D23">
        <v>12.08357310089572</v>
      </c>
      <c r="E23">
        <f t="shared" si="1"/>
        <v>11.651820667173673</v>
      </c>
      <c r="F23" t="e">
        <f>E23-$E$11</f>
        <v>#DIV/0!</v>
      </c>
    </row>
    <row r="25" spans="1:7" x14ac:dyDescent="0.25">
      <c r="A25">
        <v>1500</v>
      </c>
      <c r="B25">
        <v>300</v>
      </c>
    </row>
    <row r="26" spans="1:7" x14ac:dyDescent="0.25">
      <c r="B26" t="s">
        <v>0</v>
      </c>
      <c r="C26" t="s">
        <v>1</v>
      </c>
      <c r="D26" t="s">
        <v>2</v>
      </c>
      <c r="E26" t="s">
        <v>3</v>
      </c>
      <c r="F26" t="s">
        <v>13</v>
      </c>
      <c r="G26" t="s">
        <v>14</v>
      </c>
    </row>
    <row r="27" spans="1:7" x14ac:dyDescent="0.25">
      <c r="A27" t="s">
        <v>4</v>
      </c>
      <c r="B27">
        <v>0.66156887149880883</v>
      </c>
      <c r="C27">
        <v>0.64893983549723111</v>
      </c>
      <c r="D27">
        <v>0.67855384785151807</v>
      </c>
      <c r="E27">
        <f>AVERAGE(B27:D27)</f>
        <v>0.66302085161585267</v>
      </c>
      <c r="F27" t="e">
        <f>E27-$E$3</f>
        <v>#DIV/0!</v>
      </c>
      <c r="G27" t="e">
        <f>F27*100</f>
        <v>#DIV/0!</v>
      </c>
    </row>
    <row r="28" spans="1:7" x14ac:dyDescent="0.25">
      <c r="A28" t="s">
        <v>5</v>
      </c>
      <c r="B28">
        <v>0.62444581280788181</v>
      </c>
      <c r="C28">
        <v>0.63594006568144501</v>
      </c>
      <c r="D28">
        <v>0.6361076604554865</v>
      </c>
      <c r="E28">
        <f t="shared" ref="E28:E35" si="3">AVERAGE(B28:D28)</f>
        <v>0.63216451298160448</v>
      </c>
      <c r="F28" t="e">
        <f>E28-$E$4</f>
        <v>#DIV/0!</v>
      </c>
      <c r="G28" t="e">
        <f t="shared" ref="G28:G34" si="4">F28*100</f>
        <v>#DIV/0!</v>
      </c>
    </row>
    <row r="29" spans="1:7" x14ac:dyDescent="0.25">
      <c r="A29" t="s">
        <v>6</v>
      </c>
      <c r="B29">
        <v>0.62411398464630641</v>
      </c>
      <c r="C29">
        <v>0.63705699230932189</v>
      </c>
      <c r="D29">
        <v>0.6270169081827085</v>
      </c>
      <c r="E29">
        <f t="shared" si="3"/>
        <v>0.6293959617127789</v>
      </c>
      <c r="F29" t="e">
        <f>E29-$E$5</f>
        <v>#DIV/0!</v>
      </c>
      <c r="G29" t="e">
        <f t="shared" si="4"/>
        <v>#DIV/0!</v>
      </c>
    </row>
    <row r="30" spans="1:7" x14ac:dyDescent="0.25">
      <c r="A30" t="s">
        <v>7</v>
      </c>
      <c r="B30">
        <v>0.75828297912577958</v>
      </c>
      <c r="C30">
        <v>0.75921113559346654</v>
      </c>
      <c r="D30">
        <v>0.76194123225598731</v>
      </c>
      <c r="E30">
        <f t="shared" si="3"/>
        <v>0.75981178232507796</v>
      </c>
      <c r="F30" t="e">
        <f>E30-$E$6</f>
        <v>#DIV/0!</v>
      </c>
      <c r="G30" t="e">
        <f t="shared" si="4"/>
        <v>#DIV/0!</v>
      </c>
    </row>
    <row r="31" spans="1:7" x14ac:dyDescent="0.25">
      <c r="A31" t="s">
        <v>8</v>
      </c>
      <c r="B31">
        <v>0.27292447328324371</v>
      </c>
      <c r="C31">
        <v>0.26747226671678082</v>
      </c>
      <c r="D31">
        <v>0.27978722808894241</v>
      </c>
      <c r="E31">
        <f t="shared" si="3"/>
        <v>0.27339465602965562</v>
      </c>
      <c r="F31" t="e">
        <f>E31-$E$7</f>
        <v>#DIV/0!</v>
      </c>
      <c r="G31" t="e">
        <f t="shared" si="4"/>
        <v>#DIV/0!</v>
      </c>
    </row>
    <row r="32" spans="1:7" x14ac:dyDescent="0.25">
      <c r="A32" t="s">
        <v>9</v>
      </c>
      <c r="B32">
        <v>0.59892572244511921</v>
      </c>
      <c r="C32">
        <v>0.59085822927043607</v>
      </c>
      <c r="D32">
        <v>0.63535731636781256</v>
      </c>
      <c r="E32">
        <f t="shared" si="3"/>
        <v>0.60838042269445591</v>
      </c>
      <c r="F32" t="e">
        <f>E32-$E$8</f>
        <v>#DIV/0!</v>
      </c>
      <c r="G32" t="e">
        <f t="shared" si="4"/>
        <v>#DIV/0!</v>
      </c>
    </row>
    <row r="33" spans="1:7" x14ac:dyDescent="0.25">
      <c r="A33" t="s">
        <v>10</v>
      </c>
      <c r="B33">
        <v>0.3466954022988506</v>
      </c>
      <c r="C33">
        <v>0.34885057471264369</v>
      </c>
      <c r="D33">
        <v>0.3603448275862069</v>
      </c>
      <c r="E33">
        <f t="shared" si="3"/>
        <v>0.35196360153256706</v>
      </c>
      <c r="F33" t="e">
        <f>E33-$E$9</f>
        <v>#DIV/0!</v>
      </c>
      <c r="G33" t="e">
        <f t="shared" si="4"/>
        <v>#DIV/0!</v>
      </c>
    </row>
    <row r="34" spans="1:7" x14ac:dyDescent="0.25">
      <c r="A34" t="s">
        <v>11</v>
      </c>
      <c r="B34">
        <v>0.50862068965517238</v>
      </c>
      <c r="C34">
        <v>0.51724137931034486</v>
      </c>
      <c r="D34">
        <v>0.52586206896551724</v>
      </c>
      <c r="E34">
        <f t="shared" si="3"/>
        <v>0.51724137931034486</v>
      </c>
      <c r="F34" t="e">
        <f>E34-$E$10</f>
        <v>#DIV/0!</v>
      </c>
      <c r="G34" t="e">
        <f t="shared" si="4"/>
        <v>#DIV/0!</v>
      </c>
    </row>
    <row r="35" spans="1:7" x14ac:dyDescent="0.25">
      <c r="A35" t="s">
        <v>12</v>
      </c>
      <c r="B35">
        <v>12.829803801816089</v>
      </c>
      <c r="C35" s="1">
        <v>13.84695393052594</v>
      </c>
      <c r="D35">
        <v>12.0599361699203</v>
      </c>
      <c r="E35">
        <f t="shared" si="3"/>
        <v>12.91223130075411</v>
      </c>
      <c r="F35" t="e">
        <f>E35-$E$11</f>
        <v>#DIV/0!</v>
      </c>
    </row>
    <row r="39" spans="1:7" x14ac:dyDescent="0.25">
      <c r="A39">
        <v>1750</v>
      </c>
      <c r="B39">
        <v>300</v>
      </c>
    </row>
    <row r="40" spans="1:7" x14ac:dyDescent="0.25">
      <c r="B40" t="s">
        <v>0</v>
      </c>
      <c r="C40" t="s">
        <v>1</v>
      </c>
      <c r="D40" t="s">
        <v>2</v>
      </c>
      <c r="E40" t="s">
        <v>3</v>
      </c>
      <c r="F40" t="s">
        <v>13</v>
      </c>
      <c r="G40" t="s">
        <v>14</v>
      </c>
    </row>
    <row r="41" spans="1:7" x14ac:dyDescent="0.25">
      <c r="A41" t="s">
        <v>4</v>
      </c>
      <c r="B41">
        <v>0.62963137009189651</v>
      </c>
      <c r="C41">
        <v>0.62900901409001886</v>
      </c>
      <c r="D41">
        <v>0.64225496854746966</v>
      </c>
      <c r="E41">
        <f>AVERAGE(B41:D41)</f>
        <v>0.63363178424312838</v>
      </c>
      <c r="F41" s="2" t="e">
        <f>E41-$E$3</f>
        <v>#DIV/0!</v>
      </c>
      <c r="G41" t="e">
        <f>F41*100</f>
        <v>#DIV/0!</v>
      </c>
    </row>
    <row r="42" spans="1:7" x14ac:dyDescent="0.25">
      <c r="A42" t="s">
        <v>5</v>
      </c>
      <c r="B42">
        <v>0.6554187192118226</v>
      </c>
      <c r="C42">
        <v>0.656568144499179</v>
      </c>
      <c r="D42">
        <v>0.69250208855472017</v>
      </c>
      <c r="E42">
        <f t="shared" ref="E42:E49" si="5">AVERAGE(B42:D42)</f>
        <v>0.66816298408857389</v>
      </c>
      <c r="F42" s="2" t="e">
        <f>E42-$E$4</f>
        <v>#DIV/0!</v>
      </c>
      <c r="G42" t="e">
        <f t="shared" ref="G42:G48" si="6">F42*100</f>
        <v>#DIV/0!</v>
      </c>
    </row>
    <row r="43" spans="1:7" x14ac:dyDescent="0.25">
      <c r="A43" t="s">
        <v>6</v>
      </c>
      <c r="B43">
        <v>0.58686542143005738</v>
      </c>
      <c r="C43">
        <v>0.61296695399601808</v>
      </c>
      <c r="D43">
        <v>0.62757201643333771</v>
      </c>
      <c r="E43">
        <f t="shared" si="5"/>
        <v>0.60913479728647102</v>
      </c>
      <c r="F43" s="2" t="e">
        <f>E43-$E$5</f>
        <v>#DIV/0!</v>
      </c>
      <c r="G43" t="e">
        <f t="shared" si="6"/>
        <v>#DIV/0!</v>
      </c>
    </row>
    <row r="44" spans="1:7" x14ac:dyDescent="0.25">
      <c r="A44" t="s">
        <v>7</v>
      </c>
      <c r="B44">
        <v>0.75326889799614516</v>
      </c>
      <c r="C44">
        <v>0.7523646340895267</v>
      </c>
      <c r="D44">
        <v>0.75326889799614516</v>
      </c>
      <c r="E44">
        <f t="shared" si="5"/>
        <v>0.75296747669393904</v>
      </c>
      <c r="F44" s="2" t="e">
        <f>E44-$E$6</f>
        <v>#DIV/0!</v>
      </c>
      <c r="G44" t="e">
        <f t="shared" si="6"/>
        <v>#DIV/0!</v>
      </c>
    </row>
    <row r="45" spans="1:7" x14ac:dyDescent="0.25">
      <c r="A45" t="s">
        <v>8</v>
      </c>
      <c r="B45">
        <v>0.24553750941061361</v>
      </c>
      <c r="C45">
        <v>0.26164240439793229</v>
      </c>
      <c r="D45">
        <v>0.2483463938670056</v>
      </c>
      <c r="E45">
        <f t="shared" si="5"/>
        <v>0.25184210255851719</v>
      </c>
      <c r="F45" s="2" t="e">
        <f>E45-$E$7</f>
        <v>#DIV/0!</v>
      </c>
      <c r="G45" t="e">
        <f t="shared" si="6"/>
        <v>#DIV/0!</v>
      </c>
    </row>
    <row r="46" spans="1:7" x14ac:dyDescent="0.25">
      <c r="A46" t="s">
        <v>9</v>
      </c>
      <c r="B46">
        <v>0.60933495101680679</v>
      </c>
      <c r="C46">
        <v>0.63147614145716247</v>
      </c>
      <c r="D46">
        <v>0.62695548999659645</v>
      </c>
      <c r="E46">
        <f t="shared" si="5"/>
        <v>0.62258886082352183</v>
      </c>
      <c r="F46" s="2" t="e">
        <f>E46-$E$8</f>
        <v>#DIV/0!</v>
      </c>
      <c r="G46" t="e">
        <f t="shared" si="6"/>
        <v>#DIV/0!</v>
      </c>
    </row>
    <row r="47" spans="1:7" x14ac:dyDescent="0.25">
      <c r="A47" t="s">
        <v>10</v>
      </c>
      <c r="B47">
        <v>0.26307471264367821</v>
      </c>
      <c r="C47">
        <v>0.25445402298850572</v>
      </c>
      <c r="D47">
        <v>0.26307471264367821</v>
      </c>
      <c r="E47">
        <f t="shared" si="5"/>
        <v>0.26020114942528738</v>
      </c>
      <c r="F47" s="2" t="e">
        <f>E47-$E$9</f>
        <v>#DIV/0!</v>
      </c>
      <c r="G47" t="e">
        <f t="shared" si="6"/>
        <v>#DIV/0!</v>
      </c>
    </row>
    <row r="48" spans="1:7" x14ac:dyDescent="0.25">
      <c r="A48" t="s">
        <v>11</v>
      </c>
      <c r="B48">
        <v>0.41379310344827591</v>
      </c>
      <c r="C48">
        <v>0.40517241379310343</v>
      </c>
      <c r="D48">
        <v>0.41379310344827591</v>
      </c>
      <c r="E48">
        <f t="shared" si="5"/>
        <v>0.41091954022988508</v>
      </c>
      <c r="F48" s="2" t="e">
        <f>E48-$E$10</f>
        <v>#DIV/0!</v>
      </c>
      <c r="G48" t="e">
        <f t="shared" si="6"/>
        <v>#DIV/0!</v>
      </c>
    </row>
    <row r="49" spans="1:6" x14ac:dyDescent="0.25">
      <c r="A49" t="s">
        <v>12</v>
      </c>
      <c r="B49" s="1">
        <v>11.927592316578171</v>
      </c>
      <c r="C49" s="1">
        <v>11.35648157267735</v>
      </c>
      <c r="D49">
        <v>11.18512282289308</v>
      </c>
      <c r="E49">
        <f t="shared" si="5"/>
        <v>11.489732237382867</v>
      </c>
      <c r="F49" s="2" t="e">
        <f>E49-$E$11</f>
        <v>#DIV/0!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267C3-91F6-4352-B487-1EEB3C8D4A90}">
  <dimension ref="A1:H37"/>
  <sheetViews>
    <sheetView workbookViewId="0">
      <selection sqref="A1:E11"/>
    </sheetView>
  </sheetViews>
  <sheetFormatPr baseColWidth="10" defaultRowHeight="15" x14ac:dyDescent="0.25"/>
  <sheetData>
    <row r="1" spans="1:8" x14ac:dyDescent="0.25">
      <c r="A1">
        <v>1500</v>
      </c>
      <c r="B1">
        <v>300</v>
      </c>
    </row>
    <row r="2" spans="1:8" x14ac:dyDescent="0.25">
      <c r="B2" t="s">
        <v>0</v>
      </c>
      <c r="C2" t="s">
        <v>1</v>
      </c>
      <c r="D2" t="s">
        <v>2</v>
      </c>
      <c r="E2" t="s">
        <v>3</v>
      </c>
    </row>
    <row r="3" spans="1:8" x14ac:dyDescent="0.25">
      <c r="A3" t="s">
        <v>4</v>
      </c>
      <c r="B3">
        <v>0.63900000000000001</v>
      </c>
      <c r="C3">
        <v>0.63200000000000001</v>
      </c>
      <c r="D3">
        <v>0.63785624098124105</v>
      </c>
      <c r="E3">
        <f>AVERAGE(B3:D3)</f>
        <v>0.63628541366041358</v>
      </c>
    </row>
    <row r="4" spans="1:8" x14ac:dyDescent="0.25">
      <c r="A4" t="s">
        <v>5</v>
      </c>
      <c r="B4">
        <v>0.69699999999999995</v>
      </c>
      <c r="C4">
        <v>0.69899999999999995</v>
      </c>
      <c r="D4">
        <v>0.68654244306418222</v>
      </c>
      <c r="E4">
        <f t="shared" ref="E4:E11" si="0">AVERAGE(B4:D4)</f>
        <v>0.69418081435472734</v>
      </c>
    </row>
    <row r="5" spans="1:8" x14ac:dyDescent="0.25">
      <c r="A5" t="s">
        <v>6</v>
      </c>
      <c r="B5">
        <v>0.72499999999999998</v>
      </c>
      <c r="C5">
        <v>0.71299999999999997</v>
      </c>
      <c r="D5">
        <v>0.70456521736496258</v>
      </c>
      <c r="E5">
        <f t="shared" si="0"/>
        <v>0.71418840578832088</v>
      </c>
    </row>
    <row r="6" spans="1:8" x14ac:dyDescent="0.25">
      <c r="A6" t="s">
        <v>7</v>
      </c>
      <c r="B6">
        <v>0.75600000000000001</v>
      </c>
      <c r="C6">
        <v>0.76400000000000001</v>
      </c>
      <c r="D6">
        <v>0.76363038802542538</v>
      </c>
      <c r="E6">
        <f t="shared" si="0"/>
        <v>0.76121012934180854</v>
      </c>
    </row>
    <row r="7" spans="1:8" x14ac:dyDescent="0.25">
      <c r="A7" t="s">
        <v>8</v>
      </c>
      <c r="B7">
        <v>0.12</v>
      </c>
      <c r="C7">
        <v>0.11600000000000001</v>
      </c>
      <c r="D7">
        <v>0.12082725581784701</v>
      </c>
      <c r="E7">
        <f t="shared" si="0"/>
        <v>0.11894241860594901</v>
      </c>
    </row>
    <row r="8" spans="1:8" x14ac:dyDescent="0.25">
      <c r="A8" t="s">
        <v>9</v>
      </c>
      <c r="B8">
        <v>0.54300000000000004</v>
      </c>
      <c r="C8">
        <v>0.53500000000000003</v>
      </c>
      <c r="D8">
        <v>0.54221877121649986</v>
      </c>
      <c r="E8">
        <f t="shared" si="0"/>
        <v>0.54007292373883331</v>
      </c>
    </row>
    <row r="9" spans="1:8" x14ac:dyDescent="0.25">
      <c r="A9" t="s">
        <v>10</v>
      </c>
      <c r="B9">
        <v>0.34899999999999998</v>
      </c>
      <c r="C9">
        <v>0.311</v>
      </c>
      <c r="D9">
        <v>0.31057971014492758</v>
      </c>
      <c r="E9">
        <f t="shared" si="0"/>
        <v>0.32352657004830915</v>
      </c>
    </row>
    <row r="10" spans="1:8" x14ac:dyDescent="0.25">
      <c r="A10" t="s">
        <v>11</v>
      </c>
      <c r="B10">
        <v>0.52600000000000002</v>
      </c>
      <c r="C10">
        <v>0.46100000000000002</v>
      </c>
      <c r="D10">
        <v>0.46086956521739131</v>
      </c>
      <c r="E10">
        <f t="shared" si="0"/>
        <v>0.48262318840579715</v>
      </c>
    </row>
    <row r="11" spans="1:8" x14ac:dyDescent="0.25">
      <c r="A11" t="s">
        <v>12</v>
      </c>
      <c r="B11">
        <v>22.539000000000001</v>
      </c>
      <c r="C11" s="1">
        <v>12.643000000000001</v>
      </c>
      <c r="D11">
        <v>10.93885221066682</v>
      </c>
      <c r="E11">
        <f t="shared" si="0"/>
        <v>15.373617403555608</v>
      </c>
    </row>
    <row r="14" spans="1:8" x14ac:dyDescent="0.25">
      <c r="A14">
        <v>1500</v>
      </c>
      <c r="B14">
        <v>200</v>
      </c>
    </row>
    <row r="15" spans="1:8" x14ac:dyDescent="0.25">
      <c r="B15" t="s">
        <v>0</v>
      </c>
      <c r="C15" t="s">
        <v>1</v>
      </c>
      <c r="D15" t="s">
        <v>2</v>
      </c>
      <c r="E15" t="s">
        <v>3</v>
      </c>
      <c r="F15" t="s">
        <v>13</v>
      </c>
      <c r="G15" t="s">
        <v>14</v>
      </c>
    </row>
    <row r="16" spans="1:8" x14ac:dyDescent="0.25">
      <c r="A16" t="s">
        <v>4</v>
      </c>
      <c r="B16">
        <v>0.62547831632653061</v>
      </c>
      <c r="C16">
        <v>0.62649872448979593</v>
      </c>
      <c r="D16">
        <v>0.60009566326530617</v>
      </c>
      <c r="E16">
        <f>AVERAGE(B16:D16)</f>
        <v>0.61735756802721087</v>
      </c>
      <c r="F16">
        <f>E16-$E$3</f>
        <v>-1.8927845633202711E-2</v>
      </c>
      <c r="G16">
        <f>F16*100</f>
        <v>-1.8927845633202711</v>
      </c>
      <c r="H16" t="s">
        <v>16</v>
      </c>
    </row>
    <row r="17" spans="1:8" x14ac:dyDescent="0.25">
      <c r="A17" t="s">
        <v>5</v>
      </c>
      <c r="B17">
        <v>0.67959770114942541</v>
      </c>
      <c r="C17">
        <v>0.67744252873563227</v>
      </c>
      <c r="D17">
        <v>0.6863505747126436</v>
      </c>
      <c r="E17">
        <f t="shared" ref="E17:E24" si="1">AVERAGE(B17:D17)</f>
        <v>0.68113026819923383</v>
      </c>
      <c r="F17">
        <f>E17-$E$4</f>
        <v>-1.3050546155493503E-2</v>
      </c>
      <c r="G17">
        <f t="shared" ref="G17:G23" si="2">F17*100</f>
        <v>-1.3050546155493503</v>
      </c>
      <c r="H17" t="s">
        <v>16</v>
      </c>
    </row>
    <row r="18" spans="1:8" x14ac:dyDescent="0.25">
      <c r="A18" t="s">
        <v>6</v>
      </c>
      <c r="B18">
        <v>0.6919300766045261</v>
      </c>
      <c r="C18">
        <v>0.68374042143241776</v>
      </c>
      <c r="D18">
        <v>0.68393199231359436</v>
      </c>
      <c r="E18">
        <f t="shared" si="1"/>
        <v>0.68653416345017948</v>
      </c>
      <c r="F18">
        <f>E18-$E$5</f>
        <v>-2.7654242338141399E-2</v>
      </c>
      <c r="G18">
        <f t="shared" si="2"/>
        <v>-2.7654242338141399</v>
      </c>
      <c r="H18" t="s">
        <v>16</v>
      </c>
    </row>
    <row r="19" spans="1:8" x14ac:dyDescent="0.25">
      <c r="A19" t="s">
        <v>7</v>
      </c>
      <c r="B19">
        <v>0.74649562333714237</v>
      </c>
      <c r="C19">
        <v>0.74649562333714237</v>
      </c>
      <c r="D19">
        <v>0.74649562333714237</v>
      </c>
      <c r="E19">
        <f t="shared" si="1"/>
        <v>0.74649562333714237</v>
      </c>
      <c r="F19">
        <f>E19-$E$6</f>
        <v>-1.4714506004666172E-2</v>
      </c>
      <c r="G19">
        <f t="shared" si="2"/>
        <v>-1.4714506004666172</v>
      </c>
      <c r="H19" t="s">
        <v>16</v>
      </c>
    </row>
    <row r="20" spans="1:8" x14ac:dyDescent="0.25">
      <c r="A20" t="s">
        <v>8</v>
      </c>
      <c r="B20">
        <v>0.13243422379649381</v>
      </c>
      <c r="C20">
        <v>0.1249492758066641</v>
      </c>
      <c r="D20">
        <v>0.13516733837589159</v>
      </c>
      <c r="E20">
        <f t="shared" si="1"/>
        <v>0.13085027932634982</v>
      </c>
      <c r="F20">
        <f>E20-$E$7</f>
        <v>1.1907860720400815E-2</v>
      </c>
      <c r="G20">
        <f t="shared" si="2"/>
        <v>1.1907860720400816</v>
      </c>
      <c r="H20" t="s">
        <v>17</v>
      </c>
    </row>
    <row r="21" spans="1:8" x14ac:dyDescent="0.25">
      <c r="A21" t="s">
        <v>9</v>
      </c>
      <c r="B21">
        <v>0.50762176039660978</v>
      </c>
      <c r="C21">
        <v>0.50766629049952128</v>
      </c>
      <c r="D21">
        <v>0.50771524184532657</v>
      </c>
      <c r="E21">
        <f t="shared" si="1"/>
        <v>0.50766776424715254</v>
      </c>
      <c r="F21">
        <f>E21-$E$8</f>
        <v>-3.2405159491680768E-2</v>
      </c>
      <c r="G21">
        <f t="shared" si="2"/>
        <v>-3.2405159491680768</v>
      </c>
      <c r="H21" t="s">
        <v>16</v>
      </c>
    </row>
    <row r="22" spans="1:8" x14ac:dyDescent="0.25">
      <c r="A22" t="s">
        <v>10</v>
      </c>
      <c r="B22">
        <v>0.33146551724137929</v>
      </c>
      <c r="C22">
        <v>0.32284482758620692</v>
      </c>
      <c r="D22">
        <v>0.32715517241379299</v>
      </c>
      <c r="E22">
        <f t="shared" si="1"/>
        <v>0.32715517241379305</v>
      </c>
      <c r="F22">
        <f>E22-$E$9</f>
        <v>3.6286023654839017E-3</v>
      </c>
      <c r="G22">
        <f t="shared" si="2"/>
        <v>0.36286023654839017</v>
      </c>
      <c r="H22" t="s">
        <v>17</v>
      </c>
    </row>
    <row r="23" spans="1:8" x14ac:dyDescent="0.25">
      <c r="A23" t="s">
        <v>11</v>
      </c>
      <c r="B23">
        <v>0.51724137931034486</v>
      </c>
      <c r="C23">
        <v>0.50862068965517238</v>
      </c>
      <c r="D23">
        <v>0.50862068965517238</v>
      </c>
      <c r="E23">
        <f t="shared" si="1"/>
        <v>0.5114942528735632</v>
      </c>
      <c r="F23">
        <f>E23-$E$10</f>
        <v>2.887106446776605E-2</v>
      </c>
      <c r="G23">
        <f t="shared" si="2"/>
        <v>2.8871064467766052</v>
      </c>
      <c r="H23" t="s">
        <v>17</v>
      </c>
    </row>
    <row r="24" spans="1:8" x14ac:dyDescent="0.25">
      <c r="A24" t="s">
        <v>12</v>
      </c>
      <c r="B24">
        <v>10.864791746797231</v>
      </c>
      <c r="C24" s="1">
        <v>10.36802453624791</v>
      </c>
      <c r="D24">
        <v>10.57495007843807</v>
      </c>
      <c r="E24">
        <f t="shared" si="1"/>
        <v>10.60258878716107</v>
      </c>
      <c r="F24">
        <f>E24-$E$11</f>
        <v>-4.7710286163945383</v>
      </c>
    </row>
    <row r="27" spans="1:8" x14ac:dyDescent="0.25">
      <c r="A27">
        <v>1500</v>
      </c>
      <c r="B27">
        <v>400</v>
      </c>
    </row>
    <row r="28" spans="1:8" x14ac:dyDescent="0.25">
      <c r="B28" t="s">
        <v>0</v>
      </c>
      <c r="C28" t="s">
        <v>1</v>
      </c>
      <c r="D28" t="s">
        <v>2</v>
      </c>
      <c r="E28" t="s">
        <v>3</v>
      </c>
      <c r="F28" t="s">
        <v>13</v>
      </c>
      <c r="G28" t="s">
        <v>14</v>
      </c>
    </row>
    <row r="29" spans="1:8" x14ac:dyDescent="0.25">
      <c r="A29" t="s">
        <v>4</v>
      </c>
      <c r="B29">
        <v>0.61367116168001123</v>
      </c>
      <c r="C29">
        <v>0.59977194303281267</v>
      </c>
      <c r="D29">
        <v>0.60776092147773564</v>
      </c>
      <c r="E29">
        <f>AVERAGE(B29:D29)</f>
        <v>0.60706800873018663</v>
      </c>
      <c r="F29">
        <f>E29-$E$3</f>
        <v>-2.9217404930226953E-2</v>
      </c>
      <c r="G29">
        <f>F29*100</f>
        <v>-2.9217404930226953</v>
      </c>
      <c r="H29" t="s">
        <v>16</v>
      </c>
    </row>
    <row r="30" spans="1:8" x14ac:dyDescent="0.25">
      <c r="A30" t="s">
        <v>5</v>
      </c>
      <c r="B30">
        <v>0.66752873563218385</v>
      </c>
      <c r="C30">
        <v>0.64712643678160919</v>
      </c>
      <c r="D30">
        <v>0.64985632183908049</v>
      </c>
      <c r="E30">
        <f t="shared" ref="E30:E37" si="3">AVERAGE(B30:D30)</f>
        <v>0.65483716475095788</v>
      </c>
      <c r="F30">
        <f>E30-$E$4</f>
        <v>-3.9343649603769459E-2</v>
      </c>
      <c r="G30">
        <f t="shared" ref="G30:G36" si="4">F30*100</f>
        <v>-3.9343649603769459</v>
      </c>
      <c r="H30" t="s">
        <v>16</v>
      </c>
    </row>
    <row r="31" spans="1:8" x14ac:dyDescent="0.25">
      <c r="A31" t="s">
        <v>6</v>
      </c>
      <c r="B31">
        <v>0.6571739130208194</v>
      </c>
      <c r="C31">
        <v>0.58146551722274542</v>
      </c>
      <c r="D31">
        <v>0.62525362316846889</v>
      </c>
      <c r="E31">
        <f t="shared" si="3"/>
        <v>0.6212976844706779</v>
      </c>
      <c r="F31">
        <f>E31-$E$5</f>
        <v>-9.2890721317642977E-2</v>
      </c>
      <c r="G31">
        <f t="shared" si="4"/>
        <v>-9.2890721317642981</v>
      </c>
      <c r="H31" t="s">
        <v>16</v>
      </c>
    </row>
    <row r="32" spans="1:8" x14ac:dyDescent="0.25">
      <c r="A32" t="s">
        <v>7</v>
      </c>
      <c r="B32">
        <v>0.75996748314060303</v>
      </c>
      <c r="C32">
        <v>0.7565778749617017</v>
      </c>
      <c r="D32">
        <v>0.75996748314060303</v>
      </c>
      <c r="E32">
        <f t="shared" si="3"/>
        <v>0.75883761374763592</v>
      </c>
      <c r="F32">
        <f>E32-$E$6</f>
        <v>-2.3725155941726195E-3</v>
      </c>
      <c r="G32">
        <f t="shared" si="4"/>
        <v>-0.23725155941726195</v>
      </c>
      <c r="H32" t="s">
        <v>16</v>
      </c>
    </row>
    <row r="33" spans="1:8" x14ac:dyDescent="0.25">
      <c r="A33" t="s">
        <v>8</v>
      </c>
      <c r="B33">
        <v>0.14570914570883989</v>
      </c>
      <c r="C33">
        <v>0.1088607187809871</v>
      </c>
      <c r="D33">
        <v>0.12909339434045389</v>
      </c>
      <c r="E33">
        <f t="shared" si="3"/>
        <v>0.12788775294342694</v>
      </c>
      <c r="F33">
        <f>E33-$E$7</f>
        <v>8.9453343374779337E-3</v>
      </c>
      <c r="G33">
        <f t="shared" si="4"/>
        <v>0.89453343374779337</v>
      </c>
    </row>
    <row r="34" spans="1:8" x14ac:dyDescent="0.25">
      <c r="A34" t="s">
        <v>9</v>
      </c>
      <c r="B34">
        <v>0.61025808321708741</v>
      </c>
      <c r="C34">
        <v>0.58939206857297222</v>
      </c>
      <c r="D34">
        <v>0.61025808321708741</v>
      </c>
      <c r="E34">
        <f t="shared" si="3"/>
        <v>0.60330274500238235</v>
      </c>
      <c r="F34">
        <f>E34-$E$8</f>
        <v>6.3229821263549035E-2</v>
      </c>
      <c r="G34">
        <f t="shared" si="4"/>
        <v>6.3229821263549031</v>
      </c>
      <c r="H34" t="s">
        <v>17</v>
      </c>
    </row>
    <row r="35" spans="1:8" x14ac:dyDescent="0.25">
      <c r="A35" t="s">
        <v>10</v>
      </c>
      <c r="B35">
        <v>0.26551724137931038</v>
      </c>
      <c r="C35">
        <v>0.24568965517241381</v>
      </c>
      <c r="D35">
        <v>0.25258620689655181</v>
      </c>
      <c r="E35">
        <f t="shared" si="3"/>
        <v>0.25459770114942537</v>
      </c>
      <c r="F35">
        <f>E35-$E$9</f>
        <v>-6.8928868898883777E-2</v>
      </c>
      <c r="G35">
        <f t="shared" si="4"/>
        <v>-6.8928868898883779</v>
      </c>
      <c r="H35" t="s">
        <v>16</v>
      </c>
    </row>
    <row r="36" spans="1:8" x14ac:dyDescent="0.25">
      <c r="A36" t="s">
        <v>11</v>
      </c>
      <c r="B36">
        <v>0.44827586206896552</v>
      </c>
      <c r="C36">
        <v>0.42241379310344829</v>
      </c>
      <c r="D36">
        <v>0.43103448275862072</v>
      </c>
      <c r="E36">
        <f t="shared" si="3"/>
        <v>0.43390804597701149</v>
      </c>
      <c r="F36">
        <f>E36-$E$10</f>
        <v>-4.8715142428785663E-2</v>
      </c>
      <c r="G36">
        <f t="shared" si="4"/>
        <v>-4.8715142428785665</v>
      </c>
      <c r="H36" t="s">
        <v>16</v>
      </c>
    </row>
    <row r="37" spans="1:8" x14ac:dyDescent="0.25">
      <c r="A37" t="s">
        <v>12</v>
      </c>
      <c r="B37">
        <v>12.757253385823351</v>
      </c>
      <c r="C37" s="1">
        <v>11.61612859676624</v>
      </c>
      <c r="D37">
        <v>12.433386225124879</v>
      </c>
      <c r="E37">
        <f t="shared" si="3"/>
        <v>12.268922735904823</v>
      </c>
      <c r="F37">
        <f>E37-$E$11</f>
        <v>-3.1046946676507847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2C1CF-AF99-4FC0-A37D-09071864ECF5}">
  <dimension ref="A1:O67"/>
  <sheetViews>
    <sheetView workbookViewId="0">
      <selection activeCell="C26" sqref="C26"/>
    </sheetView>
  </sheetViews>
  <sheetFormatPr baseColWidth="10" defaultRowHeight="15" x14ac:dyDescent="0.25"/>
  <sheetData>
    <row r="1" spans="1:5" x14ac:dyDescent="0.25">
      <c r="A1" t="s">
        <v>18</v>
      </c>
    </row>
    <row r="2" spans="1:5" x14ac:dyDescent="0.25">
      <c r="A2">
        <v>1500</v>
      </c>
      <c r="B2">
        <v>300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0.63928167139374037</v>
      </c>
      <c r="C4">
        <v>0.63161098979683061</v>
      </c>
      <c r="D4">
        <v>0.63785624098124105</v>
      </c>
      <c r="E4">
        <f>AVERAGE(B4:D4)</f>
        <v>0.63624963405727064</v>
      </c>
    </row>
    <row r="5" spans="1:5" x14ac:dyDescent="0.25">
      <c r="A5" t="s">
        <v>5</v>
      </c>
      <c r="B5">
        <v>0.69714696223316919</v>
      </c>
      <c r="C5">
        <v>0.699296066252588</v>
      </c>
      <c r="D5">
        <v>0.68654244306418222</v>
      </c>
      <c r="E5">
        <f t="shared" ref="E5:E12" si="0">AVERAGE(B5:D5)</f>
        <v>0.69432849051664647</v>
      </c>
    </row>
    <row r="6" spans="1:5" x14ac:dyDescent="0.25">
      <c r="A6" t="s">
        <v>6</v>
      </c>
      <c r="B6">
        <v>0.72491618771193134</v>
      </c>
      <c r="C6">
        <v>0.71271739127692224</v>
      </c>
      <c r="D6">
        <v>0.70456521736496258</v>
      </c>
      <c r="E6">
        <f t="shared" si="0"/>
        <v>0.71406626545127205</v>
      </c>
    </row>
    <row r="7" spans="1:5" x14ac:dyDescent="0.25">
      <c r="A7" t="s">
        <v>7</v>
      </c>
      <c r="B7">
        <v>0.75592343025572384</v>
      </c>
      <c r="C7">
        <v>0.76445786427386186</v>
      </c>
      <c r="D7">
        <v>0.76363038802542538</v>
      </c>
      <c r="E7">
        <f t="shared" si="0"/>
        <v>0.7613372275183371</v>
      </c>
    </row>
    <row r="8" spans="1:5" x14ac:dyDescent="0.25">
      <c r="A8" t="s">
        <v>8</v>
      </c>
      <c r="B8">
        <v>0.1202172178095338</v>
      </c>
      <c r="C8">
        <v>0.1158506141244314</v>
      </c>
      <c r="D8">
        <v>0.12082725581784701</v>
      </c>
      <c r="E8">
        <f t="shared" si="0"/>
        <v>0.11896502925060408</v>
      </c>
    </row>
    <row r="9" spans="1:5" x14ac:dyDescent="0.25">
      <c r="A9" t="s">
        <v>9</v>
      </c>
      <c r="B9">
        <v>0.54251985943136916</v>
      </c>
      <c r="C9">
        <v>0.53545989803191707</v>
      </c>
      <c r="D9">
        <v>0.54221877121649986</v>
      </c>
      <c r="E9">
        <f t="shared" si="0"/>
        <v>0.54006617622659536</v>
      </c>
    </row>
    <row r="10" spans="1:5" x14ac:dyDescent="0.25">
      <c r="A10" t="s">
        <v>10</v>
      </c>
      <c r="B10">
        <v>0.34885057471264369</v>
      </c>
      <c r="C10">
        <v>0.31057971014492758</v>
      </c>
      <c r="D10">
        <v>0.31057971014492758</v>
      </c>
      <c r="E10">
        <f t="shared" si="0"/>
        <v>0.32333666500083297</v>
      </c>
    </row>
    <row r="11" spans="1:5" x14ac:dyDescent="0.25">
      <c r="A11" t="s">
        <v>11</v>
      </c>
      <c r="B11">
        <v>0.52586206896551724</v>
      </c>
      <c r="C11">
        <v>0.46086956521739131</v>
      </c>
      <c r="D11">
        <v>0.46086956521739131</v>
      </c>
      <c r="E11">
        <f t="shared" si="0"/>
        <v>0.48253373313343334</v>
      </c>
    </row>
    <row r="12" spans="1:5" x14ac:dyDescent="0.25">
      <c r="A12" t="s">
        <v>12</v>
      </c>
      <c r="B12">
        <v>22.538866022537491</v>
      </c>
      <c r="C12">
        <v>12.643024224820341</v>
      </c>
      <c r="D12">
        <v>10.93885221066682</v>
      </c>
      <c r="E12">
        <f t="shared" si="0"/>
        <v>15.37358081934155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400</v>
      </c>
      <c r="D16">
        <v>5</v>
      </c>
    </row>
    <row r="17" spans="1:8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8" x14ac:dyDescent="0.25">
      <c r="A18" t="s">
        <v>4</v>
      </c>
      <c r="B18">
        <v>0.63351272621184107</v>
      </c>
      <c r="C18">
        <v>0.62602869107293879</v>
      </c>
      <c r="D18">
        <v>0.63562295404400659</v>
      </c>
      <c r="E18">
        <f t="shared" ref="E18:E26" si="1">AVERAGE(B18:D18)</f>
        <v>0.63172145710959549</v>
      </c>
      <c r="F18">
        <f>E18-E$4</f>
        <v>-4.5281769476751554E-3</v>
      </c>
      <c r="G18">
        <f>F18*100</f>
        <v>-0.45281769476751554</v>
      </c>
    </row>
    <row r="19" spans="1:8" x14ac:dyDescent="0.25">
      <c r="A19" t="s">
        <v>5</v>
      </c>
      <c r="B19">
        <v>0.63060344827586212</v>
      </c>
      <c r="C19">
        <v>0.62227011494252882</v>
      </c>
      <c r="D19">
        <v>0.63376436781609191</v>
      </c>
      <c r="E19">
        <f t="shared" si="1"/>
        <v>0.62887931034482758</v>
      </c>
      <c r="F19">
        <f>E19-E$5</f>
        <v>-6.5449180171818888E-2</v>
      </c>
      <c r="G19">
        <f t="shared" ref="G19:G25" si="2">F19*100</f>
        <v>-6.5449180171818888</v>
      </c>
      <c r="H19" t="s">
        <v>16</v>
      </c>
    </row>
    <row r="20" spans="1:8" x14ac:dyDescent="0.25">
      <c r="A20" t="s">
        <v>6</v>
      </c>
      <c r="B20">
        <v>0.70974637678520747</v>
      </c>
      <c r="C20">
        <v>0.72195652171092872</v>
      </c>
      <c r="D20">
        <v>0.7130268198961851</v>
      </c>
      <c r="E20">
        <f t="shared" si="1"/>
        <v>0.71490990613077388</v>
      </c>
      <c r="F20">
        <f>E20-E$6</f>
        <v>8.4364067950182253E-4</v>
      </c>
      <c r="G20">
        <f t="shared" si="2"/>
        <v>8.4364067950182253E-2</v>
      </c>
    </row>
    <row r="21" spans="1:8" x14ac:dyDescent="0.25">
      <c r="A21" t="s">
        <v>7</v>
      </c>
      <c r="B21">
        <v>0.76006157871638313</v>
      </c>
      <c r="C21">
        <v>0.76006157871638313</v>
      </c>
      <c r="D21">
        <v>0.76006157871638313</v>
      </c>
      <c r="E21">
        <f t="shared" si="1"/>
        <v>0.76006157871638313</v>
      </c>
      <c r="F21">
        <f>E21-E$7</f>
        <v>-1.2756488019539658E-3</v>
      </c>
      <c r="G21">
        <f t="shared" si="2"/>
        <v>-0.12756488019539658</v>
      </c>
    </row>
    <row r="22" spans="1:8" x14ac:dyDescent="0.25">
      <c r="A22" t="s">
        <v>8</v>
      </c>
      <c r="B22">
        <v>0.14863753589118131</v>
      </c>
      <c r="C22">
        <v>0.14382413673605429</v>
      </c>
      <c r="D22">
        <v>0.15017526964578171</v>
      </c>
      <c r="E22">
        <f t="shared" si="1"/>
        <v>0.14754564742433909</v>
      </c>
      <c r="F22">
        <f>E22-E$8</f>
        <v>2.8580618173735015E-2</v>
      </c>
      <c r="G22">
        <f t="shared" si="2"/>
        <v>2.8580618173735015</v>
      </c>
      <c r="H22" t="s">
        <v>17</v>
      </c>
    </row>
    <row r="23" spans="1:8" x14ac:dyDescent="0.25">
      <c r="A23" t="s">
        <v>9</v>
      </c>
      <c r="B23">
        <v>0.5552812872194981</v>
      </c>
      <c r="C23">
        <v>0.55531351804635143</v>
      </c>
      <c r="D23">
        <v>0.55530281878956966</v>
      </c>
      <c r="E23">
        <f t="shared" si="1"/>
        <v>0.55529920801847299</v>
      </c>
      <c r="F23">
        <f>E23-E$9</f>
        <v>1.5233031791877627E-2</v>
      </c>
      <c r="G23">
        <f t="shared" si="2"/>
        <v>1.5233031791877627</v>
      </c>
      <c r="H23" t="s">
        <v>17</v>
      </c>
    </row>
    <row r="24" spans="1:8" x14ac:dyDescent="0.25">
      <c r="A24" t="s">
        <v>10</v>
      </c>
      <c r="B24">
        <v>0.36206896551724138</v>
      </c>
      <c r="C24">
        <v>0.35344827586206901</v>
      </c>
      <c r="D24">
        <v>0.35344827586206901</v>
      </c>
      <c r="E24">
        <f t="shared" si="1"/>
        <v>0.35632183908045983</v>
      </c>
      <c r="F24">
        <f>E24-E$10</f>
        <v>3.2985174079626867E-2</v>
      </c>
      <c r="G24">
        <f t="shared" si="2"/>
        <v>3.2985174079626867</v>
      </c>
      <c r="H24" t="s">
        <v>17</v>
      </c>
    </row>
    <row r="25" spans="1:8" x14ac:dyDescent="0.25">
      <c r="A25" t="s">
        <v>11</v>
      </c>
      <c r="B25">
        <v>0.50862068965517238</v>
      </c>
      <c r="C25">
        <v>0.5</v>
      </c>
      <c r="D25">
        <v>0.5</v>
      </c>
      <c r="E25">
        <f t="shared" si="1"/>
        <v>0.50287356321839083</v>
      </c>
      <c r="F25">
        <f>E25-E$11</f>
        <v>2.0339830084957489E-2</v>
      </c>
      <c r="G25">
        <f t="shared" si="2"/>
        <v>2.0339830084957491</v>
      </c>
      <c r="H25" t="s">
        <v>17</v>
      </c>
    </row>
    <row r="26" spans="1:8" x14ac:dyDescent="0.25">
      <c r="A26" t="s">
        <v>12</v>
      </c>
      <c r="B26">
        <v>11.19616421337785</v>
      </c>
      <c r="C26" s="1">
        <v>11.108016953386111</v>
      </c>
      <c r="D26">
        <v>10.89680967659786</v>
      </c>
      <c r="E26">
        <f t="shared" si="1"/>
        <v>11.066996947787274</v>
      </c>
      <c r="F26">
        <f>E26-E$12</f>
        <v>-4.3065838715542757</v>
      </c>
    </row>
    <row r="27" spans="1:8" x14ac:dyDescent="0.25">
      <c r="C27" s="1"/>
    </row>
    <row r="28" spans="1:8" x14ac:dyDescent="0.25">
      <c r="C28" s="1"/>
    </row>
    <row r="29" spans="1:8" x14ac:dyDescent="0.25">
      <c r="A29" t="s">
        <v>19</v>
      </c>
    </row>
    <row r="30" spans="1:8" x14ac:dyDescent="0.25">
      <c r="A30">
        <v>1500</v>
      </c>
      <c r="B30">
        <v>300</v>
      </c>
      <c r="C30">
        <v>400</v>
      </c>
      <c r="D30">
        <v>10</v>
      </c>
    </row>
    <row r="31" spans="1:8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8" x14ac:dyDescent="0.25">
      <c r="A32" t="s">
        <v>4</v>
      </c>
      <c r="B32">
        <v>0.65619604566972978</v>
      </c>
      <c r="C32">
        <v>0.66472755366560665</v>
      </c>
      <c r="D32">
        <v>0.65075219614693292</v>
      </c>
      <c r="E32">
        <f t="shared" ref="E32:E40" si="3">AVERAGE(B32:D32)</f>
        <v>0.65722526516075652</v>
      </c>
      <c r="F32">
        <f>E32-E$4</f>
        <v>2.0975631103485881E-2</v>
      </c>
      <c r="G32">
        <f>F32*100</f>
        <v>2.0975631103485881</v>
      </c>
      <c r="H32" t="s">
        <v>17</v>
      </c>
    </row>
    <row r="33" spans="1:15" x14ac:dyDescent="0.25">
      <c r="A33" t="s">
        <v>5</v>
      </c>
      <c r="B33">
        <v>0.63069581280788167</v>
      </c>
      <c r="C33">
        <v>0.64793719211822653</v>
      </c>
      <c r="D33">
        <v>0.67092569786535317</v>
      </c>
      <c r="E33">
        <f t="shared" si="3"/>
        <v>0.64985290093048709</v>
      </c>
      <c r="F33">
        <f>E33-E$5</f>
        <v>-4.4475589586159381E-2</v>
      </c>
      <c r="G33">
        <f t="shared" ref="G33:G39" si="4">F33*100</f>
        <v>-4.4475589586159376</v>
      </c>
      <c r="H33" t="s">
        <v>16</v>
      </c>
    </row>
    <row r="34" spans="1:15" x14ac:dyDescent="0.25">
      <c r="A34" t="s">
        <v>6</v>
      </c>
      <c r="B34">
        <v>0.70167874393576857</v>
      </c>
      <c r="C34">
        <v>0.70777059384295604</v>
      </c>
      <c r="D34">
        <v>0.70626811591633665</v>
      </c>
      <c r="E34">
        <f t="shared" si="3"/>
        <v>0.70523915123168701</v>
      </c>
      <c r="F34">
        <f>E34-E$6</f>
        <v>-8.8271142195850416E-3</v>
      </c>
      <c r="G34">
        <f t="shared" si="4"/>
        <v>-0.88271142195850416</v>
      </c>
      <c r="H34" t="s">
        <v>16</v>
      </c>
    </row>
    <row r="35" spans="1:15" x14ac:dyDescent="0.25">
      <c r="A35" t="s">
        <v>7</v>
      </c>
      <c r="B35">
        <v>0.7645731722938216</v>
      </c>
      <c r="C35">
        <v>0.7645731722938216</v>
      </c>
      <c r="D35">
        <v>0.7645731722938216</v>
      </c>
      <c r="E35">
        <f t="shared" si="3"/>
        <v>0.76457317229382171</v>
      </c>
      <c r="F35">
        <f>E35-E$7</f>
        <v>3.2359447754846116E-3</v>
      </c>
      <c r="G35">
        <f t="shared" si="4"/>
        <v>0.32359447754846116</v>
      </c>
    </row>
    <row r="36" spans="1:15" x14ac:dyDescent="0.25">
      <c r="A36" t="s">
        <v>8</v>
      </c>
      <c r="B36">
        <v>0.14562855618653209</v>
      </c>
      <c r="C36">
        <v>0.13882559465945099</v>
      </c>
      <c r="D36">
        <v>0.141336252868936</v>
      </c>
      <c r="E36">
        <f t="shared" si="3"/>
        <v>0.14193013457163969</v>
      </c>
      <c r="F36">
        <f>E36-E$8</f>
        <v>2.2965105321035614E-2</v>
      </c>
      <c r="G36">
        <f t="shared" si="4"/>
        <v>2.2965105321035613</v>
      </c>
      <c r="H36" t="s">
        <v>17</v>
      </c>
    </row>
    <row r="37" spans="1:15" x14ac:dyDescent="0.25">
      <c r="A37" t="s">
        <v>9</v>
      </c>
      <c r="B37">
        <v>0.56955904715958205</v>
      </c>
      <c r="C37">
        <v>0.56969008919932784</v>
      </c>
      <c r="D37">
        <v>0.56955904715958205</v>
      </c>
      <c r="E37">
        <f t="shared" si="3"/>
        <v>0.56960272783949728</v>
      </c>
      <c r="F37">
        <f>E37-E$9</f>
        <v>2.9536551612901918E-2</v>
      </c>
      <c r="G37">
        <f t="shared" si="4"/>
        <v>2.9536551612901918</v>
      </c>
      <c r="H37" t="s">
        <v>17</v>
      </c>
    </row>
    <row r="38" spans="1:15" x14ac:dyDescent="0.25">
      <c r="A38" t="s">
        <v>10</v>
      </c>
      <c r="B38">
        <v>0.33477011494252867</v>
      </c>
      <c r="C38">
        <v>0.33477011494252867</v>
      </c>
      <c r="D38">
        <v>0.33477011494252867</v>
      </c>
      <c r="E38">
        <f t="shared" si="3"/>
        <v>0.33477011494252867</v>
      </c>
      <c r="F38">
        <f>E38-E$10</f>
        <v>1.1433449941695706E-2</v>
      </c>
      <c r="G38">
        <f t="shared" si="4"/>
        <v>1.1433449941695706</v>
      </c>
      <c r="H38" t="s">
        <v>17</v>
      </c>
    </row>
    <row r="39" spans="1:15" x14ac:dyDescent="0.25">
      <c r="A39" t="s">
        <v>11</v>
      </c>
      <c r="B39">
        <v>0.46551724137931028</v>
      </c>
      <c r="C39">
        <v>0.46551724137931028</v>
      </c>
      <c r="D39">
        <v>0.46551724137931028</v>
      </c>
      <c r="E39">
        <f t="shared" si="3"/>
        <v>0.46551724137931028</v>
      </c>
      <c r="F39">
        <f>E39-E$11</f>
        <v>-1.7016491754123064E-2</v>
      </c>
      <c r="G39">
        <f t="shared" si="4"/>
        <v>-1.7016491754123064</v>
      </c>
      <c r="H39" t="s">
        <v>16</v>
      </c>
    </row>
    <row r="40" spans="1:15" x14ac:dyDescent="0.25">
      <c r="A40" t="s">
        <v>12</v>
      </c>
      <c r="B40">
        <v>10.31293877034352</v>
      </c>
      <c r="C40" s="1">
        <v>10.39542101786054</v>
      </c>
      <c r="D40">
        <v>9.8157314329311767</v>
      </c>
      <c r="E40">
        <f t="shared" si="3"/>
        <v>10.174697073711746</v>
      </c>
      <c r="F40">
        <f>E40-E$12</f>
        <v>-5.1988837456298036</v>
      </c>
    </row>
    <row r="43" spans="1:15" x14ac:dyDescent="0.25">
      <c r="A43" t="s">
        <v>19</v>
      </c>
      <c r="I43" t="s">
        <v>19</v>
      </c>
    </row>
    <row r="44" spans="1:15" x14ac:dyDescent="0.25">
      <c r="A44">
        <v>1500</v>
      </c>
      <c r="B44">
        <v>300</v>
      </c>
      <c r="C44">
        <v>400</v>
      </c>
      <c r="D44">
        <v>15</v>
      </c>
      <c r="I44">
        <v>1500</v>
      </c>
      <c r="J44">
        <v>300</v>
      </c>
      <c r="K44">
        <v>600</v>
      </c>
      <c r="L44">
        <v>15</v>
      </c>
    </row>
    <row r="45" spans="1:15" x14ac:dyDescent="0.25">
      <c r="B45" t="s">
        <v>0</v>
      </c>
      <c r="C45" t="s">
        <v>1</v>
      </c>
      <c r="D45" t="s">
        <v>2</v>
      </c>
      <c r="E45" t="s">
        <v>3</v>
      </c>
      <c r="F45" t="s">
        <v>20</v>
      </c>
      <c r="G45" t="s">
        <v>14</v>
      </c>
      <c r="J45" t="s">
        <v>0</v>
      </c>
      <c r="K45" t="s">
        <v>1</v>
      </c>
      <c r="L45" t="s">
        <v>2</v>
      </c>
      <c r="M45" t="s">
        <v>3</v>
      </c>
      <c r="N45" t="s">
        <v>20</v>
      </c>
      <c r="O45" t="s">
        <v>14</v>
      </c>
    </row>
    <row r="46" spans="1:15" x14ac:dyDescent="0.25">
      <c r="A46" t="s">
        <v>4</v>
      </c>
      <c r="B46">
        <v>0.62861930998294635</v>
      </c>
      <c r="C46">
        <v>0.65029679916043548</v>
      </c>
      <c r="D46">
        <v>0.65322656446509653</v>
      </c>
      <c r="E46">
        <f>AVERAGE(B46:D46)</f>
        <v>0.64404755786949275</v>
      </c>
      <c r="F46">
        <f>E46-$E$4</f>
        <v>7.7979238122221073E-3</v>
      </c>
      <c r="G46">
        <f>F46*100</f>
        <v>0.77979238122221073</v>
      </c>
      <c r="I46" t="s">
        <v>4</v>
      </c>
      <c r="J46">
        <v>0.58116975211111632</v>
      </c>
      <c r="K46">
        <v>0.60617751589973801</v>
      </c>
      <c r="L46">
        <v>0.60536153891758193</v>
      </c>
      <c r="M46">
        <f>AVERAGE(J46:L46)</f>
        <v>0.59756960230947875</v>
      </c>
      <c r="N46">
        <f>M46-E46</f>
        <v>-4.6477955560013995E-2</v>
      </c>
      <c r="O46">
        <f>N46*100</f>
        <v>-4.6477955560013999</v>
      </c>
    </row>
    <row r="47" spans="1:15" x14ac:dyDescent="0.25">
      <c r="A47" t="s">
        <v>5</v>
      </c>
      <c r="B47">
        <v>0.63048029556650242</v>
      </c>
      <c r="C47">
        <v>0.62315270935960587</v>
      </c>
      <c r="D47">
        <v>0.6411124794745483</v>
      </c>
      <c r="E47">
        <f t="shared" ref="E47:E54" si="5">AVERAGE(B47:D47)</f>
        <v>0.63158182813355213</v>
      </c>
      <c r="F47">
        <f>E47-$E$5</f>
        <v>-6.2746662383094343E-2</v>
      </c>
      <c r="G47">
        <f t="shared" ref="G47:G53" si="6">F47*100</f>
        <v>-6.2746662383094343</v>
      </c>
      <c r="I47" t="s">
        <v>5</v>
      </c>
      <c r="J47">
        <v>0.60849753694581277</v>
      </c>
      <c r="K47">
        <v>0.62516420361247937</v>
      </c>
      <c r="L47">
        <v>0.60921592775041045</v>
      </c>
      <c r="M47">
        <f t="shared" ref="M47:M54" si="7">AVERAGE(J47:L47)</f>
        <v>0.6142925561029009</v>
      </c>
      <c r="N47">
        <f t="shared" ref="N47:N54" si="8">M47-E47</f>
        <v>-1.7289272030651226E-2</v>
      </c>
      <c r="O47">
        <f t="shared" ref="O47:O53" si="9">N47*100</f>
        <v>-1.7289272030651226</v>
      </c>
    </row>
    <row r="48" spans="1:15" x14ac:dyDescent="0.25">
      <c r="A48" t="s">
        <v>6</v>
      </c>
      <c r="B48">
        <v>0.64956896549431453</v>
      </c>
      <c r="C48">
        <v>0.68018438694906547</v>
      </c>
      <c r="D48">
        <v>0.67041427200661396</v>
      </c>
      <c r="E48">
        <f t="shared" si="5"/>
        <v>0.66672254148333143</v>
      </c>
      <c r="F48">
        <f>E48-$E$6</f>
        <v>-4.7343723967940621E-2</v>
      </c>
      <c r="G48">
        <f t="shared" si="6"/>
        <v>-4.7343723967940621</v>
      </c>
      <c r="I48" t="s">
        <v>6</v>
      </c>
      <c r="J48">
        <v>0.63952346741104926</v>
      </c>
      <c r="K48">
        <v>0.67476053637439981</v>
      </c>
      <c r="L48">
        <v>0.6631345785201086</v>
      </c>
      <c r="M48">
        <f t="shared" si="7"/>
        <v>0.65913952743518589</v>
      </c>
      <c r="N48">
        <f t="shared" si="8"/>
        <v>-7.5830140481455421E-3</v>
      </c>
      <c r="O48">
        <f t="shared" si="9"/>
        <v>-0.75830140481455421</v>
      </c>
    </row>
    <row r="49" spans="1:15" x14ac:dyDescent="0.25">
      <c r="A49" t="s">
        <v>7</v>
      </c>
      <c r="B49">
        <v>0.76165258772505207</v>
      </c>
      <c r="C49">
        <v>0.76165258772505207</v>
      </c>
      <c r="D49">
        <v>0.76165258772505207</v>
      </c>
      <c r="E49">
        <f t="shared" si="5"/>
        <v>0.76165258772505207</v>
      </c>
      <c r="F49">
        <f>E49-$E$7</f>
        <v>3.1536020671496523E-4</v>
      </c>
      <c r="G49">
        <f t="shared" si="6"/>
        <v>3.1536020671496523E-2</v>
      </c>
      <c r="I49" t="s">
        <v>7</v>
      </c>
      <c r="J49">
        <v>0.75484597742695825</v>
      </c>
      <c r="K49">
        <v>0.75484597742695825</v>
      </c>
      <c r="L49">
        <v>0.75484597742695825</v>
      </c>
      <c r="M49">
        <f t="shared" si="7"/>
        <v>0.75484597742695814</v>
      </c>
      <c r="N49">
        <f t="shared" si="8"/>
        <v>-6.8066102980939291E-3</v>
      </c>
      <c r="O49">
        <f t="shared" si="9"/>
        <v>-0.68066102980939291</v>
      </c>
    </row>
    <row r="50" spans="1:15" x14ac:dyDescent="0.25">
      <c r="A50" t="s">
        <v>8</v>
      </c>
      <c r="B50">
        <v>0.12228882773438179</v>
      </c>
      <c r="C50">
        <v>0.130548145035601</v>
      </c>
      <c r="D50">
        <v>0.1235946086697287</v>
      </c>
      <c r="E50">
        <f t="shared" si="5"/>
        <v>0.12547719381323716</v>
      </c>
      <c r="F50">
        <f>E50-$E$8</f>
        <v>6.5121645626330799E-3</v>
      </c>
      <c r="G50">
        <f t="shared" si="6"/>
        <v>0.65121645626330804</v>
      </c>
      <c r="I50" t="s">
        <v>8</v>
      </c>
      <c r="J50">
        <v>0.12039097349345269</v>
      </c>
      <c r="K50">
        <v>0.1208664797934889</v>
      </c>
      <c r="L50">
        <v>0.1127508406541232</v>
      </c>
      <c r="M50">
        <f t="shared" si="7"/>
        <v>0.1180027646470216</v>
      </c>
      <c r="N50">
        <f t="shared" si="8"/>
        <v>-7.4744291662155599E-3</v>
      </c>
      <c r="O50">
        <f t="shared" si="9"/>
        <v>-0.74744291662155593</v>
      </c>
    </row>
    <row r="51" spans="1:15" x14ac:dyDescent="0.25">
      <c r="A51" t="s">
        <v>9</v>
      </c>
      <c r="B51">
        <v>0.53661076583489509</v>
      </c>
      <c r="C51">
        <v>0.53599105026958216</v>
      </c>
      <c r="D51">
        <v>0.53583428166634284</v>
      </c>
      <c r="E51">
        <f t="shared" si="5"/>
        <v>0.53614536592360673</v>
      </c>
      <c r="F51">
        <f>E51-$E$9</f>
        <v>-3.920810302988631E-3</v>
      </c>
      <c r="G51">
        <f t="shared" si="6"/>
        <v>-0.3920810302988631</v>
      </c>
      <c r="I51" t="s">
        <v>9</v>
      </c>
      <c r="J51">
        <v>0.54799313232763169</v>
      </c>
      <c r="K51">
        <v>0.55503114084071004</v>
      </c>
      <c r="L51">
        <v>0.55535068561869882</v>
      </c>
      <c r="M51">
        <f t="shared" si="7"/>
        <v>0.55279165292901355</v>
      </c>
      <c r="N51">
        <f t="shared" si="8"/>
        <v>1.6646287005406823E-2</v>
      </c>
      <c r="O51">
        <f t="shared" si="9"/>
        <v>1.6646287005406823</v>
      </c>
    </row>
    <row r="52" spans="1:15" x14ac:dyDescent="0.25">
      <c r="A52" t="s">
        <v>10</v>
      </c>
      <c r="B52">
        <v>0.32241379310344831</v>
      </c>
      <c r="C52">
        <v>0.32241379310344831</v>
      </c>
      <c r="D52">
        <v>0.31379310344827582</v>
      </c>
      <c r="E52">
        <f t="shared" si="5"/>
        <v>0.31954022988505748</v>
      </c>
      <c r="F52">
        <f>E52-$E$10</f>
        <v>-3.7964351157754872E-3</v>
      </c>
      <c r="G52">
        <f t="shared" si="6"/>
        <v>-0.37964351157754872</v>
      </c>
      <c r="I52" t="s">
        <v>10</v>
      </c>
      <c r="J52">
        <v>0.31422413793103449</v>
      </c>
      <c r="K52">
        <v>0.32284482758620692</v>
      </c>
      <c r="L52">
        <v>0.31853448275862067</v>
      </c>
      <c r="M52">
        <f t="shared" si="7"/>
        <v>0.31853448275862073</v>
      </c>
      <c r="N52">
        <f t="shared" si="8"/>
        <v>-1.0057471264367512E-3</v>
      </c>
      <c r="O52">
        <f t="shared" si="9"/>
        <v>-0.10057471264367512</v>
      </c>
    </row>
    <row r="53" spans="1:15" x14ac:dyDescent="0.25">
      <c r="A53" t="s">
        <v>11</v>
      </c>
      <c r="B53">
        <v>0.43103448275862072</v>
      </c>
      <c r="C53">
        <v>0.43103448275862072</v>
      </c>
      <c r="D53">
        <v>0.42241379310344829</v>
      </c>
      <c r="E53">
        <f t="shared" si="5"/>
        <v>0.42816091954022989</v>
      </c>
      <c r="F53">
        <f>E53-$E$11</f>
        <v>-5.4372813593203451E-2</v>
      </c>
      <c r="G53">
        <f t="shared" si="6"/>
        <v>-5.4372813593203446</v>
      </c>
      <c r="I53" t="s">
        <v>11</v>
      </c>
      <c r="J53">
        <v>0.42241379310344829</v>
      </c>
      <c r="K53">
        <v>0.43103448275862072</v>
      </c>
      <c r="L53">
        <v>0.42241379310344829</v>
      </c>
      <c r="M53">
        <f t="shared" si="7"/>
        <v>0.42528735632183912</v>
      </c>
      <c r="N53">
        <f t="shared" si="8"/>
        <v>-2.8735632183907733E-3</v>
      </c>
      <c r="O53">
        <f t="shared" si="9"/>
        <v>-0.28735632183907733</v>
      </c>
    </row>
    <row r="54" spans="1:15" x14ac:dyDescent="0.25">
      <c r="A54" t="s">
        <v>12</v>
      </c>
      <c r="B54">
        <v>11.24697343028825</v>
      </c>
      <c r="C54" s="1">
        <v>10.637627139173709</v>
      </c>
      <c r="D54">
        <v>11.093879611327729</v>
      </c>
      <c r="E54">
        <f t="shared" si="5"/>
        <v>10.992826726929897</v>
      </c>
      <c r="F54">
        <f>E54-$E$12</f>
        <v>-4.380754092411653</v>
      </c>
      <c r="I54" t="s">
        <v>12</v>
      </c>
      <c r="J54">
        <v>10.782622464771929</v>
      </c>
      <c r="K54" s="1">
        <v>10.95228897086505</v>
      </c>
      <c r="L54">
        <v>11.172789222207561</v>
      </c>
      <c r="M54">
        <f t="shared" si="7"/>
        <v>10.969233552614847</v>
      </c>
      <c r="N54">
        <f t="shared" si="8"/>
        <v>-2.3593174315049481E-2</v>
      </c>
    </row>
    <row r="56" spans="1:15" x14ac:dyDescent="0.25">
      <c r="A56" t="s">
        <v>19</v>
      </c>
    </row>
    <row r="57" spans="1:15" x14ac:dyDescent="0.25">
      <c r="A57">
        <v>1500</v>
      </c>
      <c r="B57">
        <v>300</v>
      </c>
      <c r="C57">
        <v>400</v>
      </c>
      <c r="D57">
        <v>20</v>
      </c>
    </row>
    <row r="58" spans="1:15" x14ac:dyDescent="0.25">
      <c r="B58" t="s">
        <v>0</v>
      </c>
      <c r="C58" t="s">
        <v>1</v>
      </c>
      <c r="D58" t="s">
        <v>2</v>
      </c>
      <c r="E58" t="s">
        <v>3</v>
      </c>
      <c r="F58" t="s">
        <v>20</v>
      </c>
      <c r="G58" t="s">
        <v>14</v>
      </c>
    </row>
    <row r="59" spans="1:15" x14ac:dyDescent="0.25">
      <c r="A59" t="s">
        <v>4</v>
      </c>
      <c r="B59">
        <v>0.61555959331188681</v>
      </c>
      <c r="C59">
        <v>0.65158730158730149</v>
      </c>
      <c r="D59">
        <v>0.65265971402335043</v>
      </c>
      <c r="E59">
        <f>AVERAGE(B59:D59)</f>
        <v>0.63993553630751299</v>
      </c>
      <c r="F59">
        <f>E59-E$4</f>
        <v>3.6859022502423455E-3</v>
      </c>
      <c r="G59">
        <f>F59*100</f>
        <v>0.36859022502423455</v>
      </c>
    </row>
    <row r="60" spans="1:15" x14ac:dyDescent="0.25">
      <c r="A60" t="s">
        <v>5</v>
      </c>
      <c r="B60">
        <v>0.67097701149425282</v>
      </c>
      <c r="C60">
        <v>0.66939655172413781</v>
      </c>
      <c r="D60">
        <v>0.67054597701149421</v>
      </c>
      <c r="E60">
        <f t="shared" ref="E60:E67" si="10">AVERAGE(B60:D60)</f>
        <v>0.67030651340996161</v>
      </c>
      <c r="F60">
        <f>E60-E$5</f>
        <v>-2.4021977106684855E-2</v>
      </c>
      <c r="G60">
        <f t="shared" ref="G60:G66" si="11">F60*100</f>
        <v>-2.4021977106684855</v>
      </c>
    </row>
    <row r="61" spans="1:15" x14ac:dyDescent="0.25">
      <c r="A61" t="s">
        <v>6</v>
      </c>
      <c r="B61">
        <v>0.64281400963976165</v>
      </c>
      <c r="C61">
        <v>0.65427536229576322</v>
      </c>
      <c r="D61">
        <v>0.65949473177800511</v>
      </c>
      <c r="E61">
        <f t="shared" si="10"/>
        <v>0.65219470123784329</v>
      </c>
      <c r="F61">
        <f>E61-E$6</f>
        <v>-6.1871564213428765E-2</v>
      </c>
      <c r="G61">
        <f t="shared" si="11"/>
        <v>-6.1871564213428769</v>
      </c>
    </row>
    <row r="62" spans="1:15" x14ac:dyDescent="0.25">
      <c r="A62" t="s">
        <v>7</v>
      </c>
      <c r="B62">
        <v>0.76950864952882647</v>
      </c>
      <c r="C62">
        <v>0.7707857655317053</v>
      </c>
      <c r="D62">
        <v>0.77190141442109028</v>
      </c>
      <c r="E62">
        <f t="shared" si="10"/>
        <v>0.77073194316054072</v>
      </c>
      <c r="F62">
        <f>E62-E$7</f>
        <v>9.3947156422036215E-3</v>
      </c>
      <c r="G62">
        <f t="shared" si="11"/>
        <v>0.93947156422036215</v>
      </c>
    </row>
    <row r="63" spans="1:15" x14ac:dyDescent="0.25">
      <c r="A63" t="s">
        <v>8</v>
      </c>
      <c r="B63">
        <v>0.11081178003243131</v>
      </c>
      <c r="C63">
        <v>0.122654639095896</v>
      </c>
      <c r="D63">
        <v>0.1153495195865346</v>
      </c>
      <c r="E63">
        <f t="shared" si="10"/>
        <v>0.11627197957162062</v>
      </c>
      <c r="F63">
        <f>E63-E$8</f>
        <v>-2.6930496789834557E-3</v>
      </c>
      <c r="G63">
        <f t="shared" si="11"/>
        <v>-0.26930496789834557</v>
      </c>
    </row>
    <row r="64" spans="1:15" x14ac:dyDescent="0.25">
      <c r="A64" t="s">
        <v>9</v>
      </c>
      <c r="B64">
        <v>0.60866933546773316</v>
      </c>
      <c r="C64">
        <v>0.59323477226513066</v>
      </c>
      <c r="D64">
        <v>0.56796815813713286</v>
      </c>
      <c r="E64">
        <f t="shared" si="10"/>
        <v>0.58995742195666556</v>
      </c>
      <c r="F64">
        <f>E64-E$9</f>
        <v>4.9891245730070199E-2</v>
      </c>
      <c r="G64">
        <f t="shared" si="11"/>
        <v>4.9891245730070199</v>
      </c>
    </row>
    <row r="65" spans="1:7" x14ac:dyDescent="0.25">
      <c r="A65" t="s">
        <v>10</v>
      </c>
      <c r="B65">
        <v>0.28893678160919539</v>
      </c>
      <c r="C65">
        <v>0.28864942528735632</v>
      </c>
      <c r="D65">
        <v>0.30373563218390798</v>
      </c>
      <c r="E65">
        <f t="shared" si="10"/>
        <v>0.29377394636015325</v>
      </c>
      <c r="F65">
        <f>E65-E$10</f>
        <v>-2.9562718640679719E-2</v>
      </c>
      <c r="G65">
        <f t="shared" si="11"/>
        <v>-2.9562718640679719</v>
      </c>
    </row>
    <row r="66" spans="1:7" x14ac:dyDescent="0.25">
      <c r="A66" t="s">
        <v>11</v>
      </c>
      <c r="B66">
        <v>0.44827586206896552</v>
      </c>
      <c r="C66">
        <v>0.43103448275862072</v>
      </c>
      <c r="D66">
        <v>0.44827586206896552</v>
      </c>
      <c r="E66">
        <f t="shared" si="10"/>
        <v>0.44252873563218392</v>
      </c>
      <c r="F66">
        <f>E66-E$11</f>
        <v>-4.0004997501249417E-2</v>
      </c>
      <c r="G66">
        <f t="shared" si="11"/>
        <v>-4.0004997501249413</v>
      </c>
    </row>
    <row r="67" spans="1:7" x14ac:dyDescent="0.25">
      <c r="A67" t="s">
        <v>12</v>
      </c>
      <c r="B67">
        <v>37.130805184101227</v>
      </c>
      <c r="C67" s="1">
        <v>12.481576933942989</v>
      </c>
      <c r="D67">
        <v>12.33926722099041</v>
      </c>
      <c r="E67">
        <f t="shared" si="10"/>
        <v>20.650549779678208</v>
      </c>
      <c r="F67">
        <f>E67-E$12</f>
        <v>5.2769689603366583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4D6A0-67B0-420F-B472-231F769BBEC3}">
  <dimension ref="A1:G40"/>
  <sheetViews>
    <sheetView workbookViewId="0">
      <selection activeCell="J29" sqref="J29"/>
    </sheetView>
  </sheetViews>
  <sheetFormatPr baseColWidth="10" defaultRowHeight="15" x14ac:dyDescent="0.25"/>
  <sheetData>
    <row r="1" spans="1:5" x14ac:dyDescent="0.25">
      <c r="A1" t="s">
        <v>19</v>
      </c>
    </row>
    <row r="2" spans="1:5" x14ac:dyDescent="0.25">
      <c r="A2">
        <v>1500</v>
      </c>
      <c r="B2">
        <v>300</v>
      </c>
      <c r="C2">
        <v>400</v>
      </c>
      <c r="D2">
        <v>5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0.63351272621184107</v>
      </c>
      <c r="C4">
        <v>0.62602869107293879</v>
      </c>
      <c r="D4">
        <v>0.63562295404400659</v>
      </c>
      <c r="E4">
        <f t="shared" ref="E4:E12" si="0">AVERAGE(B4:D4)</f>
        <v>0.63172145710959549</v>
      </c>
    </row>
    <row r="5" spans="1:5" x14ac:dyDescent="0.25">
      <c r="A5" t="s">
        <v>5</v>
      </c>
      <c r="B5">
        <v>0.63060344827586212</v>
      </c>
      <c r="C5">
        <v>0.62227011494252882</v>
      </c>
      <c r="D5">
        <v>0.63376436781609191</v>
      </c>
      <c r="E5">
        <f t="shared" si="0"/>
        <v>0.62887931034482758</v>
      </c>
    </row>
    <row r="6" spans="1:5" x14ac:dyDescent="0.25">
      <c r="A6" t="s">
        <v>6</v>
      </c>
      <c r="B6">
        <v>0.70974637678520747</v>
      </c>
      <c r="C6">
        <v>0.72195652171092872</v>
      </c>
      <c r="D6">
        <v>0.7130268198961851</v>
      </c>
      <c r="E6">
        <f t="shared" si="0"/>
        <v>0.71490990613077388</v>
      </c>
    </row>
    <row r="7" spans="1:5" x14ac:dyDescent="0.25">
      <c r="A7" t="s">
        <v>7</v>
      </c>
      <c r="B7">
        <v>0.76006157871638313</v>
      </c>
      <c r="C7">
        <v>0.76006157871638313</v>
      </c>
      <c r="D7">
        <v>0.76006157871638313</v>
      </c>
      <c r="E7">
        <f t="shared" si="0"/>
        <v>0.76006157871638313</v>
      </c>
    </row>
    <row r="8" spans="1:5" x14ac:dyDescent="0.25">
      <c r="A8" t="s">
        <v>8</v>
      </c>
      <c r="B8">
        <v>0.14863753589118131</v>
      </c>
      <c r="C8">
        <v>0.14382413673605429</v>
      </c>
      <c r="D8">
        <v>0.15017526964578171</v>
      </c>
      <c r="E8">
        <f t="shared" si="0"/>
        <v>0.14754564742433909</v>
      </c>
    </row>
    <row r="9" spans="1:5" x14ac:dyDescent="0.25">
      <c r="A9" t="s">
        <v>9</v>
      </c>
      <c r="B9">
        <v>0.5552812872194981</v>
      </c>
      <c r="C9">
        <v>0.55531351804635143</v>
      </c>
      <c r="D9">
        <v>0.55530281878956966</v>
      </c>
      <c r="E9">
        <f t="shared" si="0"/>
        <v>0.55529920801847299</v>
      </c>
    </row>
    <row r="10" spans="1:5" x14ac:dyDescent="0.25">
      <c r="A10" t="s">
        <v>10</v>
      </c>
      <c r="B10">
        <v>0.36206896551724138</v>
      </c>
      <c r="C10">
        <v>0.35344827586206901</v>
      </c>
      <c r="D10">
        <v>0.35344827586206901</v>
      </c>
      <c r="E10">
        <f t="shared" si="0"/>
        <v>0.35632183908045983</v>
      </c>
    </row>
    <row r="11" spans="1:5" x14ac:dyDescent="0.25">
      <c r="A11" t="s">
        <v>11</v>
      </c>
      <c r="B11">
        <v>0.50862068965517238</v>
      </c>
      <c r="C11">
        <v>0.5</v>
      </c>
      <c r="D11">
        <v>0.5</v>
      </c>
      <c r="E11">
        <f t="shared" si="0"/>
        <v>0.50287356321839083</v>
      </c>
    </row>
    <row r="12" spans="1:5" x14ac:dyDescent="0.25">
      <c r="A12" t="s">
        <v>12</v>
      </c>
      <c r="B12">
        <v>11.19616421337785</v>
      </c>
      <c r="C12" s="1">
        <v>11.108016953386111</v>
      </c>
      <c r="D12">
        <v>10.89680967659786</v>
      </c>
      <c r="E12">
        <f t="shared" si="0"/>
        <v>11.066996947787274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500</v>
      </c>
      <c r="D16">
        <v>5</v>
      </c>
    </row>
    <row r="17" spans="1:7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7" x14ac:dyDescent="0.25">
      <c r="A18" t="s">
        <v>4</v>
      </c>
      <c r="B18" s="4">
        <v>0.59221648557931739</v>
      </c>
      <c r="C18">
        <v>0.59493776204302518</v>
      </c>
      <c r="D18">
        <v>0.61003051529367314</v>
      </c>
      <c r="E18">
        <f t="shared" ref="E18:E26" si="1">AVERAGE(B18:D18)</f>
        <v>0.5990615876386719</v>
      </c>
      <c r="F18">
        <f>E18-E$4</f>
        <v>-3.2659869470923586E-2</v>
      </c>
      <c r="G18">
        <f>F18*100</f>
        <v>-3.2659869470923586</v>
      </c>
    </row>
    <row r="19" spans="1:7" x14ac:dyDescent="0.25">
      <c r="A19" t="s">
        <v>5</v>
      </c>
      <c r="B19" s="4">
        <v>0.61408045977011494</v>
      </c>
      <c r="C19">
        <v>0.64928160919540223</v>
      </c>
      <c r="D19">
        <v>0.64382183908045965</v>
      </c>
      <c r="E19">
        <f t="shared" si="1"/>
        <v>0.63572796934865894</v>
      </c>
      <c r="F19">
        <f>E19-E$5</f>
        <v>6.8486590038313588E-3</v>
      </c>
      <c r="G19">
        <f t="shared" ref="G19:G25" si="2">F19*100</f>
        <v>0.68486590038313588</v>
      </c>
    </row>
    <row r="20" spans="1:7" x14ac:dyDescent="0.25">
      <c r="A20" t="s">
        <v>6</v>
      </c>
      <c r="B20" s="4">
        <v>0.70400966180911884</v>
      </c>
      <c r="C20">
        <v>0.71094348656380024</v>
      </c>
      <c r="D20">
        <v>0.70604645591214499</v>
      </c>
      <c r="E20">
        <f t="shared" si="1"/>
        <v>0.70699986809502136</v>
      </c>
      <c r="F20">
        <f>E20-E$6</f>
        <v>-7.9100380357525202E-3</v>
      </c>
      <c r="G20">
        <f t="shared" si="2"/>
        <v>-0.79100380357525202</v>
      </c>
    </row>
    <row r="21" spans="1:7" x14ac:dyDescent="0.25">
      <c r="A21" t="s">
        <v>7</v>
      </c>
      <c r="B21" s="4">
        <v>0.7560400178544624</v>
      </c>
      <c r="C21">
        <v>0.7560400178544624</v>
      </c>
      <c r="D21">
        <v>0.7560400178544624</v>
      </c>
      <c r="E21">
        <f t="shared" si="1"/>
        <v>0.7560400178544624</v>
      </c>
      <c r="F21">
        <f>E21-E$7</f>
        <v>-4.0215608619207366E-3</v>
      </c>
      <c r="G21">
        <f t="shared" si="2"/>
        <v>-0.40215608619207366</v>
      </c>
    </row>
    <row r="22" spans="1:7" x14ac:dyDescent="0.25">
      <c r="A22" t="s">
        <v>8</v>
      </c>
      <c r="B22" s="4">
        <v>0.13995621720847409</v>
      </c>
      <c r="C22">
        <v>0.1411203399061548</v>
      </c>
      <c r="D22">
        <v>0.1494549052335897</v>
      </c>
      <c r="E22">
        <f t="shared" si="1"/>
        <v>0.1435104874494062</v>
      </c>
      <c r="F22">
        <f>E22-E$8</f>
        <v>-4.0351599749328948E-3</v>
      </c>
      <c r="G22">
        <f t="shared" si="2"/>
        <v>-0.40351599749328948</v>
      </c>
    </row>
    <row r="23" spans="1:7" x14ac:dyDescent="0.25">
      <c r="A23" t="s">
        <v>9</v>
      </c>
      <c r="B23" s="4">
        <v>0.55506857152178457</v>
      </c>
      <c r="C23">
        <v>0.55503634069493146</v>
      </c>
      <c r="D23">
        <v>0.55506857152178457</v>
      </c>
      <c r="E23">
        <f t="shared" si="1"/>
        <v>0.55505782791283353</v>
      </c>
      <c r="F23">
        <f>E23-E$9</f>
        <v>-2.4138010563945489E-4</v>
      </c>
      <c r="G23">
        <f t="shared" si="2"/>
        <v>-2.4138010563945489E-2</v>
      </c>
    </row>
    <row r="24" spans="1:7" x14ac:dyDescent="0.25">
      <c r="A24" t="s">
        <v>10</v>
      </c>
      <c r="B24" s="4">
        <v>0.31867816091954032</v>
      </c>
      <c r="C24">
        <v>0.33160919540229888</v>
      </c>
      <c r="D24">
        <v>0.3445402298850575</v>
      </c>
      <c r="E24">
        <f t="shared" si="1"/>
        <v>0.33160919540229888</v>
      </c>
      <c r="F24">
        <f>E24-E$10</f>
        <v>-2.471264367816095E-2</v>
      </c>
      <c r="G24">
        <f t="shared" si="2"/>
        <v>-2.471264367816095</v>
      </c>
    </row>
    <row r="25" spans="1:7" x14ac:dyDescent="0.25">
      <c r="A25" t="s">
        <v>11</v>
      </c>
      <c r="B25" s="4">
        <v>0.45689655172413801</v>
      </c>
      <c r="C25">
        <v>0.46551724137931028</v>
      </c>
      <c r="D25">
        <v>0.48275862068965519</v>
      </c>
      <c r="E25">
        <f t="shared" si="1"/>
        <v>0.46839080459770116</v>
      </c>
      <c r="F25">
        <f>E25-E$11</f>
        <v>-3.4482758620689669E-2</v>
      </c>
      <c r="G25">
        <f t="shared" si="2"/>
        <v>-3.4482758620689671</v>
      </c>
    </row>
    <row r="26" spans="1:7" x14ac:dyDescent="0.25">
      <c r="A26" t="s">
        <v>12</v>
      </c>
      <c r="B26" s="4">
        <v>11.706257104873661</v>
      </c>
      <c r="C26" s="1">
        <v>10.99899522189436</v>
      </c>
      <c r="D26">
        <v>11.138804086323439</v>
      </c>
      <c r="E26">
        <f t="shared" si="1"/>
        <v>11.281352137697153</v>
      </c>
      <c r="F26">
        <f>E26-E$12</f>
        <v>0.21435518990987923</v>
      </c>
    </row>
    <row r="29" spans="1:7" x14ac:dyDescent="0.25">
      <c r="A29" t="s">
        <v>19</v>
      </c>
    </row>
    <row r="30" spans="1:7" x14ac:dyDescent="0.25">
      <c r="A30">
        <v>1500</v>
      </c>
      <c r="B30">
        <v>300</v>
      </c>
      <c r="C30">
        <v>600</v>
      </c>
      <c r="D30">
        <v>5</v>
      </c>
    </row>
    <row r="31" spans="1:7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7" x14ac:dyDescent="0.25">
      <c r="A32" t="s">
        <v>4</v>
      </c>
      <c r="B32">
        <v>0.58637347500983861</v>
      </c>
      <c r="C32" s="4">
        <v>0.58366840866840863</v>
      </c>
      <c r="D32">
        <v>0.58937131050767411</v>
      </c>
      <c r="E32">
        <f t="shared" ref="E32:E40" si="3">AVERAGE(C32:D32)</f>
        <v>0.58651985958804143</v>
      </c>
      <c r="F32">
        <f>E32-E$4</f>
        <v>-4.520159752155406E-2</v>
      </c>
      <c r="G32">
        <f>F32*100</f>
        <v>-4.520159752155406</v>
      </c>
    </row>
    <row r="33" spans="1:7" x14ac:dyDescent="0.25">
      <c r="A33" t="s">
        <v>5</v>
      </c>
      <c r="B33">
        <v>0.62635467980295567</v>
      </c>
      <c r="C33" s="4">
        <v>0.62943349753694577</v>
      </c>
      <c r="D33">
        <v>0.61988916256157633</v>
      </c>
      <c r="E33">
        <f t="shared" si="3"/>
        <v>0.62466133004926105</v>
      </c>
      <c r="F33">
        <f>E33-E$5</f>
        <v>-4.2179802955665258E-3</v>
      </c>
      <c r="G33">
        <f t="shared" ref="G33:G39" si="4">F33*100</f>
        <v>-0.42179802955665258</v>
      </c>
    </row>
    <row r="34" spans="1:7" x14ac:dyDescent="0.25">
      <c r="A34" t="s">
        <v>6</v>
      </c>
      <c r="B34">
        <v>0.70331384013056886</v>
      </c>
      <c r="C34" s="4">
        <v>0.71747584538549414</v>
      </c>
      <c r="D34">
        <v>0.70080409354121465</v>
      </c>
      <c r="E34">
        <f t="shared" si="3"/>
        <v>0.70913996946335445</v>
      </c>
      <c r="F34">
        <f>E34-E$6</f>
        <v>-5.7699366674194286E-3</v>
      </c>
      <c r="G34">
        <f t="shared" si="4"/>
        <v>-0.57699366674194286</v>
      </c>
    </row>
    <row r="35" spans="1:7" x14ac:dyDescent="0.25">
      <c r="A35" t="s">
        <v>7</v>
      </c>
      <c r="B35">
        <v>0.76039935416643756</v>
      </c>
      <c r="C35" s="4">
        <v>0.76039935416643756</v>
      </c>
      <c r="D35">
        <v>0.76039935416643756</v>
      </c>
      <c r="E35">
        <f t="shared" si="3"/>
        <v>0.76039935416643756</v>
      </c>
      <c r="F35">
        <f>E35-E$7</f>
        <v>3.3777545005442278E-4</v>
      </c>
      <c r="G35">
        <f t="shared" si="4"/>
        <v>3.3777545005442278E-2</v>
      </c>
    </row>
    <row r="36" spans="1:7" x14ac:dyDescent="0.25">
      <c r="A36" t="s">
        <v>8</v>
      </c>
      <c r="B36">
        <v>0.123175505660665</v>
      </c>
      <c r="C36" s="4">
        <v>0.13378200496323939</v>
      </c>
      <c r="D36">
        <v>0.1391438137885227</v>
      </c>
      <c r="E36">
        <f t="shared" si="3"/>
        <v>0.13646290937588104</v>
      </c>
      <c r="F36">
        <f>E36-E$8</f>
        <v>-1.1082738048458052E-2</v>
      </c>
      <c r="G36">
        <f t="shared" si="4"/>
        <v>-1.1082738048458052</v>
      </c>
    </row>
    <row r="37" spans="1:7" x14ac:dyDescent="0.25">
      <c r="A37" t="s">
        <v>9</v>
      </c>
      <c r="B37">
        <v>0.55192605413259055</v>
      </c>
      <c r="C37" s="4">
        <v>0.55189382330573733</v>
      </c>
      <c r="D37">
        <v>0.551859992206436</v>
      </c>
      <c r="E37">
        <f t="shared" si="3"/>
        <v>0.55187690775608667</v>
      </c>
      <c r="F37">
        <f>E37-E$9</f>
        <v>-3.4223002623863241E-3</v>
      </c>
      <c r="G37">
        <f t="shared" si="4"/>
        <v>-0.34223002623863241</v>
      </c>
    </row>
    <row r="38" spans="1:7" x14ac:dyDescent="0.25">
      <c r="A38" t="s">
        <v>10</v>
      </c>
      <c r="B38">
        <v>0.31264367816091948</v>
      </c>
      <c r="C38" s="4">
        <v>0.31264367816091948</v>
      </c>
      <c r="D38">
        <v>0.32557471264367821</v>
      </c>
      <c r="E38">
        <f t="shared" si="3"/>
        <v>0.31910919540229887</v>
      </c>
      <c r="F38">
        <f>E38-E$10</f>
        <v>-3.7212643678160962E-2</v>
      </c>
      <c r="G38">
        <f t="shared" si="4"/>
        <v>-3.7212643678160964</v>
      </c>
    </row>
    <row r="39" spans="1:7" x14ac:dyDescent="0.25">
      <c r="A39" t="s">
        <v>11</v>
      </c>
      <c r="B39">
        <v>0.43965517241379309</v>
      </c>
      <c r="C39" s="4">
        <v>0.43965517241379309</v>
      </c>
      <c r="D39">
        <v>0.45689655172413801</v>
      </c>
      <c r="E39">
        <f t="shared" si="3"/>
        <v>0.44827586206896552</v>
      </c>
      <c r="F39">
        <f>E39-E$11</f>
        <v>-5.4597701149425304E-2</v>
      </c>
      <c r="G39">
        <f t="shared" si="4"/>
        <v>-5.4597701149425308</v>
      </c>
    </row>
    <row r="40" spans="1:7" x14ac:dyDescent="0.25">
      <c r="A40" t="s">
        <v>12</v>
      </c>
      <c r="B40">
        <v>11.802332791788819</v>
      </c>
      <c r="C40" s="4">
        <v>11.505953823697981</v>
      </c>
      <c r="D40">
        <v>10.9318431841916</v>
      </c>
      <c r="E40">
        <f t="shared" si="3"/>
        <v>11.218898503944789</v>
      </c>
      <c r="F40">
        <f>E40-E$12</f>
        <v>0.15190155615751522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naive max_size</vt:lpstr>
      <vt:lpstr>gpt_naive max_size</vt:lpstr>
      <vt:lpstr>naive overlap</vt:lpstr>
      <vt:lpstr>semantic percentile</vt:lpstr>
      <vt:lpstr>semantic min_size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Mager</dc:creator>
  <cp:lastModifiedBy>Pascal Mager</cp:lastModifiedBy>
  <dcterms:created xsi:type="dcterms:W3CDTF">2025-12-27T12:06:22Z</dcterms:created>
  <dcterms:modified xsi:type="dcterms:W3CDTF">2026-01-15T10:14:32Z</dcterms:modified>
</cp:coreProperties>
</file>