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ADE70BD2-C25E-4AF3-B400-AB1810E9E153}" xr6:coauthVersionLast="47" xr6:coauthVersionMax="47" xr10:uidLastSave="{00000000-0000-0000-0000-000000000000}"/>
  <bookViews>
    <workbookView xWindow="-120" yWindow="-120" windowWidth="29040" windowHeight="15840" firstSheet="1" activeTab="5" xr2:uid="{D3F11DAE-F554-4455-8ED3-B07E6EB1D3EC}"/>
  </bookViews>
  <sheets>
    <sheet name="naive max_size" sheetId="1" r:id="rId1"/>
    <sheet name="gpt_naive max_size" sheetId="5" r:id="rId2"/>
    <sheet name="naive overlap" sheetId="2" r:id="rId3"/>
    <sheet name="gpt_naive overlap" sheetId="6" r:id="rId4"/>
    <sheet name="semantic percentile" sheetId="3" r:id="rId5"/>
    <sheet name="gpt_semantic percentile" sheetId="7" r:id="rId6"/>
    <sheet name="semantic min_size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7" l="1"/>
  <c r="F34" i="7" s="1"/>
  <c r="E33" i="7"/>
  <c r="F33" i="7" s="1"/>
  <c r="E32" i="7"/>
  <c r="F32" i="7" s="1"/>
  <c r="E31" i="7"/>
  <c r="F31" i="7" s="1"/>
  <c r="E30" i="7"/>
  <c r="F30" i="7" s="1"/>
  <c r="E29" i="7"/>
  <c r="F29" i="7" s="1"/>
  <c r="E28" i="7"/>
  <c r="F28" i="7" s="1"/>
  <c r="E27" i="7"/>
  <c r="F27" i="7" s="1"/>
  <c r="E26" i="7"/>
  <c r="F26" i="7" s="1"/>
  <c r="E25" i="7"/>
  <c r="F25" i="7" s="1"/>
  <c r="I25" i="7" s="1"/>
  <c r="J25" i="7" s="1"/>
  <c r="E24" i="7"/>
  <c r="F24" i="7" s="1"/>
  <c r="I24" i="7" s="1"/>
  <c r="J24" i="7" s="1"/>
  <c r="E23" i="7"/>
  <c r="F23" i="7" s="1"/>
  <c r="E22" i="7"/>
  <c r="F22" i="7" s="1"/>
  <c r="E21" i="7"/>
  <c r="F21" i="7" s="1"/>
  <c r="E20" i="7"/>
  <c r="F20" i="7" s="1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4" i="7"/>
  <c r="E5" i="7"/>
  <c r="E6" i="7"/>
  <c r="E7" i="7"/>
  <c r="E8" i="7"/>
  <c r="E9" i="7"/>
  <c r="E10" i="7"/>
  <c r="E11" i="7"/>
  <c r="E12" i="7"/>
  <c r="E13" i="7"/>
  <c r="E14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38" i="7"/>
  <c r="D16" i="7"/>
  <c r="B16" i="7"/>
  <c r="D15" i="7"/>
  <c r="C15" i="7"/>
  <c r="B15" i="7"/>
  <c r="D17" i="7"/>
  <c r="C17" i="7"/>
  <c r="B17" i="7"/>
  <c r="E3" i="7"/>
  <c r="F58" i="7" l="1"/>
  <c r="I58" i="7" s="1"/>
  <c r="J58" i="7" s="1"/>
  <c r="G23" i="7"/>
  <c r="I23" i="7"/>
  <c r="J23" i="7" s="1"/>
  <c r="F70" i="7"/>
  <c r="E16" i="7"/>
  <c r="F51" i="7" s="1"/>
  <c r="I22" i="7"/>
  <c r="J22" i="7" s="1"/>
  <c r="G22" i="7"/>
  <c r="I26" i="7"/>
  <c r="J26" i="7" s="1"/>
  <c r="G26" i="7"/>
  <c r="G27" i="7"/>
  <c r="I27" i="7"/>
  <c r="J27" i="7" s="1"/>
  <c r="G28" i="7"/>
  <c r="I28" i="7"/>
  <c r="J28" i="7" s="1"/>
  <c r="I29" i="7"/>
  <c r="J29" i="7" s="1"/>
  <c r="G29" i="7"/>
  <c r="I21" i="7"/>
  <c r="J21" i="7" s="1"/>
  <c r="G21" i="7"/>
  <c r="I30" i="7"/>
  <c r="J30" i="7" s="1"/>
  <c r="G30" i="7"/>
  <c r="I20" i="7"/>
  <c r="J20" i="7" s="1"/>
  <c r="G20" i="7"/>
  <c r="G25" i="7"/>
  <c r="E15" i="7"/>
  <c r="F50" i="7" s="1"/>
  <c r="G24" i="7"/>
  <c r="E17" i="7"/>
  <c r="F52" i="7" s="1"/>
  <c r="F67" i="7"/>
  <c r="F66" i="7"/>
  <c r="I66" i="7" s="1"/>
  <c r="J66" i="7" s="1"/>
  <c r="F46" i="7"/>
  <c r="G46" i="7" s="1"/>
  <c r="F64" i="7"/>
  <c r="I64" i="7" s="1"/>
  <c r="J64" i="7" s="1"/>
  <c r="F59" i="7"/>
  <c r="I59" i="7" s="1"/>
  <c r="J59" i="7" s="1"/>
  <c r="F62" i="7"/>
  <c r="I62" i="7" s="1"/>
  <c r="J62" i="7" s="1"/>
  <c r="F69" i="7"/>
  <c r="F61" i="7"/>
  <c r="I61" i="7" s="1"/>
  <c r="J61" i="7" s="1"/>
  <c r="F68" i="7"/>
  <c r="F48" i="7"/>
  <c r="G48" i="7" s="1"/>
  <c r="F47" i="7"/>
  <c r="G47" i="7" s="1"/>
  <c r="F39" i="7"/>
  <c r="G39" i="7" s="1"/>
  <c r="F38" i="7"/>
  <c r="G38" i="7" s="1"/>
  <c r="F63" i="7"/>
  <c r="I63" i="7" s="1"/>
  <c r="J63" i="7" s="1"/>
  <c r="F60" i="7"/>
  <c r="I60" i="7" s="1"/>
  <c r="J60" i="7" s="1"/>
  <c r="F56" i="7"/>
  <c r="F57" i="7"/>
  <c r="I57" i="7" s="1"/>
  <c r="J57" i="7" s="1"/>
  <c r="F65" i="7"/>
  <c r="I65" i="7" s="1"/>
  <c r="J65" i="7" s="1"/>
  <c r="F40" i="7"/>
  <c r="F45" i="7"/>
  <c r="F42" i="7"/>
  <c r="F44" i="7"/>
  <c r="F43" i="7"/>
  <c r="F49" i="7"/>
  <c r="F41" i="7"/>
  <c r="E48" i="6"/>
  <c r="I30" i="6" s="1"/>
  <c r="J30" i="6" s="1"/>
  <c r="E49" i="6"/>
  <c r="I31" i="6" s="1"/>
  <c r="J31" i="6" s="1"/>
  <c r="E50" i="6"/>
  <c r="I32" i="6" s="1"/>
  <c r="J32" i="6" s="1"/>
  <c r="E51" i="6"/>
  <c r="I33" i="6" s="1"/>
  <c r="E52" i="6"/>
  <c r="I34" i="6" s="1"/>
  <c r="E53" i="6"/>
  <c r="I35" i="6" s="1"/>
  <c r="I25" i="6"/>
  <c r="J25" i="6" s="1"/>
  <c r="I26" i="6"/>
  <c r="J26" i="6" s="1"/>
  <c r="I29" i="6"/>
  <c r="I21" i="6"/>
  <c r="J21" i="6" s="1"/>
  <c r="E47" i="6"/>
  <c r="E46" i="6"/>
  <c r="I28" i="6" s="1"/>
  <c r="J28" i="6" s="1"/>
  <c r="E45" i="6"/>
  <c r="I27" i="6" s="1"/>
  <c r="J27" i="6" s="1"/>
  <c r="E44" i="6"/>
  <c r="E43" i="6"/>
  <c r="E42" i="6"/>
  <c r="I24" i="6" s="1"/>
  <c r="J24" i="6" s="1"/>
  <c r="E41" i="6"/>
  <c r="I23" i="6" s="1"/>
  <c r="J23" i="6" s="1"/>
  <c r="E40" i="6"/>
  <c r="I22" i="6" s="1"/>
  <c r="J22" i="6" s="1"/>
  <c r="E39" i="6"/>
  <c r="G58" i="7" l="1"/>
  <c r="G59" i="7"/>
  <c r="I47" i="7"/>
  <c r="J47" i="7" s="1"/>
  <c r="I46" i="7"/>
  <c r="J46" i="7" s="1"/>
  <c r="G64" i="7"/>
  <c r="I38" i="7"/>
  <c r="J38" i="7" s="1"/>
  <c r="G61" i="7"/>
  <c r="I48" i="7"/>
  <c r="J48" i="7" s="1"/>
  <c r="G66" i="7"/>
  <c r="G65" i="7"/>
  <c r="G62" i="7"/>
  <c r="G63" i="7"/>
  <c r="I39" i="7"/>
  <c r="J39" i="7" s="1"/>
  <c r="G57" i="7"/>
  <c r="G60" i="7"/>
  <c r="I56" i="7"/>
  <c r="J56" i="7" s="1"/>
  <c r="G56" i="7"/>
  <c r="G42" i="7"/>
  <c r="I42" i="7"/>
  <c r="J42" i="7" s="1"/>
  <c r="G41" i="7"/>
  <c r="I41" i="7"/>
  <c r="J41" i="7" s="1"/>
  <c r="G45" i="7"/>
  <c r="I45" i="7"/>
  <c r="J45" i="7" s="1"/>
  <c r="G43" i="7"/>
  <c r="I43" i="7"/>
  <c r="J43" i="7" s="1"/>
  <c r="G44" i="7"/>
  <c r="I44" i="7"/>
  <c r="J44" i="7" s="1"/>
  <c r="G40" i="7"/>
  <c r="I40" i="7"/>
  <c r="J40" i="7" s="1"/>
  <c r="G22" i="6"/>
  <c r="G23" i="6"/>
  <c r="G24" i="6"/>
  <c r="G25" i="6"/>
  <c r="G26" i="6"/>
  <c r="G27" i="6"/>
  <c r="G28" i="6"/>
  <c r="G30" i="6"/>
  <c r="G31" i="6"/>
  <c r="G32" i="6"/>
  <c r="G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21" i="6"/>
  <c r="E12" i="6"/>
  <c r="E13" i="6"/>
  <c r="E14" i="6"/>
  <c r="E15" i="6"/>
  <c r="E16" i="6"/>
  <c r="E17" i="6"/>
  <c r="D33" i="6"/>
  <c r="D34" i="6"/>
  <c r="E34" i="6" s="1"/>
  <c r="D35" i="6"/>
  <c r="C34" i="6"/>
  <c r="C33" i="6"/>
  <c r="B35" i="6"/>
  <c r="E35" i="6" s="1"/>
  <c r="B34" i="6"/>
  <c r="B33" i="6"/>
  <c r="E33" i="6" s="1"/>
  <c r="E32" i="6"/>
  <c r="E31" i="6"/>
  <c r="E30" i="6"/>
  <c r="E29" i="6"/>
  <c r="E28" i="6"/>
  <c r="E27" i="6"/>
  <c r="E26" i="6"/>
  <c r="E25" i="6"/>
  <c r="E24" i="6"/>
  <c r="E23" i="6"/>
  <c r="E22" i="6"/>
  <c r="E21" i="6"/>
  <c r="E11" i="6"/>
  <c r="E10" i="6"/>
  <c r="E9" i="6"/>
  <c r="E8" i="6"/>
  <c r="E7" i="6"/>
  <c r="E6" i="6"/>
  <c r="E5" i="6"/>
  <c r="E4" i="6"/>
  <c r="E3" i="6"/>
  <c r="J41" i="5"/>
  <c r="J34" i="5"/>
  <c r="J35" i="5"/>
  <c r="J36" i="5"/>
  <c r="J37" i="5"/>
  <c r="J38" i="5"/>
  <c r="J39" i="5"/>
  <c r="J40" i="5"/>
  <c r="J42" i="5"/>
  <c r="J44" i="5"/>
  <c r="J33" i="5"/>
  <c r="I34" i="5"/>
  <c r="I35" i="5"/>
  <c r="I36" i="5"/>
  <c r="I37" i="5"/>
  <c r="I38" i="5"/>
  <c r="I39" i="5"/>
  <c r="I40" i="5"/>
  <c r="I41" i="5"/>
  <c r="I42" i="5"/>
  <c r="I44" i="5"/>
  <c r="I45" i="5"/>
  <c r="I46" i="5"/>
  <c r="I47" i="5"/>
  <c r="E60" i="5"/>
  <c r="E61" i="5"/>
  <c r="E62" i="5"/>
  <c r="E63" i="5"/>
  <c r="E64" i="5"/>
  <c r="E65" i="5"/>
  <c r="E24" i="5" l="1"/>
  <c r="E25" i="5"/>
  <c r="E26" i="5"/>
  <c r="E27" i="5"/>
  <c r="E28" i="5"/>
  <c r="C29" i="5"/>
  <c r="E29" i="5" s="1"/>
  <c r="E42" i="5"/>
  <c r="E43" i="5"/>
  <c r="I43" i="5" s="1"/>
  <c r="J43" i="5" s="1"/>
  <c r="E44" i="5"/>
  <c r="E45" i="5"/>
  <c r="E46" i="5"/>
  <c r="F46" i="5" s="1"/>
  <c r="E47" i="5"/>
  <c r="E59" i="5"/>
  <c r="E58" i="5"/>
  <c r="E57" i="5"/>
  <c r="E56" i="5"/>
  <c r="E55" i="5"/>
  <c r="E54" i="5"/>
  <c r="E53" i="5"/>
  <c r="E52" i="5"/>
  <c r="E51" i="5"/>
  <c r="E41" i="5"/>
  <c r="F41" i="5" s="1"/>
  <c r="G41" i="5" s="1"/>
  <c r="E40" i="5"/>
  <c r="E39" i="5"/>
  <c r="E38" i="5"/>
  <c r="E37" i="5"/>
  <c r="E36" i="5"/>
  <c r="F36" i="5" s="1"/>
  <c r="E35" i="5"/>
  <c r="E34" i="5"/>
  <c r="E33" i="5"/>
  <c r="E23" i="5"/>
  <c r="E22" i="5"/>
  <c r="E21" i="5"/>
  <c r="E20" i="5"/>
  <c r="E19" i="5"/>
  <c r="E18" i="5"/>
  <c r="E17" i="5"/>
  <c r="E16" i="5"/>
  <c r="E15" i="5"/>
  <c r="E11" i="5"/>
  <c r="E10" i="5"/>
  <c r="E9" i="5"/>
  <c r="E8" i="5"/>
  <c r="E7" i="5"/>
  <c r="E6" i="5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F37" i="5" l="1"/>
  <c r="F45" i="5"/>
  <c r="F38" i="5"/>
  <c r="F39" i="5"/>
  <c r="G39" i="5" s="1"/>
  <c r="F43" i="5"/>
  <c r="G43" i="5" s="1"/>
  <c r="F40" i="5"/>
  <c r="F42" i="5"/>
  <c r="G42" i="5" s="1"/>
  <c r="F34" i="5"/>
  <c r="G34" i="5" s="1"/>
  <c r="F47" i="5"/>
  <c r="G38" i="5"/>
  <c r="I33" i="5"/>
  <c r="F33" i="5"/>
  <c r="F35" i="5"/>
  <c r="G35" i="5" s="1"/>
  <c r="F44" i="5"/>
  <c r="G44" i="5" s="1"/>
  <c r="G37" i="5"/>
  <c r="G33" i="5"/>
  <c r="G40" i="5"/>
  <c r="G36" i="5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<sst xmlns="http://schemas.openxmlformats.org/spreadsheetml/2006/main" count="541" uniqueCount="36">
  <si>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</si>
  <si>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</si>
  <si>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</si>
  <si>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</si>
  <si>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</si>
  <si>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</si>
  <si>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</si>
  <si>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</si>
  <si>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</si>
  <si>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</si>
  <si>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</si>
  <si>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</si>
  <si>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</si>
  <si>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</si>
  <si>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</si>
  <si>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</si>
  <si>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</si>
  <si>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</si>
  <si>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</si>
  <si>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</si>
  <si>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</si>
  <si>
    <t>BERT-F1</t>
  </si>
  <si>
    <t>BERT-Precision</t>
  </si>
  <si>
    <t>BERT-Recall</t>
  </si>
  <si>
    <t>Tokens total</t>
  </si>
  <si>
    <t>Tokens Input</t>
  </si>
  <si>
    <t>Tokens Output</t>
  </si>
  <si>
    <t>Differenz (zu 1250)</t>
  </si>
  <si>
    <t>Differenz (zu 1750)</t>
  </si>
  <si>
    <t>Differenz zu 200</t>
  </si>
  <si>
    <t>Differenz zu 400</t>
  </si>
  <si>
    <t>Prompt Tokens (avg)</t>
  </si>
  <si>
    <t>Completion Tokens (avg)</t>
  </si>
  <si>
    <t>Total Tokens (avg)</t>
  </si>
  <si>
    <t>Differenz zu Naive</t>
  </si>
  <si>
    <t>relativ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</si>
</sst>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K65"/>
  <sheetViews>
    <sheetView topLeftCell="A9" workbookViewId="0">
      <selection activeCell="C44" sqref="C44"/>
    </sheetView>
  </sheetViews>
  <sheetFormatPr baseColWidth="10" defaultRowHeight="15" x14ac:dyDescent="0.25"/>
  <cols>
    <col min="1" max="1" width="18.85546875" bestFit="1" customWidth="1"/>
  </cols>
  <sheetData>
    <row r="1" spans="1:5" x14ac:dyDescent="0.25">
      <c r="A1">
        <v>1000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 s="3"/>
      <c r="C3" s="3"/>
      <c r="D3" s="3"/>
      <c r="E3" s="2" t="e">
        <f>AVERAGE(B3:D3)</f>
        <v>#DIV/0!</v>
      </c>
    </row>
    <row r="4" spans="1:5" x14ac:dyDescent="0.25">
      <c r="A4" t="s">
        <v>5</v>
      </c>
      <c r="E4" s="2" t="e">
        <f t="shared" ref="E4:E11" si="0">AVERAGE(B4:D4)</f>
        <v>#DIV/0!</v>
      </c>
    </row>
    <row r="5" spans="1:5" x14ac:dyDescent="0.25">
      <c r="A5" t="s">
        <v>6</v>
      </c>
      <c r="E5" s="2" t="e">
        <f t="shared" si="0"/>
        <v>#DIV/0!</v>
      </c>
    </row>
    <row r="6" spans="1:5" x14ac:dyDescent="0.25">
      <c r="A6" t="s">
        <v>7</v>
      </c>
      <c r="E6" s="2" t="e">
        <f t="shared" si="0"/>
        <v>#DIV/0!</v>
      </c>
    </row>
    <row r="7" spans="1:5" x14ac:dyDescent="0.25">
      <c r="A7" t="s">
        <v>8</v>
      </c>
      <c r="E7" s="2" t="e">
        <f t="shared" si="0"/>
        <v>#DIV/0!</v>
      </c>
    </row>
    <row r="8" spans="1:5" x14ac:dyDescent="0.25">
      <c r="A8" t="s">
        <v>9</v>
      </c>
      <c r="E8" s="2" t="e">
        <f t="shared" si="0"/>
        <v>#DIV/0!</v>
      </c>
    </row>
    <row r="9" spans="1:5" x14ac:dyDescent="0.25">
      <c r="A9" t="s">
        <v>10</v>
      </c>
      <c r="E9" s="2" t="e">
        <f t="shared" si="0"/>
        <v>#DIV/0!</v>
      </c>
    </row>
    <row r="10" spans="1:5" x14ac:dyDescent="0.25">
      <c r="A10" t="s">
        <v>11</v>
      </c>
      <c r="E10" s="2" t="e">
        <f t="shared" si="0"/>
        <v>#DIV/0!</v>
      </c>
    </row>
    <row r="11" spans="1:5" x14ac:dyDescent="0.25">
      <c r="A11" t="s">
        <v>12</v>
      </c>
      <c r="B11" s="1"/>
      <c r="C11" s="1"/>
      <c r="D11" s="1"/>
      <c r="E11" s="2" t="e">
        <f t="shared" si="0"/>
        <v>#DIV/0!</v>
      </c>
    </row>
    <row r="13" spans="1:5" x14ac:dyDescent="0.25">
      <c r="A13">
        <v>1250</v>
      </c>
      <c r="B13">
        <v>300</v>
      </c>
    </row>
    <row r="14" spans="1:5" x14ac:dyDescent="0.25">
      <c r="B14" t="s">
        <v>0</v>
      </c>
      <c r="C14" t="s">
        <v>1</v>
      </c>
      <c r="D14" t="s">
        <v>2</v>
      </c>
      <c r="E14" t="s">
        <v>3</v>
      </c>
    </row>
    <row r="15" spans="1:5" x14ac:dyDescent="0.25">
      <c r="A15" t="s">
        <v>4</v>
      </c>
      <c r="B15">
        <v>0.69945357716701795</v>
      </c>
      <c r="C15">
        <v>0.6795021277889991</v>
      </c>
      <c r="D15">
        <v>0.69120162991966927</v>
      </c>
      <c r="E15">
        <f>AVERAGE(B15:D15)</f>
        <v>0.69005244495856211</v>
      </c>
    </row>
    <row r="16" spans="1:5" x14ac:dyDescent="0.25">
      <c r="A16" t="s">
        <v>5</v>
      </c>
      <c r="B16">
        <v>0.61134057971014499</v>
      </c>
      <c r="C16">
        <v>0.60628591954023003</v>
      </c>
      <c r="D16">
        <v>0.62047413793103456</v>
      </c>
      <c r="E16">
        <f t="shared" ref="E16:E29" si="1">AVERAGE(B16:D16)</f>
        <v>0.61270021239380312</v>
      </c>
    </row>
    <row r="17" spans="1:10" x14ac:dyDescent="0.25">
      <c r="A17" t="s">
        <v>6</v>
      </c>
      <c r="B17">
        <v>0.57977828743671855</v>
      </c>
      <c r="C17">
        <v>0.5693366857997334</v>
      </c>
      <c r="D17">
        <v>0.58335727966791828</v>
      </c>
      <c r="E17">
        <f t="shared" si="1"/>
        <v>0.57749075096812341</v>
      </c>
    </row>
    <row r="18" spans="1:10" x14ac:dyDescent="0.25">
      <c r="A18" t="s">
        <v>7</v>
      </c>
      <c r="B18">
        <v>0.76445431250814044</v>
      </c>
      <c r="C18">
        <v>0.76445431250814044</v>
      </c>
      <c r="D18">
        <v>0.76394038159581756</v>
      </c>
      <c r="E18">
        <f t="shared" si="1"/>
        <v>0.76428300220403278</v>
      </c>
    </row>
    <row r="19" spans="1:10" x14ac:dyDescent="0.25">
      <c r="A19" t="s">
        <v>8</v>
      </c>
      <c r="B19">
        <v>0.25233225683849669</v>
      </c>
      <c r="C19">
        <v>0.25233470207780773</v>
      </c>
      <c r="D19">
        <v>0.25556369724652522</v>
      </c>
      <c r="E19">
        <f t="shared" si="1"/>
        <v>0.25341021872094321</v>
      </c>
    </row>
    <row r="20" spans="1:10" x14ac:dyDescent="0.25">
      <c r="A20" t="s">
        <v>9</v>
      </c>
      <c r="B20">
        <v>0.62712365568616846</v>
      </c>
      <c r="C20">
        <v>0.60685930765855134</v>
      </c>
      <c r="D20">
        <v>0.59911507491363925</v>
      </c>
      <c r="E20">
        <f t="shared" si="1"/>
        <v>0.61103267941945294</v>
      </c>
    </row>
    <row r="21" spans="1:10" x14ac:dyDescent="0.25">
      <c r="A21" t="s">
        <v>10</v>
      </c>
      <c r="B21">
        <v>0.33721264367816078</v>
      </c>
      <c r="C21">
        <v>0.32859195402298852</v>
      </c>
      <c r="D21">
        <v>0.33721264367816078</v>
      </c>
      <c r="E21">
        <f t="shared" si="1"/>
        <v>0.33433908045977007</v>
      </c>
    </row>
    <row r="22" spans="1:10" x14ac:dyDescent="0.25">
      <c r="A22" t="s">
        <v>11</v>
      </c>
      <c r="B22">
        <v>0.48275862068965519</v>
      </c>
      <c r="C22">
        <v>0.47413793103448282</v>
      </c>
      <c r="D22">
        <v>0.48275862068965519</v>
      </c>
      <c r="E22">
        <f t="shared" si="1"/>
        <v>0.47988505747126436</v>
      </c>
    </row>
    <row r="23" spans="1:10" x14ac:dyDescent="0.25">
      <c r="A23" t="s">
        <v>12</v>
      </c>
      <c r="B23" s="1">
        <v>11.411141514778141</v>
      </c>
      <c r="C23">
        <v>11.46074738584716</v>
      </c>
      <c r="D23">
        <v>12.08357310089572</v>
      </c>
      <c r="E23">
        <f t="shared" si="1"/>
        <v>11.651820667173673</v>
      </c>
    </row>
    <row r="24" spans="1:10" x14ac:dyDescent="0.25">
      <c r="A24" t="s">
        <v>21</v>
      </c>
      <c r="B24">
        <v>0.24375483393669131</v>
      </c>
      <c r="C24">
        <v>0.24375483393669131</v>
      </c>
      <c r="D24">
        <v>0.24375483393669131</v>
      </c>
      <c r="E24">
        <f t="shared" si="1"/>
        <v>0.24375483393669131</v>
      </c>
    </row>
    <row r="25" spans="1:10" x14ac:dyDescent="0.25">
      <c r="A25" t="s">
        <v>22</v>
      </c>
      <c r="B25">
        <v>0.18719576299190521</v>
      </c>
      <c r="C25">
        <v>0.18719576299190521</v>
      </c>
      <c r="D25">
        <v>0.18719576299190521</v>
      </c>
      <c r="E25">
        <f t="shared" si="1"/>
        <v>0.18719576299190521</v>
      </c>
    </row>
    <row r="26" spans="1:10" x14ac:dyDescent="0.25">
      <c r="A26" t="s">
        <v>23</v>
      </c>
      <c r="B26">
        <v>0.30106881260871893</v>
      </c>
      <c r="C26">
        <v>0.30106881260871893</v>
      </c>
      <c r="D26">
        <v>0.30106881260871893</v>
      </c>
      <c r="E26">
        <f t="shared" si="1"/>
        <v>0.30106881260871893</v>
      </c>
    </row>
    <row r="27" spans="1:10" x14ac:dyDescent="0.25">
      <c r="A27" t="s">
        <v>24</v>
      </c>
      <c r="B27">
        <v>286147</v>
      </c>
      <c r="C27">
        <v>276425</v>
      </c>
      <c r="D27">
        <v>276425</v>
      </c>
      <c r="E27">
        <f t="shared" si="1"/>
        <v>279665.66666666669</v>
      </c>
    </row>
    <row r="28" spans="1:10" x14ac:dyDescent="0.25">
      <c r="A28" t="s">
        <v>25</v>
      </c>
      <c r="B28">
        <v>259700</v>
      </c>
      <c r="C28">
        <v>250900</v>
      </c>
      <c r="D28">
        <v>250900</v>
      </c>
      <c r="E28">
        <f t="shared" si="1"/>
        <v>253833.33333333334</v>
      </c>
    </row>
    <row r="29" spans="1:10" x14ac:dyDescent="0.25">
      <c r="A29" t="s">
        <v>26</v>
      </c>
      <c r="B29">
        <v>26447</v>
      </c>
      <c r="C29">
        <f>C27-C28</f>
        <v>25525</v>
      </c>
      <c r="D29">
        <v>25525</v>
      </c>
      <c r="E29">
        <f t="shared" si="1"/>
        <v>25832.333333333332</v>
      </c>
    </row>
    <row r="31" spans="1:10" x14ac:dyDescent="0.25">
      <c r="A31">
        <v>1500</v>
      </c>
      <c r="B31">
        <v>300</v>
      </c>
    </row>
    <row r="32" spans="1:10" x14ac:dyDescent="0.25">
      <c r="B32" t="s">
        <v>0</v>
      </c>
      <c r="C32" t="s">
        <v>1</v>
      </c>
      <c r="D32" t="s">
        <v>2</v>
      </c>
      <c r="E32" t="s">
        <v>3</v>
      </c>
      <c r="F32" t="s">
        <v>27</v>
      </c>
      <c r="G32" t="s">
        <v>14</v>
      </c>
      <c r="I32" t="s">
        <v>28</v>
      </c>
      <c r="J32" t="s">
        <v>14</v>
      </c>
    </row>
    <row r="33" spans="1:11" x14ac:dyDescent="0.25">
      <c r="A33" t="s">
        <v>4</v>
      </c>
      <c r="B33">
        <v>0.66156887149880883</v>
      </c>
      <c r="C33">
        <v>0.64893983549723111</v>
      </c>
      <c r="D33">
        <v>0.67855384785151807</v>
      </c>
      <c r="E33">
        <f>AVERAGE(B33:D33)</f>
        <v>0.66302085161585267</v>
      </c>
      <c r="F33">
        <f>E33-E15</f>
        <v>-2.7031593342709437E-2</v>
      </c>
      <c r="G33">
        <f>F33*100</f>
        <v>-2.7031593342709437</v>
      </c>
      <c r="H33" t="s">
        <v>16</v>
      </c>
      <c r="I33">
        <f>E33-E51</f>
        <v>2.9389067372724287E-2</v>
      </c>
      <c r="J33">
        <f>I33*100</f>
        <v>2.9389067372724287</v>
      </c>
      <c r="K33" t="s">
        <v>17</v>
      </c>
    </row>
    <row r="34" spans="1:11" x14ac:dyDescent="0.25">
      <c r="A34" t="s">
        <v>5</v>
      </c>
      <c r="B34">
        <v>0.62444581280788181</v>
      </c>
      <c r="C34">
        <v>0.63594006568144501</v>
      </c>
      <c r="D34">
        <v>0.6361076604554865</v>
      </c>
      <c r="E34">
        <f t="shared" ref="E34:E47" si="2">AVERAGE(B34:D34)</f>
        <v>0.63216451298160448</v>
      </c>
      <c r="F34">
        <f t="shared" ref="F34:F47" si="3">E34-E16</f>
        <v>1.9464300587801353E-2</v>
      </c>
      <c r="G34">
        <f t="shared" ref="G34:G44" si="4">F34*100</f>
        <v>1.9464300587801353</v>
      </c>
      <c r="H34" t="s">
        <v>17</v>
      </c>
      <c r="I34">
        <f t="shared" ref="I34:I47" si="5">E34-E52</f>
        <v>-3.599847110696941E-2</v>
      </c>
      <c r="J34">
        <f t="shared" ref="J34:J44" si="6">I34*100</f>
        <v>-3.599847110696941</v>
      </c>
      <c r="K34" t="s">
        <v>16</v>
      </c>
    </row>
    <row r="35" spans="1:11" x14ac:dyDescent="0.25">
      <c r="A35" t="s">
        <v>6</v>
      </c>
      <c r="B35">
        <v>0.62411398464630641</v>
      </c>
      <c r="C35">
        <v>0.63705699230932189</v>
      </c>
      <c r="D35">
        <v>0.6270169081827085</v>
      </c>
      <c r="E35">
        <f t="shared" si="2"/>
        <v>0.6293959617127789</v>
      </c>
      <c r="F35">
        <f t="shared" si="3"/>
        <v>5.1905210744655483E-2</v>
      </c>
      <c r="G35">
        <f t="shared" si="4"/>
        <v>5.1905210744655488</v>
      </c>
      <c r="H35" t="s">
        <v>17</v>
      </c>
      <c r="I35">
        <f t="shared" si="5"/>
        <v>2.0261164426307876E-2</v>
      </c>
      <c r="J35">
        <f t="shared" si="6"/>
        <v>2.0261164426307876</v>
      </c>
      <c r="K35" t="s">
        <v>17</v>
      </c>
    </row>
    <row r="36" spans="1:11" x14ac:dyDescent="0.25">
      <c r="A36" t="s">
        <v>7</v>
      </c>
      <c r="B36">
        <v>0.75828297912577958</v>
      </c>
      <c r="C36">
        <v>0.75921113559346654</v>
      </c>
      <c r="D36">
        <v>0.76194123225598731</v>
      </c>
      <c r="E36">
        <f t="shared" si="2"/>
        <v>0.75981178232507796</v>
      </c>
      <c r="F36">
        <f t="shared" si="3"/>
        <v>-4.4712198789548241E-3</v>
      </c>
      <c r="G36">
        <f t="shared" si="4"/>
        <v>-0.44712198789548241</v>
      </c>
      <c r="I36">
        <f t="shared" si="5"/>
        <v>6.8443056311389139E-3</v>
      </c>
      <c r="J36">
        <f t="shared" si="6"/>
        <v>0.68443056311389139</v>
      </c>
    </row>
    <row r="37" spans="1:11" x14ac:dyDescent="0.25">
      <c r="A37" t="s">
        <v>8</v>
      </c>
      <c r="B37">
        <v>0.27292447328324371</v>
      </c>
      <c r="C37">
        <v>0.26747226671678082</v>
      </c>
      <c r="D37">
        <v>0.27978722808894241</v>
      </c>
      <c r="E37">
        <f t="shared" si="2"/>
        <v>0.27339465602965562</v>
      </c>
      <c r="F37">
        <f t="shared" si="3"/>
        <v>1.9984437308712411E-2</v>
      </c>
      <c r="G37">
        <f t="shared" si="4"/>
        <v>1.9984437308712411</v>
      </c>
      <c r="H37" t="s">
        <v>17</v>
      </c>
      <c r="I37">
        <f t="shared" si="5"/>
        <v>2.1552553471138436E-2</v>
      </c>
      <c r="J37">
        <f t="shared" si="6"/>
        <v>2.1552553471138438</v>
      </c>
      <c r="K37" t="s">
        <v>17</v>
      </c>
    </row>
    <row r="38" spans="1:11" x14ac:dyDescent="0.25">
      <c r="A38" t="s">
        <v>9</v>
      </c>
      <c r="B38">
        <v>0.59892572244511921</v>
      </c>
      <c r="C38">
        <v>0.59085822927043607</v>
      </c>
      <c r="D38">
        <v>0.63535731636781256</v>
      </c>
      <c r="E38">
        <f t="shared" si="2"/>
        <v>0.60838042269445591</v>
      </c>
      <c r="F38">
        <f t="shared" si="3"/>
        <v>-2.6522567249970264E-3</v>
      </c>
      <c r="G38">
        <f t="shared" si="4"/>
        <v>-0.26522567249970264</v>
      </c>
      <c r="I38">
        <f t="shared" si="5"/>
        <v>-1.4208438129065915E-2</v>
      </c>
      <c r="J38">
        <f t="shared" si="6"/>
        <v>-1.4208438129065915</v>
      </c>
      <c r="K38" t="s">
        <v>16</v>
      </c>
    </row>
    <row r="39" spans="1:11" x14ac:dyDescent="0.25">
      <c r="A39" t="s">
        <v>10</v>
      </c>
      <c r="B39">
        <v>0.3466954022988506</v>
      </c>
      <c r="C39">
        <v>0.34885057471264369</v>
      </c>
      <c r="D39">
        <v>0.3603448275862069</v>
      </c>
      <c r="E39">
        <f t="shared" si="2"/>
        <v>0.35196360153256706</v>
      </c>
      <c r="F39">
        <f t="shared" si="3"/>
        <v>1.7624521072796995E-2</v>
      </c>
      <c r="G39">
        <f t="shared" si="4"/>
        <v>1.7624521072796995</v>
      </c>
      <c r="H39" t="s">
        <v>17</v>
      </c>
      <c r="I39">
        <f t="shared" si="5"/>
        <v>9.1762452107279679E-2</v>
      </c>
      <c r="J39">
        <f t="shared" si="6"/>
        <v>9.1762452107279682</v>
      </c>
      <c r="K39" t="s">
        <v>17</v>
      </c>
    </row>
    <row r="40" spans="1:11" x14ac:dyDescent="0.25">
      <c r="A40" t="s">
        <v>11</v>
      </c>
      <c r="B40">
        <v>0.50862068965517238</v>
      </c>
      <c r="C40">
        <v>0.51724137931034486</v>
      </c>
      <c r="D40">
        <v>0.52586206896551724</v>
      </c>
      <c r="E40">
        <f t="shared" si="2"/>
        <v>0.51724137931034486</v>
      </c>
      <c r="F40">
        <f t="shared" si="3"/>
        <v>3.7356321839080497E-2</v>
      </c>
      <c r="G40">
        <f t="shared" si="4"/>
        <v>3.7356321839080495</v>
      </c>
      <c r="H40" t="s">
        <v>17</v>
      </c>
      <c r="I40">
        <f t="shared" si="5"/>
        <v>0.10632183908045978</v>
      </c>
      <c r="J40">
        <f t="shared" si="6"/>
        <v>10.632183908045977</v>
      </c>
      <c r="K40" t="s">
        <v>17</v>
      </c>
    </row>
    <row r="41" spans="1:11" x14ac:dyDescent="0.25">
      <c r="A41" t="s">
        <v>12</v>
      </c>
      <c r="B41">
        <v>12.829803801816089</v>
      </c>
      <c r="C41" s="1">
        <v>13.84695393052594</v>
      </c>
      <c r="D41">
        <v>12.0599361699203</v>
      </c>
      <c r="E41">
        <f t="shared" si="2"/>
        <v>12.91223130075411</v>
      </c>
      <c r="F41">
        <f t="shared" si="3"/>
        <v>1.2604106335804364</v>
      </c>
      <c r="G41">
        <f>F41</f>
        <v>1.2604106335804364</v>
      </c>
      <c r="H41" t="s">
        <v>16</v>
      </c>
      <c r="I41">
        <f t="shared" si="5"/>
        <v>1.4224990633712427</v>
      </c>
      <c r="J41">
        <f>I41</f>
        <v>1.4224990633712427</v>
      </c>
    </row>
    <row r="42" spans="1:11" x14ac:dyDescent="0.25">
      <c r="A42" t="s">
        <v>21</v>
      </c>
      <c r="B42">
        <v>0.24309878051280981</v>
      </c>
      <c r="C42">
        <v>0.23840367794036871</v>
      </c>
      <c r="D42">
        <v>0.24638800323009491</v>
      </c>
      <c r="E42">
        <f t="shared" si="2"/>
        <v>0.24263015389442447</v>
      </c>
      <c r="F42">
        <f t="shared" si="3"/>
        <v>-1.1246800422668457E-3</v>
      </c>
      <c r="G42">
        <f t="shared" si="4"/>
        <v>-0.11246800422668457</v>
      </c>
      <c r="I42">
        <f t="shared" si="5"/>
        <v>1.1235088109970204E-2</v>
      </c>
      <c r="J42">
        <f t="shared" si="6"/>
        <v>1.1235088109970204</v>
      </c>
      <c r="K42" t="s">
        <v>17</v>
      </c>
    </row>
    <row r="43" spans="1:11" x14ac:dyDescent="0.25">
      <c r="A43" t="s">
        <v>22</v>
      </c>
      <c r="B43">
        <v>0.19543476402759549</v>
      </c>
      <c r="C43">
        <v>0.18611909449100489</v>
      </c>
      <c r="D43">
        <v>0.19965597987174991</v>
      </c>
      <c r="E43">
        <f t="shared" si="2"/>
        <v>0.19373661279678342</v>
      </c>
      <c r="F43">
        <f t="shared" si="3"/>
        <v>6.5408498048782071E-3</v>
      </c>
      <c r="G43">
        <f t="shared" si="4"/>
        <v>0.65408498048782071</v>
      </c>
      <c r="I43">
        <f t="shared" si="5"/>
        <v>1.3529345393180819E-2</v>
      </c>
      <c r="J43">
        <f t="shared" si="6"/>
        <v>1.3529345393180821</v>
      </c>
      <c r="K43" t="s">
        <v>17</v>
      </c>
    </row>
    <row r="44" spans="1:11" x14ac:dyDescent="0.25">
      <c r="A44" t="s">
        <v>23</v>
      </c>
      <c r="B44">
        <v>0.29144790768623352</v>
      </c>
      <c r="C44">
        <v>0.29186853766441351</v>
      </c>
      <c r="D44">
        <v>0.2941862940788269</v>
      </c>
      <c r="E44">
        <f t="shared" si="2"/>
        <v>0.29250091314315796</v>
      </c>
      <c r="F44">
        <f t="shared" si="3"/>
        <v>-8.5678994655609686E-3</v>
      </c>
      <c r="G44">
        <f t="shared" si="4"/>
        <v>-0.85678994655609686</v>
      </c>
      <c r="I44">
        <f t="shared" si="5"/>
        <v>9.7643733024597723E-3</v>
      </c>
      <c r="J44">
        <f t="shared" si="6"/>
        <v>0.97643733024597723</v>
      </c>
      <c r="K44" t="s">
        <v>17</v>
      </c>
    </row>
    <row r="45" spans="1:11" x14ac:dyDescent="0.25">
      <c r="A45" t="s">
        <v>24</v>
      </c>
      <c r="B45">
        <v>284126</v>
      </c>
      <c r="C45" s="1">
        <v>276230</v>
      </c>
      <c r="D45">
        <v>275657</v>
      </c>
      <c r="E45">
        <f t="shared" si="2"/>
        <v>278671</v>
      </c>
      <c r="F45">
        <f t="shared" si="3"/>
        <v>-994.66666666668607</v>
      </c>
      <c r="I45">
        <f t="shared" si="5"/>
        <v>-3729</v>
      </c>
    </row>
    <row r="46" spans="1:11" x14ac:dyDescent="0.25">
      <c r="A46" t="s">
        <v>25</v>
      </c>
      <c r="B46">
        <v>258300</v>
      </c>
      <c r="C46" s="1">
        <v>250500</v>
      </c>
      <c r="D46">
        <v>250700</v>
      </c>
      <c r="E46">
        <f t="shared" si="2"/>
        <v>253166.66666666666</v>
      </c>
      <c r="F46">
        <f t="shared" si="3"/>
        <v>-666.66666666668607</v>
      </c>
      <c r="I46">
        <f t="shared" si="5"/>
        <v>-2433.333333333343</v>
      </c>
    </row>
    <row r="47" spans="1:11" x14ac:dyDescent="0.25">
      <c r="A47" t="s">
        <v>26</v>
      </c>
      <c r="B47">
        <v>25826</v>
      </c>
      <c r="C47" s="1">
        <v>25730</v>
      </c>
      <c r="D47">
        <v>24957</v>
      </c>
      <c r="E47">
        <f t="shared" si="2"/>
        <v>25504.333333333332</v>
      </c>
      <c r="F47">
        <f t="shared" si="3"/>
        <v>-328</v>
      </c>
      <c r="I47">
        <f t="shared" si="5"/>
        <v>-1295.6666666666679</v>
      </c>
    </row>
    <row r="49" spans="1:6" x14ac:dyDescent="0.25">
      <c r="A49">
        <v>1750</v>
      </c>
      <c r="B49">
        <v>300</v>
      </c>
    </row>
    <row r="50" spans="1:6" x14ac:dyDescent="0.25">
      <c r="B50" t="s">
        <v>0</v>
      </c>
      <c r="C50" t="s">
        <v>1</v>
      </c>
      <c r="D50" t="s">
        <v>2</v>
      </c>
      <c r="E50" t="s">
        <v>3</v>
      </c>
    </row>
    <row r="51" spans="1:6" x14ac:dyDescent="0.25">
      <c r="A51" t="s">
        <v>4</v>
      </c>
      <c r="B51">
        <v>0.62963137009189651</v>
      </c>
      <c r="C51">
        <v>0.62900901409001886</v>
      </c>
      <c r="D51">
        <v>0.64225496854746966</v>
      </c>
      <c r="E51">
        <f>AVERAGE(B51:D51)</f>
        <v>0.63363178424312838</v>
      </c>
      <c r="F51" s="2"/>
    </row>
    <row r="52" spans="1:6" x14ac:dyDescent="0.25">
      <c r="A52" t="s">
        <v>5</v>
      </c>
      <c r="B52">
        <v>0.6554187192118226</v>
      </c>
      <c r="C52">
        <v>0.656568144499179</v>
      </c>
      <c r="D52">
        <v>0.69250208855472017</v>
      </c>
      <c r="E52">
        <f t="shared" ref="E52:E65" si="7">AVERAGE(B52:D52)</f>
        <v>0.66816298408857389</v>
      </c>
      <c r="F52" s="2"/>
    </row>
    <row r="53" spans="1:6" x14ac:dyDescent="0.25">
      <c r="A53" t="s">
        <v>6</v>
      </c>
      <c r="B53">
        <v>0.58686542143005738</v>
      </c>
      <c r="C53">
        <v>0.61296695399601808</v>
      </c>
      <c r="D53">
        <v>0.62757201643333771</v>
      </c>
      <c r="E53">
        <f t="shared" si="7"/>
        <v>0.60913479728647102</v>
      </c>
      <c r="F53" s="2"/>
    </row>
    <row r="54" spans="1:6" x14ac:dyDescent="0.25">
      <c r="A54" t="s">
        <v>7</v>
      </c>
      <c r="B54">
        <v>0.75326889799614516</v>
      </c>
      <c r="C54">
        <v>0.7523646340895267</v>
      </c>
      <c r="D54">
        <v>0.75326889799614516</v>
      </c>
      <c r="E54">
        <f t="shared" si="7"/>
        <v>0.75296747669393904</v>
      </c>
      <c r="F54" s="2"/>
    </row>
    <row r="55" spans="1:6" x14ac:dyDescent="0.25">
      <c r="A55" t="s">
        <v>8</v>
      </c>
      <c r="B55">
        <v>0.24553750941061361</v>
      </c>
      <c r="C55">
        <v>0.26164240439793229</v>
      </c>
      <c r="D55">
        <v>0.2483463938670056</v>
      </c>
      <c r="E55">
        <f t="shared" si="7"/>
        <v>0.25184210255851719</v>
      </c>
      <c r="F55" s="2"/>
    </row>
    <row r="56" spans="1:6" x14ac:dyDescent="0.25">
      <c r="A56" t="s">
        <v>9</v>
      </c>
      <c r="B56">
        <v>0.60933495101680679</v>
      </c>
      <c r="C56">
        <v>0.63147614145716247</v>
      </c>
      <c r="D56">
        <v>0.62695548999659645</v>
      </c>
      <c r="E56">
        <f t="shared" si="7"/>
        <v>0.62258886082352183</v>
      </c>
      <c r="F56" s="2"/>
    </row>
    <row r="57" spans="1:6" x14ac:dyDescent="0.25">
      <c r="A57" t="s">
        <v>10</v>
      </c>
      <c r="B57">
        <v>0.26307471264367821</v>
      </c>
      <c r="C57">
        <v>0.25445402298850572</v>
      </c>
      <c r="D57">
        <v>0.26307471264367821</v>
      </c>
      <c r="E57">
        <f t="shared" si="7"/>
        <v>0.26020114942528738</v>
      </c>
      <c r="F57" s="2"/>
    </row>
    <row r="58" spans="1:6" x14ac:dyDescent="0.25">
      <c r="A58" t="s">
        <v>11</v>
      </c>
      <c r="B58">
        <v>0.41379310344827591</v>
      </c>
      <c r="C58">
        <v>0.40517241379310343</v>
      </c>
      <c r="D58">
        <v>0.41379310344827591</v>
      </c>
      <c r="E58">
        <f t="shared" si="7"/>
        <v>0.41091954022988508</v>
      </c>
      <c r="F58" s="2"/>
    </row>
    <row r="59" spans="1:6" x14ac:dyDescent="0.25">
      <c r="A59" t="s">
        <v>12</v>
      </c>
      <c r="B59" s="1">
        <v>11.927592316578171</v>
      </c>
      <c r="C59" s="1">
        <v>11.35648157267735</v>
      </c>
      <c r="D59">
        <v>11.18512282289308</v>
      </c>
      <c r="E59">
        <f t="shared" si="7"/>
        <v>11.489732237382867</v>
      </c>
      <c r="F59" s="2"/>
    </row>
    <row r="60" spans="1:6" x14ac:dyDescent="0.25">
      <c r="A60" t="s">
        <v>21</v>
      </c>
      <c r="B60">
        <v>0.23139506578445429</v>
      </c>
      <c r="C60">
        <v>0.23139506578445429</v>
      </c>
      <c r="D60">
        <v>0.23139506578445429</v>
      </c>
      <c r="E60">
        <f t="shared" si="7"/>
        <v>0.23139506578445426</v>
      </c>
    </row>
    <row r="61" spans="1:6" x14ac:dyDescent="0.25">
      <c r="A61" t="s">
        <v>22</v>
      </c>
      <c r="B61">
        <v>0.1802072674036026</v>
      </c>
      <c r="C61">
        <v>0.1802072674036026</v>
      </c>
      <c r="D61">
        <v>0.1802072674036026</v>
      </c>
      <c r="E61">
        <f t="shared" si="7"/>
        <v>0.1802072674036026</v>
      </c>
    </row>
    <row r="62" spans="1:6" x14ac:dyDescent="0.25">
      <c r="A62" t="s">
        <v>23</v>
      </c>
      <c r="B62">
        <v>0.28273653984069819</v>
      </c>
      <c r="C62">
        <v>0.28273653984069819</v>
      </c>
      <c r="D62">
        <v>0.28273653984069819</v>
      </c>
      <c r="E62">
        <f t="shared" si="7"/>
        <v>0.28273653984069819</v>
      </c>
    </row>
    <row r="63" spans="1:6" x14ac:dyDescent="0.25">
      <c r="A63" t="s">
        <v>24</v>
      </c>
      <c r="B63">
        <v>282400</v>
      </c>
      <c r="C63">
        <v>282400</v>
      </c>
      <c r="D63">
        <v>282400</v>
      </c>
      <c r="E63">
        <f t="shared" si="7"/>
        <v>282400</v>
      </c>
    </row>
    <row r="64" spans="1:6" x14ac:dyDescent="0.25">
      <c r="A64" t="s">
        <v>25</v>
      </c>
      <c r="B64">
        <v>255600</v>
      </c>
      <c r="C64">
        <v>255600</v>
      </c>
      <c r="D64">
        <v>255600</v>
      </c>
      <c r="E64">
        <f t="shared" si="7"/>
        <v>255600</v>
      </c>
    </row>
    <row r="65" spans="1:5" x14ac:dyDescent="0.25">
      <c r="A65" t="s">
        <v>26</v>
      </c>
      <c r="B65">
        <v>26800</v>
      </c>
      <c r="C65">
        <v>26800</v>
      </c>
      <c r="D65">
        <v>26800</v>
      </c>
      <c r="E65">
        <f t="shared" si="7"/>
        <v>26800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ECDC-94E3-44C4-89F5-2AD3CB6AAB8E}">
  <dimension ref="A1:K53"/>
  <sheetViews>
    <sheetView topLeftCell="A21" workbookViewId="0">
      <selection activeCell="D27" sqref="D27"/>
    </sheetView>
  </sheetViews>
  <sheetFormatPr baseColWidth="10" defaultRowHeight="15" x14ac:dyDescent="0.25"/>
  <cols>
    <col min="6" max="6" width="14.5703125" bestFit="1" customWidth="1"/>
    <col min="9" max="9" width="14.5703125" bestFit="1" customWidth="1"/>
  </cols>
  <sheetData>
    <row r="1" spans="1:5" x14ac:dyDescent="0.25">
      <c r="A1">
        <v>1500</v>
      </c>
      <c r="B1">
        <v>200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0.65419691745257991</v>
      </c>
      <c r="C3">
        <v>0.60417275133499637</v>
      </c>
      <c r="D3">
        <v>0.62592055314144834</v>
      </c>
      <c r="E3">
        <f>AVERAGE(B3:D3)</f>
        <v>0.62809674064300813</v>
      </c>
    </row>
    <row r="4" spans="1:5" x14ac:dyDescent="0.25">
      <c r="A4" t="s">
        <v>5</v>
      </c>
      <c r="B4">
        <v>0.67399425287356329</v>
      </c>
      <c r="C4">
        <v>0.64152298850574707</v>
      </c>
      <c r="D4">
        <v>0.6716954022988505</v>
      </c>
      <c r="E4">
        <f t="shared" ref="E4:E17" si="0">AVERAGE(B4:D4)</f>
        <v>0.66240421455938703</v>
      </c>
    </row>
    <row r="5" spans="1:5" x14ac:dyDescent="0.25">
      <c r="A5" t="s">
        <v>6</v>
      </c>
      <c r="B5">
        <v>0.62353864731627362</v>
      </c>
      <c r="C5">
        <v>0.58617097698756138</v>
      </c>
      <c r="D5">
        <v>0.60896791185189547</v>
      </c>
      <c r="E5">
        <f t="shared" si="0"/>
        <v>0.60622584538524349</v>
      </c>
    </row>
    <row r="6" spans="1:5" x14ac:dyDescent="0.25">
      <c r="A6" t="s">
        <v>7</v>
      </c>
      <c r="B6">
        <v>0.75206304758435594</v>
      </c>
      <c r="C6">
        <v>0.75206304758435594</v>
      </c>
      <c r="D6">
        <v>0.75206304758435594</v>
      </c>
      <c r="E6">
        <f t="shared" si="0"/>
        <v>0.75206304758435605</v>
      </c>
    </row>
    <row r="7" spans="1:5" x14ac:dyDescent="0.25">
      <c r="A7" t="s">
        <v>8</v>
      </c>
      <c r="B7">
        <v>0.27074292809874762</v>
      </c>
      <c r="C7">
        <v>0.26313539484944087</v>
      </c>
      <c r="D7">
        <v>0.2617844340365803</v>
      </c>
      <c r="E7">
        <f t="shared" si="0"/>
        <v>0.26522091899492289</v>
      </c>
    </row>
    <row r="8" spans="1:5" x14ac:dyDescent="0.25">
      <c r="A8" t="s">
        <v>9</v>
      </c>
      <c r="B8">
        <v>0.63749854799333128</v>
      </c>
      <c r="C8">
        <v>0.63603870063284618</v>
      </c>
      <c r="D8">
        <v>0.64213637157385872</v>
      </c>
      <c r="E8">
        <f t="shared" si="0"/>
        <v>0.63855787340001202</v>
      </c>
    </row>
    <row r="9" spans="1:5" x14ac:dyDescent="0.25">
      <c r="A9" t="s">
        <v>10</v>
      </c>
      <c r="B9">
        <v>0.32500000000000001</v>
      </c>
      <c r="C9">
        <v>0.31005747126436778</v>
      </c>
      <c r="D9">
        <v>0.32327586206896552</v>
      </c>
      <c r="E9">
        <f t="shared" si="0"/>
        <v>0.31944444444444442</v>
      </c>
    </row>
    <row r="10" spans="1:5" x14ac:dyDescent="0.25">
      <c r="A10" t="s">
        <v>11</v>
      </c>
      <c r="B10">
        <v>0.53448275862068961</v>
      </c>
      <c r="C10">
        <v>0.5</v>
      </c>
      <c r="D10">
        <v>0.52586206896551724</v>
      </c>
      <c r="E10">
        <f t="shared" si="0"/>
        <v>0.52011494252873558</v>
      </c>
    </row>
    <row r="11" spans="1:5" x14ac:dyDescent="0.25">
      <c r="A11" t="s">
        <v>12</v>
      </c>
      <c r="B11">
        <v>11.48446873549757</v>
      </c>
      <c r="C11" s="1">
        <v>11.45352461831323</v>
      </c>
      <c r="D11">
        <v>11.57385894553415</v>
      </c>
      <c r="E11">
        <f t="shared" si="0"/>
        <v>11.503950766448318</v>
      </c>
    </row>
    <row r="12" spans="1:5" x14ac:dyDescent="0.25">
      <c r="A12" t="s">
        <v>21</v>
      </c>
      <c r="B12">
        <v>0.24373544752597809</v>
      </c>
      <c r="C12">
        <v>0.24373544752597809</v>
      </c>
      <c r="D12">
        <v>0.24373544752597809</v>
      </c>
      <c r="E12">
        <f t="shared" si="0"/>
        <v>0.24373544752597809</v>
      </c>
    </row>
    <row r="13" spans="1:5" x14ac:dyDescent="0.25">
      <c r="A13" t="s">
        <v>22</v>
      </c>
      <c r="B13">
        <v>0.19293774664402011</v>
      </c>
      <c r="C13">
        <v>0.19293774664402011</v>
      </c>
      <c r="D13">
        <v>0.19293774664402011</v>
      </c>
      <c r="E13">
        <f t="shared" si="0"/>
        <v>0.19293774664402011</v>
      </c>
    </row>
    <row r="14" spans="1:5" x14ac:dyDescent="0.25">
      <c r="A14" t="s">
        <v>23</v>
      </c>
      <c r="B14">
        <v>0.29598778486251831</v>
      </c>
      <c r="C14">
        <v>0.29598778486251831</v>
      </c>
      <c r="D14">
        <v>0.29598778486251831</v>
      </c>
      <c r="E14">
        <f t="shared" si="0"/>
        <v>0.29598778486251831</v>
      </c>
    </row>
    <row r="15" spans="1:5" x14ac:dyDescent="0.25">
      <c r="A15" t="s">
        <v>24</v>
      </c>
      <c r="B15" s="1">
        <v>2307.3534482758619</v>
      </c>
      <c r="C15" s="1">
        <v>2265.71551724138</v>
      </c>
      <c r="D15" s="1">
        <v>2295.21551724138</v>
      </c>
      <c r="E15">
        <f t="shared" si="0"/>
        <v>2289.4281609195405</v>
      </c>
    </row>
    <row r="16" spans="1:5" x14ac:dyDescent="0.25">
      <c r="A16" t="s">
        <v>25</v>
      </c>
      <c r="B16" s="1">
        <v>2101.4224137931028</v>
      </c>
      <c r="C16" s="1">
        <v>2062.0172413793098</v>
      </c>
      <c r="D16" s="1">
        <v>2082.6810344827591</v>
      </c>
      <c r="E16">
        <f t="shared" si="0"/>
        <v>2082.0402298850572</v>
      </c>
    </row>
    <row r="17" spans="1:11" x14ac:dyDescent="0.25">
      <c r="A17" t="s">
        <v>26</v>
      </c>
      <c r="B17" s="1">
        <v>205.93103448275861</v>
      </c>
      <c r="C17" s="1">
        <v>203.69827586206901</v>
      </c>
      <c r="D17" s="1">
        <v>212.5344827586207</v>
      </c>
      <c r="E17">
        <f t="shared" si="0"/>
        <v>207.38793103448279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29</v>
      </c>
      <c r="G20" t="s">
        <v>14</v>
      </c>
      <c r="I20" t="s">
        <v>30</v>
      </c>
      <c r="J20" t="s">
        <v>14</v>
      </c>
    </row>
    <row r="21" spans="1:11" x14ac:dyDescent="0.25">
      <c r="A21" t="s">
        <v>4</v>
      </c>
      <c r="B21">
        <v>0.66156887149880883</v>
      </c>
      <c r="C21">
        <v>0.64893983549723111</v>
      </c>
      <c r="D21">
        <v>0.67855384785151807</v>
      </c>
      <c r="E21">
        <f>AVERAGE(B21:D21)</f>
        <v>0.66302085161585267</v>
      </c>
      <c r="F21">
        <f>E21-E3</f>
        <v>3.4924110972844535E-2</v>
      </c>
      <c r="G21">
        <f>F21*100</f>
        <v>3.4924110972844535</v>
      </c>
      <c r="H21" t="s">
        <v>17</v>
      </c>
      <c r="I21">
        <f>E21-E39</f>
        <v>4.9851872812531561E-2</v>
      </c>
      <c r="J21">
        <f>I21*100</f>
        <v>4.9851872812531557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0.63594006568144501</v>
      </c>
      <c r="D22">
        <v>0.6361076604554865</v>
      </c>
      <c r="E22">
        <f t="shared" ref="E22:E35" si="1">AVERAGE(B22:D22)</f>
        <v>0.63216451298160448</v>
      </c>
      <c r="F22">
        <f t="shared" ref="F22:F35" si="2">E22-E4</f>
        <v>-3.0239701577782552E-2</v>
      </c>
      <c r="G22">
        <f t="shared" ref="G22:G32" si="3">F22*100</f>
        <v>-3.0239701577782552</v>
      </c>
      <c r="H22" t="s">
        <v>16</v>
      </c>
      <c r="I22">
        <f t="shared" ref="I22:I35" si="4">E22-E40</f>
        <v>1.099593060612547E-2</v>
      </c>
      <c r="J22">
        <f t="shared" ref="J22:J32" si="5">I22*100</f>
        <v>1.099593060612547</v>
      </c>
      <c r="K22" t="s">
        <v>17</v>
      </c>
    </row>
    <row r="23" spans="1:11" x14ac:dyDescent="0.25">
      <c r="A23" t="s">
        <v>6</v>
      </c>
      <c r="B23">
        <v>0.62411398464630641</v>
      </c>
      <c r="C23">
        <v>0.63705699230932189</v>
      </c>
      <c r="D23">
        <v>0.6270169081827085</v>
      </c>
      <c r="E23">
        <f t="shared" si="1"/>
        <v>0.6293959617127789</v>
      </c>
      <c r="F23">
        <f t="shared" si="2"/>
        <v>2.3170116327535406E-2</v>
      </c>
      <c r="G23">
        <f t="shared" si="3"/>
        <v>2.3170116327535406</v>
      </c>
      <c r="H23" t="s">
        <v>17</v>
      </c>
      <c r="I23">
        <f t="shared" si="4"/>
        <v>9.1277347431390821E-2</v>
      </c>
      <c r="J23">
        <f t="shared" si="5"/>
        <v>9.127734743139083</v>
      </c>
      <c r="K23" t="s">
        <v>17</v>
      </c>
    </row>
    <row r="24" spans="1:11" x14ac:dyDescent="0.25">
      <c r="A24" t="s">
        <v>7</v>
      </c>
      <c r="B24">
        <v>0.75828297912577958</v>
      </c>
      <c r="C24">
        <v>0.75921113559346654</v>
      </c>
      <c r="D24">
        <v>0.76194123225598731</v>
      </c>
      <c r="E24">
        <f t="shared" si="1"/>
        <v>0.75981178232507796</v>
      </c>
      <c r="F24">
        <f t="shared" si="2"/>
        <v>7.7487347407219076E-3</v>
      </c>
      <c r="G24">
        <f t="shared" si="3"/>
        <v>0.77487347407219076</v>
      </c>
      <c r="I24">
        <f t="shared" si="4"/>
        <v>-3.5599509271224683E-3</v>
      </c>
      <c r="J24">
        <f t="shared" si="5"/>
        <v>-0.35599509271224683</v>
      </c>
    </row>
    <row r="25" spans="1:11" x14ac:dyDescent="0.25">
      <c r="A25" t="s">
        <v>8</v>
      </c>
      <c r="B25">
        <v>0.27292447328324371</v>
      </c>
      <c r="C25">
        <v>0.26747226671678082</v>
      </c>
      <c r="D25">
        <v>0.27978722808894241</v>
      </c>
      <c r="E25">
        <f t="shared" si="1"/>
        <v>0.27339465602965562</v>
      </c>
      <c r="F25">
        <f t="shared" si="2"/>
        <v>8.1737370347327309E-3</v>
      </c>
      <c r="G25">
        <f t="shared" si="3"/>
        <v>0.81737370347327309</v>
      </c>
      <c r="I25">
        <f t="shared" si="4"/>
        <v>2.6541556425945273E-2</v>
      </c>
      <c r="J25">
        <f t="shared" si="5"/>
        <v>2.6541556425945272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-3.0177450705556108E-2</v>
      </c>
      <c r="G26">
        <f t="shared" si="3"/>
        <v>-3.0177450705556108</v>
      </c>
      <c r="H26" t="s">
        <v>16</v>
      </c>
      <c r="I26">
        <f t="shared" si="4"/>
        <v>1.3119814628418602E-2</v>
      </c>
      <c r="J26">
        <f t="shared" si="5"/>
        <v>1.3119814628418602</v>
      </c>
      <c r="K26" t="s">
        <v>17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3.2519157088122641E-2</v>
      </c>
      <c r="G27">
        <f t="shared" si="3"/>
        <v>3.2519157088122643</v>
      </c>
      <c r="H27" t="s">
        <v>17</v>
      </c>
      <c r="I27">
        <f t="shared" si="4"/>
        <v>0.10172413793103446</v>
      </c>
      <c r="J27">
        <f t="shared" si="5"/>
        <v>10.172413793103447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-2.8735632183907178E-3</v>
      </c>
      <c r="G28">
        <f t="shared" si="3"/>
        <v>-0.28735632183907178</v>
      </c>
      <c r="I28">
        <f t="shared" si="4"/>
        <v>6.0344827586206962E-2</v>
      </c>
      <c r="J28">
        <f t="shared" si="5"/>
        <v>6.0344827586206957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1.408280534305792</v>
      </c>
      <c r="H29" t="s">
        <v>16</v>
      </c>
      <c r="I29">
        <f t="shared" si="4"/>
        <v>1.0865772818696886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-1.1052936315536221E-3</v>
      </c>
      <c r="G30">
        <f t="shared" si="3"/>
        <v>-0.11052936315536221</v>
      </c>
      <c r="I30">
        <f t="shared" si="4"/>
        <v>5.9330761432647705E-3</v>
      </c>
      <c r="J30">
        <f t="shared" si="5"/>
        <v>0.59330761432647705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7.9886615276331119E-4</v>
      </c>
      <c r="G31">
        <f t="shared" si="3"/>
        <v>7.9886615276331119E-2</v>
      </c>
      <c r="I31">
        <f t="shared" si="4"/>
        <v>1.0459318757057079E-2</v>
      </c>
      <c r="J31">
        <f t="shared" si="5"/>
        <v>1.0459318757057079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-3.4868717193603516E-3</v>
      </c>
      <c r="G32">
        <f t="shared" si="3"/>
        <v>-0.34868717193603516</v>
      </c>
      <c r="H32" t="s">
        <v>17</v>
      </c>
      <c r="I32">
        <f t="shared" si="4"/>
        <v>9.0506672859197446E-4</v>
      </c>
      <c r="J32">
        <f t="shared" si="5"/>
        <v>9.0506672859197446E-2</v>
      </c>
    </row>
    <row r="33" spans="1:9" x14ac:dyDescent="0.25">
      <c r="A33" t="s">
        <v>24</v>
      </c>
      <c r="B33">
        <f>284126/116</f>
        <v>2449.3620689655172</v>
      </c>
      <c r="C33" s="1">
        <f>276230/116</f>
        <v>2381.2931034482758</v>
      </c>
      <c r="D33">
        <f>275657/116</f>
        <v>2376.3534482758619</v>
      </c>
      <c r="E33">
        <f t="shared" si="1"/>
        <v>2402.3362068965521</v>
      </c>
      <c r="F33">
        <f t="shared" si="2"/>
        <v>112.90804597701162</v>
      </c>
      <c r="I33">
        <f t="shared" si="4"/>
        <v>32.39367816091999</v>
      </c>
    </row>
    <row r="34" spans="1:9" x14ac:dyDescent="0.25">
      <c r="A34" t="s">
        <v>25</v>
      </c>
      <c r="B34">
        <f>258300/116</f>
        <v>2226.7241379310344</v>
      </c>
      <c r="C34" s="1">
        <f>250500/116</f>
        <v>2159.4827586206898</v>
      </c>
      <c r="D34">
        <f>250700/116</f>
        <v>2161.2068965517242</v>
      </c>
      <c r="E34">
        <f t="shared" si="1"/>
        <v>2182.4712643678163</v>
      </c>
      <c r="F34">
        <f t="shared" si="2"/>
        <v>100.43103448275906</v>
      </c>
      <c r="I34">
        <f t="shared" si="4"/>
        <v>38.61494252873581</v>
      </c>
    </row>
    <row r="35" spans="1:9" x14ac:dyDescent="0.25">
      <c r="A35" t="s">
        <v>26</v>
      </c>
      <c r="B35">
        <f>25826/116</f>
        <v>222.63793103448276</v>
      </c>
      <c r="C35" s="1">
        <v>221.81034482758622</v>
      </c>
      <c r="D35">
        <f>24957/116</f>
        <v>215.14655172413794</v>
      </c>
      <c r="E35">
        <f t="shared" si="1"/>
        <v>219.86494252873561</v>
      </c>
      <c r="F35">
        <f t="shared" si="2"/>
        <v>12.477011494252821</v>
      </c>
      <c r="I35">
        <f t="shared" si="4"/>
        <v>-6.2212643678161044</v>
      </c>
    </row>
    <row r="37" spans="1:9" x14ac:dyDescent="0.25">
      <c r="A37">
        <v>1500</v>
      </c>
      <c r="B37">
        <v>400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0.60473142011808334</v>
      </c>
      <c r="C39">
        <v>0.63150185540945647</v>
      </c>
      <c r="D39">
        <v>0.60327366088242373</v>
      </c>
      <c r="E39">
        <f>AVERAGE(B39:D39)</f>
        <v>0.61316897880332111</v>
      </c>
    </row>
    <row r="40" spans="1:9" x14ac:dyDescent="0.25">
      <c r="A40" t="s">
        <v>5</v>
      </c>
      <c r="B40">
        <v>0.62040229885057474</v>
      </c>
      <c r="C40">
        <v>0.6376436781609196</v>
      </c>
      <c r="D40">
        <v>0.60545977011494256</v>
      </c>
      <c r="E40">
        <f t="shared" ref="E40:E53" si="6">AVERAGE(B40:D40)</f>
        <v>0.62116858237547901</v>
      </c>
    </row>
    <row r="41" spans="1:9" x14ac:dyDescent="0.25">
      <c r="A41" t="s">
        <v>6</v>
      </c>
      <c r="B41">
        <v>0.54871886970793027</v>
      </c>
      <c r="C41">
        <v>0.54965277775498977</v>
      </c>
      <c r="D41">
        <v>0.51598419538124429</v>
      </c>
      <c r="E41">
        <f t="shared" si="6"/>
        <v>0.53811861428138807</v>
      </c>
    </row>
    <row r="42" spans="1:9" x14ac:dyDescent="0.25">
      <c r="A42" t="s">
        <v>7</v>
      </c>
      <c r="B42">
        <v>0.76337173325220042</v>
      </c>
      <c r="C42">
        <v>0.76337173325220042</v>
      </c>
      <c r="D42">
        <v>0.76337173325220042</v>
      </c>
      <c r="E42">
        <f t="shared" si="6"/>
        <v>0.76337173325220042</v>
      </c>
    </row>
    <row r="43" spans="1:9" x14ac:dyDescent="0.25">
      <c r="A43" t="s">
        <v>8</v>
      </c>
      <c r="B43">
        <v>0.24951789541682021</v>
      </c>
      <c r="C43">
        <v>0.24139540424021511</v>
      </c>
      <c r="D43">
        <v>0.24964599915409569</v>
      </c>
      <c r="E43">
        <f t="shared" si="6"/>
        <v>0.24685309960371035</v>
      </c>
    </row>
    <row r="44" spans="1:9" x14ac:dyDescent="0.25">
      <c r="A44" t="s">
        <v>9</v>
      </c>
      <c r="B44">
        <v>0.59941080175861927</v>
      </c>
      <c r="C44">
        <v>0.59001935922519022</v>
      </c>
      <c r="D44">
        <v>0.59635166321430233</v>
      </c>
      <c r="E44">
        <f t="shared" si="6"/>
        <v>0.59526060806603731</v>
      </c>
    </row>
    <row r="45" spans="1:9" x14ac:dyDescent="0.25">
      <c r="A45" t="s">
        <v>10</v>
      </c>
      <c r="B45">
        <v>0.24928160919540229</v>
      </c>
      <c r="C45">
        <v>0.25718390804597702</v>
      </c>
      <c r="D45">
        <v>0.2442528735632184</v>
      </c>
      <c r="E45">
        <f t="shared" si="6"/>
        <v>0.2502394636015326</v>
      </c>
    </row>
    <row r="46" spans="1:9" x14ac:dyDescent="0.25">
      <c r="A46" t="s">
        <v>11</v>
      </c>
      <c r="B46">
        <v>0.45689655172413801</v>
      </c>
      <c r="C46">
        <v>0.46551724137931028</v>
      </c>
      <c r="D46">
        <v>0.44827586206896552</v>
      </c>
      <c r="E46">
        <f t="shared" si="6"/>
        <v>0.4568965517241379</v>
      </c>
    </row>
    <row r="47" spans="1:9" x14ac:dyDescent="0.25">
      <c r="A47" t="s">
        <v>12</v>
      </c>
      <c r="B47">
        <v>12.20162315820826</v>
      </c>
      <c r="C47" s="1">
        <v>11.433823363534341</v>
      </c>
      <c r="D47">
        <v>11.841515534910659</v>
      </c>
      <c r="E47">
        <f t="shared" si="6"/>
        <v>11.825654018884421</v>
      </c>
    </row>
    <row r="48" spans="1:9" x14ac:dyDescent="0.25">
      <c r="A48" t="s">
        <v>21</v>
      </c>
      <c r="B48">
        <v>0.2366970777511597</v>
      </c>
      <c r="C48">
        <v>0.2366970777511597</v>
      </c>
      <c r="D48">
        <v>0.2366970777511597</v>
      </c>
      <c r="E48">
        <f t="shared" si="6"/>
        <v>0.2366970777511597</v>
      </c>
    </row>
    <row r="49" spans="1:5" x14ac:dyDescent="0.25">
      <c r="A49" t="s">
        <v>22</v>
      </c>
      <c r="B49">
        <v>0.18327729403972631</v>
      </c>
      <c r="C49">
        <v>0.18327729403972631</v>
      </c>
      <c r="D49">
        <v>0.18327729403972631</v>
      </c>
      <c r="E49">
        <f t="shared" si="6"/>
        <v>0.18327729403972634</v>
      </c>
    </row>
    <row r="50" spans="1:5" x14ac:dyDescent="0.25">
      <c r="A50" t="s">
        <v>23</v>
      </c>
      <c r="B50">
        <v>0.29159584641456598</v>
      </c>
      <c r="C50">
        <v>0.29159584641456598</v>
      </c>
      <c r="D50">
        <v>0.29159584641456598</v>
      </c>
      <c r="E50">
        <f t="shared" si="6"/>
        <v>0.29159584641456598</v>
      </c>
    </row>
    <row r="51" spans="1:5" x14ac:dyDescent="0.25">
      <c r="A51" t="s">
        <v>24</v>
      </c>
      <c r="B51" s="1">
        <v>2349.6810344827591</v>
      </c>
      <c r="C51" s="1">
        <v>2353.4137931034479</v>
      </c>
      <c r="D51" s="1">
        <v>2406.7327586206902</v>
      </c>
      <c r="E51">
        <f t="shared" si="6"/>
        <v>2369.9425287356321</v>
      </c>
    </row>
    <row r="52" spans="1:5" x14ac:dyDescent="0.25">
      <c r="A52" t="s">
        <v>25</v>
      </c>
      <c r="B52" s="1">
        <v>2127.8534482758619</v>
      </c>
      <c r="C52" s="1">
        <v>2130.3534482758619</v>
      </c>
      <c r="D52" s="1">
        <v>2173.3620689655172</v>
      </c>
      <c r="E52">
        <f t="shared" si="6"/>
        <v>2143.8563218390805</v>
      </c>
    </row>
    <row r="53" spans="1:5" x14ac:dyDescent="0.25">
      <c r="A53" t="s">
        <v>26</v>
      </c>
      <c r="B53" s="1">
        <v>221.82758620689651</v>
      </c>
      <c r="C53" s="1">
        <v>223.06034482758619</v>
      </c>
      <c r="D53" s="1">
        <v>233.37068965517241</v>
      </c>
      <c r="E53">
        <f t="shared" si="6"/>
        <v>226.08620689655172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workbookViewId="0"/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A0DA-D5A9-47E8-8278-4052962FDB95}">
  <dimension ref="A1:J70"/>
  <sheetViews>
    <sheetView tabSelected="1" topLeftCell="A37" workbookViewId="0">
      <selection activeCell="F53" sqref="F53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400</v>
      </c>
      <c r="D19">
        <v>5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A20" t="s">
        <v>4</v>
      </c>
      <c r="E20" t="e">
        <f>AVERAGE(B20:D20)</f>
        <v>#DIV/0!</v>
      </c>
      <c r="F20" t="e">
        <f>E20-#REF!</f>
        <v>#DIV/0!</v>
      </c>
      <c r="G20" t="e">
        <f t="shared" ref="G20:G30" si="1">F20*100</f>
        <v>#DIV/0!</v>
      </c>
      <c r="I20" t="e">
        <f>F20/#REF!</f>
        <v>#DIV/0!</v>
      </c>
      <c r="J20" t="e">
        <f>I20*100</f>
        <v>#DIV/0!</v>
      </c>
    </row>
    <row r="21" spans="1:10" x14ac:dyDescent="0.25">
      <c r="A21" t="s">
        <v>5</v>
      </c>
      <c r="E21" t="e">
        <f t="shared" ref="E21:E34" si="2">AVERAGE(B21:D21)</f>
        <v>#DIV/0!</v>
      </c>
      <c r="F21" t="e">
        <f>E21-#REF!</f>
        <v>#DIV/0!</v>
      </c>
      <c r="G21" t="e">
        <f t="shared" si="1"/>
        <v>#DIV/0!</v>
      </c>
      <c r="I21" t="e">
        <f>F21/#REF!</f>
        <v>#DIV/0!</v>
      </c>
      <c r="J21" t="e">
        <f t="shared" ref="J21:J30" si="3">I21*100</f>
        <v>#DIV/0!</v>
      </c>
    </row>
    <row r="22" spans="1:10" x14ac:dyDescent="0.25">
      <c r="A22" t="s">
        <v>6</v>
      </c>
      <c r="E22" t="e">
        <f t="shared" si="2"/>
        <v>#DIV/0!</v>
      </c>
      <c r="F22" t="e">
        <f>E22-#REF!</f>
        <v>#DIV/0!</v>
      </c>
      <c r="G22" t="e">
        <f t="shared" si="1"/>
        <v>#DIV/0!</v>
      </c>
      <c r="I22" t="e">
        <f>F22/#REF!</f>
        <v>#DIV/0!</v>
      </c>
      <c r="J22" t="e">
        <f t="shared" si="3"/>
        <v>#DIV/0!</v>
      </c>
    </row>
    <row r="23" spans="1:10" x14ac:dyDescent="0.25">
      <c r="A23" t="s">
        <v>7</v>
      </c>
      <c r="E23" t="e">
        <f t="shared" si="2"/>
        <v>#DIV/0!</v>
      </c>
      <c r="F23" t="e">
        <f>E23-#REF!</f>
        <v>#DIV/0!</v>
      </c>
      <c r="G23" t="e">
        <f t="shared" si="1"/>
        <v>#DIV/0!</v>
      </c>
      <c r="I23" t="e">
        <f>F23/#REF!</f>
        <v>#DIV/0!</v>
      </c>
      <c r="J23" t="e">
        <f t="shared" si="3"/>
        <v>#DIV/0!</v>
      </c>
    </row>
    <row r="24" spans="1:10" x14ac:dyDescent="0.25">
      <c r="A24" t="s">
        <v>8</v>
      </c>
      <c r="E24" t="e">
        <f t="shared" si="2"/>
        <v>#DIV/0!</v>
      </c>
      <c r="F24" t="e">
        <f>E24-#REF!</f>
        <v>#DIV/0!</v>
      </c>
      <c r="G24" t="e">
        <f t="shared" si="1"/>
        <v>#DIV/0!</v>
      </c>
      <c r="I24" t="e">
        <f>F24/#REF!</f>
        <v>#DIV/0!</v>
      </c>
      <c r="J24" t="e">
        <f t="shared" si="3"/>
        <v>#DIV/0!</v>
      </c>
    </row>
    <row r="25" spans="1:10" x14ac:dyDescent="0.25">
      <c r="A25" t="s">
        <v>9</v>
      </c>
      <c r="E25" t="e">
        <f t="shared" si="2"/>
        <v>#DIV/0!</v>
      </c>
      <c r="F25" t="e">
        <f>E25-#REF!</f>
        <v>#DIV/0!</v>
      </c>
      <c r="G25" t="e">
        <f t="shared" si="1"/>
        <v>#DIV/0!</v>
      </c>
      <c r="I25" t="e">
        <f>F25/#REF!</f>
        <v>#DIV/0!</v>
      </c>
      <c r="J25" t="e">
        <f t="shared" si="3"/>
        <v>#DIV/0!</v>
      </c>
    </row>
    <row r="26" spans="1:10" x14ac:dyDescent="0.25">
      <c r="A26" t="s">
        <v>21</v>
      </c>
      <c r="E26" t="e">
        <f t="shared" si="2"/>
        <v>#DIV/0!</v>
      </c>
      <c r="F26" t="e">
        <f>E26-#REF!</f>
        <v>#DIV/0!</v>
      </c>
      <c r="G26" t="e">
        <f t="shared" si="1"/>
        <v>#DIV/0!</v>
      </c>
      <c r="I26" t="e">
        <f>F26/#REF!</f>
        <v>#DIV/0!</v>
      </c>
      <c r="J26" t="e">
        <f t="shared" si="3"/>
        <v>#DIV/0!</v>
      </c>
    </row>
    <row r="27" spans="1:10" x14ac:dyDescent="0.25">
      <c r="A27" t="s">
        <v>22</v>
      </c>
      <c r="E27" t="e">
        <f t="shared" si="2"/>
        <v>#DIV/0!</v>
      </c>
      <c r="F27" t="e">
        <f>E27-#REF!</f>
        <v>#DIV/0!</v>
      </c>
      <c r="G27" t="e">
        <f t="shared" si="1"/>
        <v>#DIV/0!</v>
      </c>
      <c r="I27" t="e">
        <f>F27/#REF!</f>
        <v>#DIV/0!</v>
      </c>
      <c r="J27" t="e">
        <f t="shared" si="3"/>
        <v>#DIV/0!</v>
      </c>
    </row>
    <row r="28" spans="1:10" x14ac:dyDescent="0.25">
      <c r="A28" t="s">
        <v>23</v>
      </c>
      <c r="E28" t="e">
        <f t="shared" si="2"/>
        <v>#DIV/0!</v>
      </c>
      <c r="F28" t="e">
        <f>E28-#REF!</f>
        <v>#DIV/0!</v>
      </c>
      <c r="G28" t="e">
        <f t="shared" si="1"/>
        <v>#DIV/0!</v>
      </c>
      <c r="I28" t="e">
        <f>F28/#REF!</f>
        <v>#DIV/0!</v>
      </c>
      <c r="J28" t="e">
        <f t="shared" si="3"/>
        <v>#DIV/0!</v>
      </c>
    </row>
    <row r="29" spans="1:10" x14ac:dyDescent="0.25">
      <c r="A29" t="s">
        <v>10</v>
      </c>
      <c r="E29" t="e">
        <f t="shared" si="2"/>
        <v>#DIV/0!</v>
      </c>
      <c r="F29" t="e">
        <f>E29-#REF!</f>
        <v>#DIV/0!</v>
      </c>
      <c r="G29" t="e">
        <f t="shared" si="1"/>
        <v>#DIV/0!</v>
      </c>
      <c r="I29" t="e">
        <f>F29/#REF!</f>
        <v>#DIV/0!</v>
      </c>
      <c r="J29" t="e">
        <f t="shared" si="3"/>
        <v>#DIV/0!</v>
      </c>
    </row>
    <row r="30" spans="1:10" x14ac:dyDescent="0.25">
      <c r="A30" t="s">
        <v>11</v>
      </c>
      <c r="E30" t="e">
        <f t="shared" si="2"/>
        <v>#DIV/0!</v>
      </c>
      <c r="F30" t="e">
        <f>E30-#REF!</f>
        <v>#DIV/0!</v>
      </c>
      <c r="G30" t="e">
        <f t="shared" si="1"/>
        <v>#DIV/0!</v>
      </c>
      <c r="I30" t="e">
        <f>F30/#REF!</f>
        <v>#DIV/0!</v>
      </c>
      <c r="J30" t="e">
        <f t="shared" si="3"/>
        <v>#DIV/0!</v>
      </c>
    </row>
    <row r="31" spans="1:10" x14ac:dyDescent="0.25">
      <c r="A31" t="s">
        <v>12</v>
      </c>
      <c r="E31" t="e">
        <f t="shared" si="2"/>
        <v>#DIV/0!</v>
      </c>
      <c r="F31" t="e">
        <f>E31-#REF!</f>
        <v>#DIV/0!</v>
      </c>
    </row>
    <row r="32" spans="1:10" x14ac:dyDescent="0.25">
      <c r="A32" t="s">
        <v>31</v>
      </c>
      <c r="E32" t="e">
        <f t="shared" si="2"/>
        <v>#DIV/0!</v>
      </c>
      <c r="F32" t="e">
        <f>E32-#REF!</f>
        <v>#DIV/0!</v>
      </c>
    </row>
    <row r="33" spans="1:10" x14ac:dyDescent="0.25">
      <c r="A33" t="s">
        <v>32</v>
      </c>
      <c r="E33" t="e">
        <f t="shared" si="2"/>
        <v>#DIV/0!</v>
      </c>
      <c r="F33" t="e">
        <f>E33-#REF!</f>
        <v>#DIV/0!</v>
      </c>
    </row>
    <row r="34" spans="1:10" x14ac:dyDescent="0.25">
      <c r="A34" t="s">
        <v>33</v>
      </c>
      <c r="E34" t="e">
        <f t="shared" si="2"/>
        <v>#DIV/0!</v>
      </c>
      <c r="F34" t="e">
        <f>E34-#REF!</f>
        <v>#DIV/0!</v>
      </c>
    </row>
    <row r="37" spans="1:10" x14ac:dyDescent="0.25">
      <c r="A37">
        <v>1500</v>
      </c>
      <c r="B37">
        <v>300</v>
      </c>
      <c r="C37">
        <v>400</v>
      </c>
      <c r="D37">
        <v>10</v>
      </c>
      <c r="E37" t="s">
        <v>3</v>
      </c>
      <c r="F37" t="s">
        <v>34</v>
      </c>
      <c r="G37" t="s">
        <v>14</v>
      </c>
      <c r="I37" t="s">
        <v>35</v>
      </c>
    </row>
    <row r="38" spans="1:10" x14ac:dyDescent="0.25">
      <c r="A38" t="s">
        <v>4</v>
      </c>
      <c r="B38">
        <v>0.66608340568196645</v>
      </c>
      <c r="C38">
        <v>0.67289235724834096</v>
      </c>
      <c r="E38">
        <f>AVERAGE(B38:D38)</f>
        <v>0.6694878814651537</v>
      </c>
      <c r="F38">
        <f t="shared" ref="F38:F52" si="4">E38-E3</f>
        <v>6.4670298493010314E-3</v>
      </c>
      <c r="G38">
        <f t="shared" ref="G38:G48" si="5">F38*100</f>
        <v>0.64670298493010314</v>
      </c>
      <c r="I38">
        <f t="shared" ref="I38:I48" si="6">F38/E3</f>
        <v>9.7538860709134381E-3</v>
      </c>
      <c r="J38">
        <f>I38*100</f>
        <v>0.97538860709134378</v>
      </c>
    </row>
    <row r="39" spans="1:10" x14ac:dyDescent="0.25">
      <c r="A39" t="s">
        <v>5</v>
      </c>
      <c r="B39">
        <v>0.6375615763546798</v>
      </c>
      <c r="C39">
        <v>0.64905582922824312</v>
      </c>
      <c r="E39">
        <f t="shared" ref="E39:E52" si="7">AVERAGE(B39:D39)</f>
        <v>0.64330870279146146</v>
      </c>
      <c r="F39">
        <f t="shared" si="4"/>
        <v>1.1144189809856986E-2</v>
      </c>
      <c r="G39">
        <f t="shared" si="5"/>
        <v>1.1144189809856986</v>
      </c>
      <c r="I39">
        <f t="shared" si="6"/>
        <v>1.7628622899592078E-2</v>
      </c>
      <c r="J39">
        <f t="shared" ref="J39:J48" si="8">I39*100</f>
        <v>1.7628622899592079</v>
      </c>
    </row>
    <row r="40" spans="1:10" x14ac:dyDescent="0.25">
      <c r="A40" t="s">
        <v>6</v>
      </c>
      <c r="B40">
        <v>0.58014132550850128</v>
      </c>
      <c r="C40">
        <v>0.58065134097034976</v>
      </c>
      <c r="E40">
        <f t="shared" si="7"/>
        <v>0.58039633323942552</v>
      </c>
      <c r="F40">
        <f t="shared" si="4"/>
        <v>-4.8999628473353374E-2</v>
      </c>
      <c r="G40">
        <f t="shared" si="5"/>
        <v>-4.8999628473353374</v>
      </c>
      <c r="H40" t="s">
        <v>16</v>
      </c>
      <c r="I40">
        <f t="shared" si="6"/>
        <v>-7.7851831683206862E-2</v>
      </c>
      <c r="J40">
        <f t="shared" si="8"/>
        <v>-7.7851831683206862</v>
      </c>
    </row>
    <row r="41" spans="1:10" x14ac:dyDescent="0.25">
      <c r="A41" t="s">
        <v>7</v>
      </c>
      <c r="B41">
        <v>0.77200388366020756</v>
      </c>
      <c r="C41">
        <v>0.77242065608362609</v>
      </c>
      <c r="E41">
        <f t="shared" si="7"/>
        <v>0.77221226987191682</v>
      </c>
      <c r="F41">
        <f t="shared" si="4"/>
        <v>1.2400487546838868E-2</v>
      </c>
      <c r="G41">
        <f t="shared" si="5"/>
        <v>1.2400487546838868</v>
      </c>
      <c r="H41" t="s">
        <v>17</v>
      </c>
      <c r="I41">
        <f t="shared" si="6"/>
        <v>1.6320472826694653E-2</v>
      </c>
      <c r="J41">
        <f t="shared" si="8"/>
        <v>1.6320472826694652</v>
      </c>
    </row>
    <row r="42" spans="1:10" x14ac:dyDescent="0.25">
      <c r="A42" t="s">
        <v>8</v>
      </c>
      <c r="B42">
        <v>0.25068398827134369</v>
      </c>
      <c r="C42">
        <v>0.2589699464168802</v>
      </c>
      <c r="E42">
        <f t="shared" si="7"/>
        <v>0.25482696734411192</v>
      </c>
      <c r="F42">
        <f t="shared" si="4"/>
        <v>-1.8567688685543704E-2</v>
      </c>
      <c r="G42">
        <f t="shared" si="5"/>
        <v>-1.8567688685543704</v>
      </c>
      <c r="H42" t="s">
        <v>16</v>
      </c>
      <c r="I42">
        <f t="shared" si="6"/>
        <v>-6.7915331466938525E-2</v>
      </c>
      <c r="J42">
        <f t="shared" si="8"/>
        <v>-6.7915331466938529</v>
      </c>
    </row>
    <row r="43" spans="1:10" x14ac:dyDescent="0.25">
      <c r="A43" t="s">
        <v>9</v>
      </c>
      <c r="B43">
        <v>0.63383611995639388</v>
      </c>
      <c r="C43">
        <v>0.61945160529897847</v>
      </c>
      <c r="E43">
        <f t="shared" si="7"/>
        <v>0.62664386262768623</v>
      </c>
      <c r="F43">
        <f t="shared" si="4"/>
        <v>1.8263439933230319E-2</v>
      </c>
      <c r="G43">
        <f t="shared" si="5"/>
        <v>1.8263439933230319</v>
      </c>
      <c r="H43" t="s">
        <v>17</v>
      </c>
      <c r="I43">
        <f t="shared" si="6"/>
        <v>3.0019769295572291E-2</v>
      </c>
      <c r="J43">
        <f t="shared" si="8"/>
        <v>3.0019769295572289</v>
      </c>
    </row>
    <row r="44" spans="1:10" x14ac:dyDescent="0.25">
      <c r="A44" t="s">
        <v>21</v>
      </c>
      <c r="B44">
        <v>0.2688184380531311</v>
      </c>
      <c r="C44">
        <v>0.26673674583435059</v>
      </c>
      <c r="E44">
        <f t="shared" si="7"/>
        <v>0.26777759194374084</v>
      </c>
      <c r="F44">
        <f t="shared" si="4"/>
        <v>2.5147438049316378E-2</v>
      </c>
      <c r="G44">
        <f t="shared" si="5"/>
        <v>2.514743804931638</v>
      </c>
      <c r="H44" t="s">
        <v>17</v>
      </c>
      <c r="I44">
        <f t="shared" si="6"/>
        <v>0.10364514733918345</v>
      </c>
      <c r="J44">
        <f t="shared" si="8"/>
        <v>10.364514733918345</v>
      </c>
    </row>
    <row r="45" spans="1:10" x14ac:dyDescent="0.25">
      <c r="A45" t="s">
        <v>22</v>
      </c>
      <c r="B45">
        <v>0.21860054135322571</v>
      </c>
      <c r="C45">
        <v>0.21573023498058319</v>
      </c>
      <c r="E45">
        <f t="shared" si="7"/>
        <v>0.21716538816690445</v>
      </c>
      <c r="F45">
        <f t="shared" si="4"/>
        <v>2.342877537012103E-2</v>
      </c>
      <c r="G45">
        <f t="shared" si="5"/>
        <v>2.3428775370121029</v>
      </c>
      <c r="H45" t="s">
        <v>17</v>
      </c>
      <c r="I45">
        <f t="shared" si="6"/>
        <v>0.12093106734913461</v>
      </c>
      <c r="J45">
        <f t="shared" si="8"/>
        <v>12.093106734913462</v>
      </c>
    </row>
    <row r="46" spans="1:10" x14ac:dyDescent="0.25">
      <c r="A46" t="s">
        <v>23</v>
      </c>
      <c r="B46">
        <v>0.32009601593017578</v>
      </c>
      <c r="C46">
        <v>0.31944876909255981</v>
      </c>
      <c r="E46">
        <f t="shared" si="7"/>
        <v>0.3197723925113678</v>
      </c>
      <c r="F46">
        <f t="shared" si="4"/>
        <v>2.7271479368209839E-2</v>
      </c>
      <c r="G46">
        <f t="shared" si="5"/>
        <v>2.7271479368209839</v>
      </c>
      <c r="H46" t="s">
        <v>17</v>
      </c>
      <c r="I46">
        <f t="shared" si="6"/>
        <v>9.3235535831857147E-2</v>
      </c>
      <c r="J46">
        <f t="shared" si="8"/>
        <v>9.3235535831857153</v>
      </c>
    </row>
    <row r="47" spans="1:10" x14ac:dyDescent="0.25">
      <c r="A47" t="s">
        <v>10</v>
      </c>
      <c r="B47">
        <v>0.33951149425287358</v>
      </c>
      <c r="C47">
        <v>0.35890804597701148</v>
      </c>
      <c r="E47">
        <f t="shared" si="7"/>
        <v>0.34920977011494253</v>
      </c>
      <c r="F47">
        <f t="shared" si="4"/>
        <v>-2.7538314176245304E-3</v>
      </c>
      <c r="G47">
        <f t="shared" si="5"/>
        <v>-0.27538314176245304</v>
      </c>
      <c r="H47" t="s">
        <v>16</v>
      </c>
      <c r="I47">
        <f t="shared" si="6"/>
        <v>-7.8241937678595989E-3</v>
      </c>
      <c r="J47">
        <f t="shared" si="8"/>
        <v>-0.78241937678595985</v>
      </c>
    </row>
    <row r="48" spans="1:10" x14ac:dyDescent="0.25">
      <c r="A48" t="s">
        <v>11</v>
      </c>
      <c r="B48">
        <v>0.49137931034482762</v>
      </c>
      <c r="C48">
        <v>0.50862068965517238</v>
      </c>
      <c r="E48">
        <f t="shared" si="7"/>
        <v>0.5</v>
      </c>
      <c r="F48">
        <f t="shared" si="4"/>
        <v>-1.7241379310344862E-2</v>
      </c>
      <c r="G48">
        <f t="shared" si="5"/>
        <v>-1.7241379310344862</v>
      </c>
      <c r="H48" t="s">
        <v>16</v>
      </c>
      <c r="I48">
        <f t="shared" si="6"/>
        <v>-3.3333333333333395E-2</v>
      </c>
      <c r="J48">
        <f t="shared" si="8"/>
        <v>-3.3333333333333397</v>
      </c>
    </row>
    <row r="49" spans="1:10" x14ac:dyDescent="0.25">
      <c r="A49" t="s">
        <v>12</v>
      </c>
      <c r="B49">
        <v>13.242486250811609</v>
      </c>
      <c r="C49">
        <v>13.47277301755445</v>
      </c>
      <c r="E49">
        <f t="shared" si="7"/>
        <v>13.357629634183031</v>
      </c>
      <c r="F49">
        <f t="shared" si="4"/>
        <v>0.44539833342892088</v>
      </c>
    </row>
    <row r="50" spans="1:10" x14ac:dyDescent="0.25">
      <c r="A50" t="s">
        <v>31</v>
      </c>
      <c r="B50">
        <v>2070</v>
      </c>
      <c r="C50">
        <v>2168.1810344827591</v>
      </c>
      <c r="E50">
        <f t="shared" si="7"/>
        <v>2119.0905172413795</v>
      </c>
      <c r="F50">
        <f t="shared" si="4"/>
        <v>-63.380747126436745</v>
      </c>
    </row>
    <row r="51" spans="1:10" x14ac:dyDescent="0.25">
      <c r="A51" t="s">
        <v>32</v>
      </c>
      <c r="B51">
        <v>207.47413793103451</v>
      </c>
      <c r="C51">
        <v>232.61206896551721</v>
      </c>
      <c r="E51">
        <f t="shared" si="7"/>
        <v>220.04310344827587</v>
      </c>
      <c r="F51">
        <f t="shared" si="4"/>
        <v>0.17816091954026092</v>
      </c>
    </row>
    <row r="52" spans="1:10" x14ac:dyDescent="0.25">
      <c r="A52" t="s">
        <v>33</v>
      </c>
      <c r="B52">
        <v>2277.474137931034</v>
      </c>
      <c r="C52">
        <v>2400.7931034482758</v>
      </c>
      <c r="E52">
        <f t="shared" si="7"/>
        <v>2339.1336206896549</v>
      </c>
      <c r="F52">
        <f t="shared" si="4"/>
        <v>-63.202586206897195</v>
      </c>
    </row>
    <row r="55" spans="1:10" x14ac:dyDescent="0.25">
      <c r="A55">
        <v>1500</v>
      </c>
      <c r="B55">
        <v>300</v>
      </c>
      <c r="C55">
        <v>400</v>
      </c>
      <c r="D55">
        <v>15</v>
      </c>
      <c r="E55" t="s">
        <v>3</v>
      </c>
      <c r="F55" t="s">
        <v>34</v>
      </c>
      <c r="G55" t="s">
        <v>14</v>
      </c>
    </row>
    <row r="56" spans="1:10" x14ac:dyDescent="0.25">
      <c r="A56" t="s">
        <v>4</v>
      </c>
      <c r="B56">
        <v>0.65947820262835743</v>
      </c>
      <c r="E56">
        <f t="shared" ref="E56:E70" si="9">AVERAGE(B56:D56)</f>
        <v>0.65947820262835743</v>
      </c>
      <c r="F56">
        <f>E56-E38</f>
        <v>-1.0009678836796265E-2</v>
      </c>
      <c r="G56">
        <f t="shared" ref="G56:G66" si="10">F56*100</f>
        <v>-1.0009678836796265</v>
      </c>
      <c r="H56" t="s">
        <v>16</v>
      </c>
      <c r="I56">
        <f>F56/E38</f>
        <v>-1.4951247235260465E-2</v>
      </c>
      <c r="J56">
        <f>I56*100</f>
        <v>-1.4951247235260465</v>
      </c>
    </row>
    <row r="57" spans="1:10" x14ac:dyDescent="0.25">
      <c r="A57" t="s">
        <v>5</v>
      </c>
      <c r="B57">
        <v>0.60582706766917294</v>
      </c>
      <c r="E57">
        <f t="shared" si="9"/>
        <v>0.60582706766917294</v>
      </c>
      <c r="F57">
        <f t="shared" ref="F57:F70" si="11">E57-E39</f>
        <v>-3.7481635122288526E-2</v>
      </c>
      <c r="G57">
        <f t="shared" si="10"/>
        <v>-3.7481635122288526</v>
      </c>
      <c r="H57" t="s">
        <v>16</v>
      </c>
      <c r="I57">
        <f>F57/E39</f>
        <v>-5.8263839677043482E-2</v>
      </c>
      <c r="J57">
        <f t="shared" ref="J57:J66" si="12">I57*100</f>
        <v>-5.8263839677043485</v>
      </c>
    </row>
    <row r="58" spans="1:10" x14ac:dyDescent="0.25">
      <c r="A58" t="s">
        <v>6</v>
      </c>
      <c r="B58">
        <v>0.567809734487979</v>
      </c>
      <c r="E58">
        <f t="shared" si="9"/>
        <v>0.567809734487979</v>
      </c>
      <c r="F58">
        <f t="shared" si="11"/>
        <v>-1.2586598751446521E-2</v>
      </c>
      <c r="G58">
        <f t="shared" si="10"/>
        <v>-1.2586598751446521</v>
      </c>
      <c r="H58" t="s">
        <v>16</v>
      </c>
      <c r="I58">
        <f t="shared" ref="I58:I66" si="13">F58/E40</f>
        <v>-2.1686213421087015E-2</v>
      </c>
      <c r="J58">
        <f t="shared" si="12"/>
        <v>-2.1686213421087017</v>
      </c>
    </row>
    <row r="59" spans="1:10" x14ac:dyDescent="0.25">
      <c r="A59" t="s">
        <v>7</v>
      </c>
      <c r="B59">
        <v>0.76755236486946554</v>
      </c>
      <c r="E59">
        <f t="shared" si="9"/>
        <v>0.76755236486946554</v>
      </c>
      <c r="F59">
        <f t="shared" si="11"/>
        <v>-4.6599050024512811E-3</v>
      </c>
      <c r="G59">
        <f t="shared" si="10"/>
        <v>-0.46599050024512811</v>
      </c>
      <c r="I59">
        <f t="shared" si="13"/>
        <v>-6.0344871277740733E-3</v>
      </c>
      <c r="J59">
        <f t="shared" si="12"/>
        <v>-0.6034487127774073</v>
      </c>
    </row>
    <row r="60" spans="1:10" x14ac:dyDescent="0.25">
      <c r="A60" t="s">
        <v>8</v>
      </c>
      <c r="B60">
        <v>0.27182832669933971</v>
      </c>
      <c r="E60">
        <f t="shared" si="9"/>
        <v>0.27182832669933971</v>
      </c>
      <c r="F60">
        <f t="shared" si="11"/>
        <v>1.7001359355227785E-2</v>
      </c>
      <c r="G60">
        <f t="shared" si="10"/>
        <v>1.7001359355227785</v>
      </c>
      <c r="H60" t="s">
        <v>17</v>
      </c>
      <c r="I60">
        <f t="shared" si="13"/>
        <v>6.6717269103899732E-2</v>
      </c>
      <c r="J60">
        <f t="shared" si="12"/>
        <v>6.6717269103899728</v>
      </c>
    </row>
    <row r="61" spans="1:10" x14ac:dyDescent="0.25">
      <c r="A61" t="s">
        <v>9</v>
      </c>
      <c r="B61">
        <v>0.59268702777693938</v>
      </c>
      <c r="E61">
        <f t="shared" si="9"/>
        <v>0.59268702777693938</v>
      </c>
      <c r="F61">
        <f t="shared" si="11"/>
        <v>-3.3956834850746853E-2</v>
      </c>
      <c r="G61">
        <f t="shared" si="10"/>
        <v>-3.3956834850746853</v>
      </c>
      <c r="H61" t="s">
        <v>16</v>
      </c>
      <c r="I61">
        <f t="shared" si="13"/>
        <v>-5.4188410476656887E-2</v>
      </c>
      <c r="J61">
        <f t="shared" si="12"/>
        <v>-5.4188410476656887</v>
      </c>
    </row>
    <row r="62" spans="1:10" x14ac:dyDescent="0.25">
      <c r="A62" t="s">
        <v>21</v>
      </c>
      <c r="B62">
        <v>0.2640129029750824</v>
      </c>
      <c r="E62">
        <f t="shared" si="9"/>
        <v>0.2640129029750824</v>
      </c>
      <c r="F62">
        <f t="shared" si="11"/>
        <v>-3.7646889686584473E-3</v>
      </c>
      <c r="G62">
        <f t="shared" si="10"/>
        <v>-0.37646889686584473</v>
      </c>
      <c r="H62" t="s">
        <v>16</v>
      </c>
      <c r="I62">
        <f t="shared" si="13"/>
        <v>-1.4059014204031663E-2</v>
      </c>
      <c r="J62">
        <f t="shared" si="12"/>
        <v>-1.4059014204031663</v>
      </c>
    </row>
    <row r="63" spans="1:10" x14ac:dyDescent="0.25">
      <c r="A63" t="s">
        <v>22</v>
      </c>
      <c r="B63">
        <v>0.2079903185367584</v>
      </c>
      <c r="E63">
        <f t="shared" si="9"/>
        <v>0.2079903185367584</v>
      </c>
      <c r="F63">
        <f t="shared" si="11"/>
        <v>-9.1750696301460544E-3</v>
      </c>
      <c r="G63">
        <f t="shared" si="10"/>
        <v>-0.91750696301460544</v>
      </c>
      <c r="H63" t="s">
        <v>16</v>
      </c>
      <c r="I63">
        <f t="shared" si="13"/>
        <v>-4.2249226304398334E-2</v>
      </c>
      <c r="J63">
        <f t="shared" si="12"/>
        <v>-4.2249226304398331</v>
      </c>
    </row>
    <row r="64" spans="1:10" x14ac:dyDescent="0.25">
      <c r="A64" t="s">
        <v>23</v>
      </c>
      <c r="B64">
        <v>0.32170626521110529</v>
      </c>
      <c r="E64">
        <f t="shared" si="9"/>
        <v>0.32170626521110529</v>
      </c>
      <c r="F64">
        <f t="shared" si="11"/>
        <v>1.9338726997374933E-3</v>
      </c>
      <c r="G64">
        <f t="shared" si="10"/>
        <v>0.19338726997374933</v>
      </c>
      <c r="H64" t="s">
        <v>16</v>
      </c>
      <c r="I64">
        <f t="shared" si="13"/>
        <v>6.0476537219164251E-3</v>
      </c>
      <c r="J64">
        <f t="shared" si="12"/>
        <v>0.6047653721916425</v>
      </c>
    </row>
    <row r="65" spans="1:10" x14ac:dyDescent="0.25">
      <c r="A65" t="s">
        <v>10</v>
      </c>
      <c r="B65">
        <v>0.33649425287356322</v>
      </c>
      <c r="E65">
        <f t="shared" si="9"/>
        <v>0.33649425287356322</v>
      </c>
      <c r="F65">
        <f t="shared" si="11"/>
        <v>-1.2715517241379315E-2</v>
      </c>
      <c r="G65">
        <f t="shared" si="10"/>
        <v>-1.2715517241379315</v>
      </c>
      <c r="H65" t="s">
        <v>16</v>
      </c>
      <c r="I65">
        <f t="shared" si="13"/>
        <v>-3.641226085167662E-2</v>
      </c>
      <c r="J65">
        <f t="shared" si="12"/>
        <v>-3.6412260851676619</v>
      </c>
    </row>
    <row r="66" spans="1:10" x14ac:dyDescent="0.25">
      <c r="A66" t="s">
        <v>11</v>
      </c>
      <c r="B66">
        <v>0.47413793103448282</v>
      </c>
      <c r="E66">
        <f t="shared" si="9"/>
        <v>0.47413793103448282</v>
      </c>
      <c r="F66">
        <f t="shared" si="11"/>
        <v>-2.5862068965517182E-2</v>
      </c>
      <c r="G66">
        <f t="shared" si="10"/>
        <v>-2.586206896551718</v>
      </c>
      <c r="H66" t="s">
        <v>16</v>
      </c>
      <c r="I66">
        <f t="shared" si="13"/>
        <v>-5.1724137931034364E-2</v>
      </c>
      <c r="J66">
        <f t="shared" si="12"/>
        <v>-5.172413793103436</v>
      </c>
    </row>
    <row r="67" spans="1:10" x14ac:dyDescent="0.25">
      <c r="A67" t="s">
        <v>12</v>
      </c>
      <c r="B67">
        <v>14.611805288956081</v>
      </c>
      <c r="E67">
        <f t="shared" si="9"/>
        <v>14.611805288956081</v>
      </c>
      <c r="F67">
        <f t="shared" si="11"/>
        <v>1.25417565477305</v>
      </c>
    </row>
    <row r="68" spans="1:10" x14ac:dyDescent="0.25">
      <c r="A68" t="s">
        <v>31</v>
      </c>
      <c r="B68">
        <v>2153.344827586207</v>
      </c>
      <c r="E68">
        <f t="shared" si="9"/>
        <v>2153.344827586207</v>
      </c>
      <c r="F68">
        <f t="shared" si="11"/>
        <v>34.254310344827445</v>
      </c>
    </row>
    <row r="69" spans="1:10" x14ac:dyDescent="0.25">
      <c r="A69" t="s">
        <v>32</v>
      </c>
      <c r="B69">
        <v>217.27586206896549</v>
      </c>
      <c r="E69">
        <f t="shared" si="9"/>
        <v>217.27586206896549</v>
      </c>
      <c r="F69">
        <f t="shared" si="11"/>
        <v>-2.7672413793103772</v>
      </c>
    </row>
    <row r="70" spans="1:10" x14ac:dyDescent="0.25">
      <c r="A70" t="s">
        <v>33</v>
      </c>
      <c r="B70">
        <v>2370.620689655173</v>
      </c>
      <c r="E70">
        <f t="shared" si="9"/>
        <v>2370.620689655173</v>
      </c>
      <c r="F70">
        <f t="shared" si="11"/>
        <v>31.48706896551812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naive max_size</vt:lpstr>
      <vt:lpstr>gpt_naive max_size</vt:lpstr>
      <vt:lpstr>naive overlap</vt:lpstr>
      <vt:lpstr>gpt_naive overlap</vt:lpstr>
      <vt:lpstr>semantic percentile</vt:lpstr>
      <vt:lpstr>gpt_semantic percentile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2026-01-18T13:48:55Z</dcterms:modified>
</cp:coreProperties>
</file>