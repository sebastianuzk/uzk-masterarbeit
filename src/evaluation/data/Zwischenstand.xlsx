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"/>
    </mc:Choice>
  </mc:AlternateContent>
  <xr:revisionPtr revIDLastSave="0" documentId="13_ncr:1_{870A6BA4-B64D-4ECD-8E54-D15CD561F106}" xr6:coauthVersionLast="47" xr6:coauthVersionMax="47" xr10:uidLastSave="{00000000-0000-0000-0000-000000000000}"/>
  <bookViews>
    <workbookView xWindow="-120" yWindow="-120" windowWidth="29040" windowHeight="15840" firstSheet="6" activeTab="12" xr2:uid="{D3F11DAE-F554-4455-8ED3-B07E6EB1D3EC}"/>
  </bookViews>
  <sheets>
    <sheet name="naive max_size" sheetId="1" state="hidden" r:id="rId1"/>
    <sheet name="gpt_naive max_size" sheetId="5" r:id="rId2"/>
    <sheet name="naive overlap" sheetId="2" state="hidden" r:id="rId3"/>
    <sheet name="gpt_naive overlap" sheetId="6" r:id="rId4"/>
    <sheet name="semantic percentile" sheetId="3" state="hidden" r:id="rId5"/>
    <sheet name="gpt_semantic percentile" sheetId="7" r:id="rId6"/>
    <sheet name="gpt_semantic min_size" sheetId="8" r:id="rId7"/>
    <sheet name="gpt_reranking" sheetId="10" r:id="rId8"/>
    <sheet name="mmr" sheetId="13" r:id="rId9"/>
    <sheet name="gpt_hybrid" sheetId="12" r:id="rId10"/>
    <sheet name="gpt_context-window" sheetId="11" r:id="rId11"/>
    <sheet name="gpt_deduplication" sheetId="9" r:id="rId12"/>
    <sheet name="Advanced" sheetId="14" r:id="rId13"/>
    <sheet name="semantic min_size" sheetId="4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4" l="1"/>
  <c r="E54" i="14"/>
  <c r="F54" i="14" s="1"/>
  <c r="H54" i="14" s="1"/>
  <c r="E53" i="14"/>
  <c r="Q53" i="14" s="1"/>
  <c r="T53" i="14" s="1"/>
  <c r="E52" i="14"/>
  <c r="K52" i="14" s="1"/>
  <c r="N52" i="14" s="1"/>
  <c r="E51" i="14"/>
  <c r="Q51" i="14" s="1"/>
  <c r="T51" i="14" s="1"/>
  <c r="U51" i="14" s="1"/>
  <c r="E50" i="14"/>
  <c r="Q50" i="14" s="1"/>
  <c r="T50" i="14" s="1"/>
  <c r="E49" i="14"/>
  <c r="K49" i="14" s="1"/>
  <c r="N49" i="14" s="1"/>
  <c r="O49" i="14" s="1"/>
  <c r="E48" i="14"/>
  <c r="K48" i="14" s="1"/>
  <c r="E47" i="14"/>
  <c r="F47" i="14" s="1"/>
  <c r="H47" i="14" s="1"/>
  <c r="E46" i="14"/>
  <c r="F46" i="14" s="1"/>
  <c r="H46" i="14" s="1"/>
  <c r="E45" i="14"/>
  <c r="Q45" i="14" s="1"/>
  <c r="T45" i="14" s="1"/>
  <c r="E44" i="14"/>
  <c r="Q44" i="14" s="1"/>
  <c r="T44" i="14" s="1"/>
  <c r="E43" i="14"/>
  <c r="Q43" i="14" s="1"/>
  <c r="T43" i="14" s="1"/>
  <c r="E42" i="14"/>
  <c r="Q42" i="14" s="1"/>
  <c r="T42" i="14" s="1"/>
  <c r="U42" i="14" s="1"/>
  <c r="E41" i="14"/>
  <c r="Q41" i="14" s="1"/>
  <c r="T41" i="14" s="1"/>
  <c r="U41" i="14" s="1"/>
  <c r="E40" i="14"/>
  <c r="Q40" i="14" s="1"/>
  <c r="T40" i="14" s="1"/>
  <c r="U40" i="14" s="1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E22" i="14"/>
  <c r="K22" i="14" s="1"/>
  <c r="E23" i="14"/>
  <c r="K23" i="14" s="1"/>
  <c r="E24" i="14"/>
  <c r="K24" i="14" s="1"/>
  <c r="E25" i="14"/>
  <c r="F25" i="14" s="1"/>
  <c r="E26" i="14"/>
  <c r="F26" i="14" s="1"/>
  <c r="E27" i="14"/>
  <c r="K27" i="14" s="1"/>
  <c r="N27" i="14" s="1"/>
  <c r="O27" i="14" s="1"/>
  <c r="E28" i="14"/>
  <c r="K28" i="14" s="1"/>
  <c r="E29" i="14"/>
  <c r="K29" i="14" s="1"/>
  <c r="E30" i="14"/>
  <c r="K30" i="14" s="1"/>
  <c r="E31" i="14"/>
  <c r="K31" i="14" s="1"/>
  <c r="E32" i="14"/>
  <c r="K32" i="14" s="1"/>
  <c r="N32" i="14" s="1"/>
  <c r="O32" i="14" s="1"/>
  <c r="E33" i="14"/>
  <c r="K33" i="14" s="1"/>
  <c r="N33" i="14" s="1"/>
  <c r="O33" i="14" s="1"/>
  <c r="E34" i="14"/>
  <c r="K34" i="14" s="1"/>
  <c r="N34" i="14" s="1"/>
  <c r="O34" i="14" s="1"/>
  <c r="E35" i="14"/>
  <c r="K35" i="14" s="1"/>
  <c r="N35" i="14" s="1"/>
  <c r="O35" i="14" s="1"/>
  <c r="E36" i="14"/>
  <c r="E21" i="14"/>
  <c r="F21" i="14" s="1"/>
  <c r="D17" i="14"/>
  <c r="C17" i="14"/>
  <c r="B17" i="14"/>
  <c r="E17" i="14" s="1"/>
  <c r="E16" i="14"/>
  <c r="D16" i="14"/>
  <c r="B16" i="14"/>
  <c r="D15" i="14"/>
  <c r="C15" i="14"/>
  <c r="B15" i="14"/>
  <c r="E15" i="14" s="1"/>
  <c r="E14" i="14"/>
  <c r="E13" i="14"/>
  <c r="E12" i="14"/>
  <c r="E11" i="14"/>
  <c r="E10" i="14"/>
  <c r="E9" i="14"/>
  <c r="E8" i="14"/>
  <c r="E7" i="14"/>
  <c r="E6" i="14"/>
  <c r="E5" i="14"/>
  <c r="E4" i="14"/>
  <c r="E3" i="14"/>
  <c r="B15" i="7"/>
  <c r="C15" i="7"/>
  <c r="D15" i="7"/>
  <c r="B16" i="7"/>
  <c r="D16" i="7"/>
  <c r="B17" i="7"/>
  <c r="C17" i="7"/>
  <c r="D17" i="7"/>
  <c r="B33" i="6"/>
  <c r="C33" i="6"/>
  <c r="D33" i="6"/>
  <c r="B34" i="6"/>
  <c r="C34" i="6"/>
  <c r="D34" i="6"/>
  <c r="B35" i="6"/>
  <c r="D35" i="6"/>
  <c r="E3" i="6"/>
  <c r="L51" i="10"/>
  <c r="M46" i="10"/>
  <c r="M47" i="10"/>
  <c r="M48" i="10"/>
  <c r="M49" i="10"/>
  <c r="M50" i="10"/>
  <c r="L46" i="10"/>
  <c r="L47" i="10"/>
  <c r="L48" i="10"/>
  <c r="L49" i="10"/>
  <c r="L50" i="10"/>
  <c r="L69" i="10"/>
  <c r="M69" i="10" s="1"/>
  <c r="L71" i="10"/>
  <c r="E74" i="10"/>
  <c r="E73" i="10"/>
  <c r="F73" i="10" s="1"/>
  <c r="I73" i="10" s="1"/>
  <c r="E72" i="10"/>
  <c r="F72" i="10" s="1"/>
  <c r="I72" i="10" s="1"/>
  <c r="E71" i="10"/>
  <c r="F71" i="10" s="1"/>
  <c r="I71" i="10" s="1"/>
  <c r="E70" i="10"/>
  <c r="F70" i="10" s="1"/>
  <c r="I70" i="10" s="1"/>
  <c r="E69" i="10"/>
  <c r="F69" i="10" s="1"/>
  <c r="I69" i="10" s="1"/>
  <c r="E68" i="10"/>
  <c r="L68" i="10" s="1"/>
  <c r="E67" i="10"/>
  <c r="F67" i="10" s="1"/>
  <c r="I67" i="10" s="1"/>
  <c r="E66" i="10"/>
  <c r="F66" i="10" s="1"/>
  <c r="I66" i="10" s="1"/>
  <c r="E65" i="10"/>
  <c r="F65" i="10" s="1"/>
  <c r="I65" i="10" s="1"/>
  <c r="E64" i="10"/>
  <c r="E63" i="10"/>
  <c r="E62" i="10"/>
  <c r="E61" i="10"/>
  <c r="E60" i="10"/>
  <c r="E59" i="10"/>
  <c r="O65" i="13"/>
  <c r="O66" i="13"/>
  <c r="O67" i="13"/>
  <c r="O68" i="13"/>
  <c r="O69" i="13"/>
  <c r="O70" i="13"/>
  <c r="L65" i="13"/>
  <c r="L66" i="13"/>
  <c r="L67" i="13"/>
  <c r="L68" i="13"/>
  <c r="L69" i="13"/>
  <c r="P69" i="13" s="1"/>
  <c r="L70" i="13"/>
  <c r="P70" i="13" s="1"/>
  <c r="L71" i="13"/>
  <c r="L72" i="13"/>
  <c r="L73" i="13"/>
  <c r="P68" i="13"/>
  <c r="P67" i="13"/>
  <c r="P65" i="13"/>
  <c r="E73" i="13"/>
  <c r="F73" i="13" s="1"/>
  <c r="E72" i="13"/>
  <c r="F72" i="13" s="1"/>
  <c r="E71" i="13"/>
  <c r="F71" i="13" s="1"/>
  <c r="E70" i="13"/>
  <c r="E69" i="13"/>
  <c r="F69" i="13" s="1"/>
  <c r="I69" i="13" s="1"/>
  <c r="E68" i="13"/>
  <c r="F68" i="13" s="1"/>
  <c r="I68" i="13" s="1"/>
  <c r="E67" i="13"/>
  <c r="F67" i="13" s="1"/>
  <c r="I67" i="13" s="1"/>
  <c r="E66" i="13"/>
  <c r="F66" i="13" s="1"/>
  <c r="I66" i="13" s="1"/>
  <c r="E65" i="13"/>
  <c r="F65" i="13" s="1"/>
  <c r="I65" i="13" s="1"/>
  <c r="E64" i="13"/>
  <c r="E63" i="13"/>
  <c r="E62" i="13"/>
  <c r="E61" i="13"/>
  <c r="E60" i="13"/>
  <c r="E59" i="13"/>
  <c r="E54" i="13"/>
  <c r="F54" i="13" s="1"/>
  <c r="E53" i="13"/>
  <c r="F53" i="13" s="1"/>
  <c r="E52" i="13"/>
  <c r="F52" i="13" s="1"/>
  <c r="E51" i="13"/>
  <c r="F51" i="13" s="1"/>
  <c r="E50" i="13"/>
  <c r="F50" i="13" s="1"/>
  <c r="E49" i="13"/>
  <c r="F49" i="13" s="1"/>
  <c r="E48" i="13"/>
  <c r="F48" i="13" s="1"/>
  <c r="E47" i="13"/>
  <c r="F47" i="13" s="1"/>
  <c r="E46" i="13"/>
  <c r="F46" i="13" s="1"/>
  <c r="I46" i="13" s="1"/>
  <c r="E45" i="13"/>
  <c r="E44" i="13"/>
  <c r="E43" i="13"/>
  <c r="E42" i="13"/>
  <c r="E41" i="13"/>
  <c r="E40" i="13"/>
  <c r="F51" i="14" l="1"/>
  <c r="H51" i="14" s="1"/>
  <c r="I51" i="14" s="1"/>
  <c r="F50" i="14"/>
  <c r="H50" i="14" s="1"/>
  <c r="I50" i="14" s="1"/>
  <c r="K47" i="14"/>
  <c r="N47" i="14" s="1"/>
  <c r="O47" i="14" s="1"/>
  <c r="F49" i="14"/>
  <c r="H49" i="14" s="1"/>
  <c r="I49" i="14" s="1"/>
  <c r="K40" i="14"/>
  <c r="N40" i="14" s="1"/>
  <c r="O40" i="14" s="1"/>
  <c r="F43" i="14"/>
  <c r="H43" i="14" s="1"/>
  <c r="I43" i="14" s="1"/>
  <c r="F42" i="14"/>
  <c r="H42" i="14" s="1"/>
  <c r="I42" i="14" s="1"/>
  <c r="F48" i="14"/>
  <c r="H48" i="14" s="1"/>
  <c r="I48" i="14" s="1"/>
  <c r="F41" i="14"/>
  <c r="H41" i="14" s="1"/>
  <c r="I41" i="14" s="1"/>
  <c r="L48" i="14"/>
  <c r="N48" i="14"/>
  <c r="O48" i="14" s="1"/>
  <c r="F53" i="14"/>
  <c r="H53" i="14" s="1"/>
  <c r="I53" i="14" s="1"/>
  <c r="F45" i="14"/>
  <c r="H45" i="14" s="1"/>
  <c r="K41" i="14"/>
  <c r="N41" i="14" s="1"/>
  <c r="O41" i="14" s="1"/>
  <c r="F52" i="14"/>
  <c r="H52" i="14" s="1"/>
  <c r="I52" i="14" s="1"/>
  <c r="F44" i="14"/>
  <c r="H44" i="14" s="1"/>
  <c r="I44" i="14" s="1"/>
  <c r="K54" i="14"/>
  <c r="K46" i="14"/>
  <c r="K45" i="14"/>
  <c r="N45" i="14" s="1"/>
  <c r="K44" i="14"/>
  <c r="F40" i="14"/>
  <c r="H40" i="14" s="1"/>
  <c r="I40" i="14" s="1"/>
  <c r="K51" i="14"/>
  <c r="N51" i="14" s="1"/>
  <c r="O51" i="14" s="1"/>
  <c r="K43" i="14"/>
  <c r="N43" i="14" s="1"/>
  <c r="O43" i="14" s="1"/>
  <c r="K53" i="14"/>
  <c r="N53" i="14" s="1"/>
  <c r="O53" i="14" s="1"/>
  <c r="K50" i="14"/>
  <c r="K42" i="14"/>
  <c r="N42" i="14" s="1"/>
  <c r="O42" i="14" s="1"/>
  <c r="O45" i="14"/>
  <c r="O52" i="14"/>
  <c r="L40" i="14"/>
  <c r="L49" i="14"/>
  <c r="I46" i="14"/>
  <c r="Q49" i="14"/>
  <c r="T49" i="14" s="1"/>
  <c r="Q52" i="14"/>
  <c r="T52" i="14" s="1"/>
  <c r="U52" i="14" s="1"/>
  <c r="Q46" i="14"/>
  <c r="T46" i="14" s="1"/>
  <c r="U46" i="14" s="1"/>
  <c r="R41" i="14"/>
  <c r="Q48" i="14"/>
  <c r="T48" i="14" s="1"/>
  <c r="U48" i="14" s="1"/>
  <c r="Q47" i="14"/>
  <c r="T47" i="14" s="1"/>
  <c r="Q54" i="14"/>
  <c r="T54" i="14" s="1"/>
  <c r="U54" i="14" s="1"/>
  <c r="U53" i="14"/>
  <c r="U44" i="14"/>
  <c r="U43" i="14"/>
  <c r="I47" i="14"/>
  <c r="G47" i="14"/>
  <c r="G48" i="14"/>
  <c r="G54" i="14"/>
  <c r="I54" i="14"/>
  <c r="R45" i="14"/>
  <c r="U45" i="14"/>
  <c r="R43" i="14"/>
  <c r="R44" i="14"/>
  <c r="R40" i="14"/>
  <c r="R42" i="14"/>
  <c r="G46" i="14"/>
  <c r="F24" i="14"/>
  <c r="G24" i="14" s="1"/>
  <c r="F35" i="14"/>
  <c r="G35" i="14" s="1"/>
  <c r="F33" i="14"/>
  <c r="G33" i="14" s="1"/>
  <c r="F27" i="14"/>
  <c r="G27" i="14" s="1"/>
  <c r="F23" i="14"/>
  <c r="F31" i="14"/>
  <c r="F30" i="14"/>
  <c r="F28" i="14"/>
  <c r="F22" i="14"/>
  <c r="F29" i="14"/>
  <c r="N31" i="14"/>
  <c r="O31" i="14" s="1"/>
  <c r="L31" i="14"/>
  <c r="L23" i="14"/>
  <c r="N23" i="14"/>
  <c r="O23" i="14" s="1"/>
  <c r="N30" i="14"/>
  <c r="O30" i="14" s="1"/>
  <c r="L30" i="14"/>
  <c r="L22" i="14"/>
  <c r="N22" i="14"/>
  <c r="O22" i="14" s="1"/>
  <c r="G21" i="14"/>
  <c r="H21" i="14"/>
  <c r="I21" i="14" s="1"/>
  <c r="L29" i="14"/>
  <c r="N29" i="14"/>
  <c r="O29" i="14" s="1"/>
  <c r="L28" i="14"/>
  <c r="N28" i="14"/>
  <c r="O28" i="14" s="1"/>
  <c r="H26" i="14"/>
  <c r="I26" i="14" s="1"/>
  <c r="G26" i="14"/>
  <c r="G25" i="14"/>
  <c r="H25" i="14"/>
  <c r="I25" i="14" s="1"/>
  <c r="L24" i="14"/>
  <c r="N24" i="14"/>
  <c r="O24" i="14" s="1"/>
  <c r="K26" i="14"/>
  <c r="K25" i="14"/>
  <c r="L27" i="14"/>
  <c r="F34" i="14"/>
  <c r="K21" i="14"/>
  <c r="F32" i="14"/>
  <c r="L66" i="10"/>
  <c r="O69" i="10"/>
  <c r="P69" i="10" s="1"/>
  <c r="L72" i="10"/>
  <c r="O68" i="10"/>
  <c r="P68" i="10" s="1"/>
  <c r="M68" i="10"/>
  <c r="L70" i="10"/>
  <c r="L67" i="10"/>
  <c r="F68" i="10"/>
  <c r="I68" i="10" s="1"/>
  <c r="L73" i="10"/>
  <c r="L65" i="10"/>
  <c r="J67" i="10"/>
  <c r="J71" i="10"/>
  <c r="J70" i="10"/>
  <c r="J72" i="10"/>
  <c r="J73" i="10"/>
  <c r="J65" i="10"/>
  <c r="G65" i="10"/>
  <c r="G66" i="10"/>
  <c r="J66" i="10"/>
  <c r="G68" i="10"/>
  <c r="J68" i="10"/>
  <c r="J69" i="10"/>
  <c r="G69" i="10"/>
  <c r="G67" i="10"/>
  <c r="P66" i="13"/>
  <c r="M66" i="13"/>
  <c r="M68" i="13"/>
  <c r="M65" i="13"/>
  <c r="M67" i="13"/>
  <c r="M69" i="13"/>
  <c r="F70" i="13"/>
  <c r="I70" i="13" s="1"/>
  <c r="J70" i="13" s="1"/>
  <c r="J67" i="13"/>
  <c r="G67" i="13"/>
  <c r="J68" i="13"/>
  <c r="G68" i="13"/>
  <c r="J69" i="13"/>
  <c r="G69" i="13"/>
  <c r="J65" i="13"/>
  <c r="G65" i="13"/>
  <c r="J66" i="13"/>
  <c r="G66" i="13"/>
  <c r="G47" i="13"/>
  <c r="I47" i="13"/>
  <c r="J47" i="13" s="1"/>
  <c r="I48" i="13"/>
  <c r="J48" i="13" s="1"/>
  <c r="G48" i="13"/>
  <c r="I49" i="13"/>
  <c r="J49" i="13" s="1"/>
  <c r="G49" i="13"/>
  <c r="J51" i="13"/>
  <c r="G50" i="13"/>
  <c r="I51" i="13"/>
  <c r="I50" i="13"/>
  <c r="J50" i="13" s="1"/>
  <c r="J46" i="13"/>
  <c r="G46" i="13"/>
  <c r="E55" i="10"/>
  <c r="I51" i="10"/>
  <c r="J51" i="10" s="1"/>
  <c r="I52" i="10"/>
  <c r="J52" i="10"/>
  <c r="I53" i="10"/>
  <c r="J53" i="10"/>
  <c r="I54" i="10"/>
  <c r="J54" i="10" s="1"/>
  <c r="E54" i="10"/>
  <c r="F54" i="10" s="1"/>
  <c r="E53" i="10"/>
  <c r="F53" i="10" s="1"/>
  <c r="E52" i="10"/>
  <c r="F52" i="10" s="1"/>
  <c r="E51" i="10"/>
  <c r="F51" i="10" s="1"/>
  <c r="E50" i="10"/>
  <c r="F50" i="10" s="1"/>
  <c r="I50" i="10" s="1"/>
  <c r="E49" i="10"/>
  <c r="F49" i="10" s="1"/>
  <c r="I49" i="10" s="1"/>
  <c r="E48" i="10"/>
  <c r="F48" i="10" s="1"/>
  <c r="I48" i="10" s="1"/>
  <c r="E47" i="10"/>
  <c r="F47" i="10" s="1"/>
  <c r="I47" i="10" s="1"/>
  <c r="E46" i="10"/>
  <c r="F46" i="10" s="1"/>
  <c r="I46" i="10" s="1"/>
  <c r="E45" i="10"/>
  <c r="E44" i="10"/>
  <c r="E43" i="10"/>
  <c r="E42" i="10"/>
  <c r="E41" i="10"/>
  <c r="E40" i="10"/>
  <c r="E35" i="13"/>
  <c r="E34" i="13"/>
  <c r="E33" i="13"/>
  <c r="E32" i="13"/>
  <c r="E31" i="13"/>
  <c r="E30" i="13"/>
  <c r="E29" i="13"/>
  <c r="E28" i="13"/>
  <c r="E27" i="13"/>
  <c r="E26" i="13"/>
  <c r="F64" i="13" s="1"/>
  <c r="E25" i="13"/>
  <c r="F63" i="13" s="1"/>
  <c r="E24" i="13"/>
  <c r="F62" i="13" s="1"/>
  <c r="E23" i="13"/>
  <c r="F61" i="13" s="1"/>
  <c r="E22" i="13"/>
  <c r="F41" i="13" s="1"/>
  <c r="E21" i="13"/>
  <c r="F59" i="13" s="1"/>
  <c r="D17" i="13"/>
  <c r="C17" i="13"/>
  <c r="B17" i="13"/>
  <c r="D16" i="13"/>
  <c r="B16" i="13"/>
  <c r="E16" i="13" s="1"/>
  <c r="D15" i="13"/>
  <c r="C15" i="13"/>
  <c r="B15" i="13"/>
  <c r="E14" i="13"/>
  <c r="E13" i="13"/>
  <c r="E12" i="13"/>
  <c r="E11" i="13"/>
  <c r="E10" i="13"/>
  <c r="E9" i="13"/>
  <c r="E8" i="13"/>
  <c r="L64" i="13" s="1"/>
  <c r="O64" i="13" s="1"/>
  <c r="P64" i="13" s="1"/>
  <c r="E7" i="13"/>
  <c r="L63" i="13" s="1"/>
  <c r="M63" i="13" s="1"/>
  <c r="E6" i="13"/>
  <c r="L62" i="13" s="1"/>
  <c r="M62" i="13" s="1"/>
  <c r="E5" i="13"/>
  <c r="L61" i="13" s="1"/>
  <c r="O61" i="13" s="1"/>
  <c r="P61" i="13" s="1"/>
  <c r="E4" i="13"/>
  <c r="L60" i="13" s="1"/>
  <c r="O60" i="13" s="1"/>
  <c r="P60" i="13" s="1"/>
  <c r="E3" i="13"/>
  <c r="L59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5" i="12"/>
  <c r="E34" i="12"/>
  <c r="E33" i="12"/>
  <c r="E32" i="12"/>
  <c r="E31" i="12"/>
  <c r="E30" i="12"/>
  <c r="F30" i="12" s="1"/>
  <c r="E29" i="12"/>
  <c r="E28" i="12"/>
  <c r="F28" i="12" s="1"/>
  <c r="G28" i="12" s="1"/>
  <c r="E27" i="12"/>
  <c r="E26" i="12"/>
  <c r="E25" i="12"/>
  <c r="E24" i="12"/>
  <c r="E23" i="12"/>
  <c r="E22" i="12"/>
  <c r="E21" i="12"/>
  <c r="D17" i="12"/>
  <c r="C17" i="12"/>
  <c r="B17" i="12"/>
  <c r="D16" i="12"/>
  <c r="B16" i="12"/>
  <c r="D15" i="12"/>
  <c r="C15" i="12"/>
  <c r="B15" i="12"/>
  <c r="E14" i="12"/>
  <c r="E13" i="12"/>
  <c r="E12" i="12"/>
  <c r="E11" i="12"/>
  <c r="E10" i="12"/>
  <c r="E9" i="12"/>
  <c r="E8" i="12"/>
  <c r="E7" i="12"/>
  <c r="E6" i="12"/>
  <c r="E5" i="12"/>
  <c r="E4" i="12"/>
  <c r="E3" i="12"/>
  <c r="G26" i="11"/>
  <c r="G27" i="11"/>
  <c r="G28" i="11"/>
  <c r="G29" i="11"/>
  <c r="G30" i="11"/>
  <c r="F26" i="11"/>
  <c r="F27" i="11"/>
  <c r="F28" i="11"/>
  <c r="F29" i="11"/>
  <c r="F30" i="11"/>
  <c r="F31" i="11"/>
  <c r="F32" i="11"/>
  <c r="F33" i="11"/>
  <c r="F34" i="11"/>
  <c r="F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35" i="11"/>
  <c r="D17" i="11"/>
  <c r="C17" i="11"/>
  <c r="B17" i="11"/>
  <c r="E17" i="11" s="1"/>
  <c r="D16" i="11"/>
  <c r="E16" i="11" s="1"/>
  <c r="B16" i="11"/>
  <c r="D15" i="11"/>
  <c r="C15" i="11"/>
  <c r="B15" i="11"/>
  <c r="E15" i="11" s="1"/>
  <c r="E14" i="11"/>
  <c r="E13" i="11"/>
  <c r="E12" i="11"/>
  <c r="E11" i="11"/>
  <c r="E10" i="11"/>
  <c r="E9" i="11"/>
  <c r="E8" i="11"/>
  <c r="F25" i="11" s="1"/>
  <c r="G25" i="11" s="1"/>
  <c r="E7" i="11"/>
  <c r="F24" i="11" s="1"/>
  <c r="G24" i="11" s="1"/>
  <c r="E6" i="11"/>
  <c r="F23" i="11" s="1"/>
  <c r="G23" i="11" s="1"/>
  <c r="E5" i="11"/>
  <c r="F22" i="11" s="1"/>
  <c r="G22" i="11" s="1"/>
  <c r="E4" i="11"/>
  <c r="F21" i="11" s="1"/>
  <c r="G21" i="11" s="1"/>
  <c r="E3" i="11"/>
  <c r="F20" i="11" s="1"/>
  <c r="E35" i="10"/>
  <c r="E34" i="10"/>
  <c r="E33" i="10"/>
  <c r="F33" i="10" s="1"/>
  <c r="E32" i="10"/>
  <c r="F32" i="10" s="1"/>
  <c r="E31" i="10"/>
  <c r="F31" i="10" s="1"/>
  <c r="E30" i="10"/>
  <c r="F30" i="10" s="1"/>
  <c r="E29" i="10"/>
  <c r="F29" i="10" s="1"/>
  <c r="I29" i="10" s="1"/>
  <c r="J29" i="10" s="1"/>
  <c r="E28" i="10"/>
  <c r="E27" i="10"/>
  <c r="F27" i="10" s="1"/>
  <c r="E26" i="10"/>
  <c r="F64" i="10" s="1"/>
  <c r="E25" i="10"/>
  <c r="F63" i="10" s="1"/>
  <c r="E24" i="10"/>
  <c r="F62" i="10" s="1"/>
  <c r="I62" i="10" s="1"/>
  <c r="J62" i="10" s="1"/>
  <c r="E23" i="10"/>
  <c r="F61" i="10" s="1"/>
  <c r="I61" i="10" s="1"/>
  <c r="J61" i="10" s="1"/>
  <c r="E22" i="10"/>
  <c r="F60" i="10" s="1"/>
  <c r="I60" i="10" s="1"/>
  <c r="J60" i="10" s="1"/>
  <c r="E21" i="10"/>
  <c r="F59" i="10" s="1"/>
  <c r="D17" i="10"/>
  <c r="C17" i="10"/>
  <c r="B17" i="10"/>
  <c r="E17" i="10" s="1"/>
  <c r="D16" i="10"/>
  <c r="B16" i="10"/>
  <c r="E16" i="10" s="1"/>
  <c r="D15" i="10"/>
  <c r="C15" i="10"/>
  <c r="B15" i="10"/>
  <c r="E15" i="10" s="1"/>
  <c r="E14" i="10"/>
  <c r="E13" i="10"/>
  <c r="E12" i="10"/>
  <c r="E11" i="10"/>
  <c r="E10" i="10"/>
  <c r="E9" i="10"/>
  <c r="E8" i="10"/>
  <c r="L45" i="10" s="1"/>
  <c r="M45" i="10" s="1"/>
  <c r="E7" i="10"/>
  <c r="L44" i="10" s="1"/>
  <c r="M44" i="10" s="1"/>
  <c r="E6" i="10"/>
  <c r="E5" i="10"/>
  <c r="L42" i="10" s="1"/>
  <c r="M42" i="10" s="1"/>
  <c r="E4" i="10"/>
  <c r="L41" i="10" s="1"/>
  <c r="M41" i="10" s="1"/>
  <c r="E3" i="10"/>
  <c r="L40" i="10" s="1"/>
  <c r="M40" i="10" s="1"/>
  <c r="L44" i="7"/>
  <c r="M44" i="7"/>
  <c r="L45" i="7"/>
  <c r="M45" i="7"/>
  <c r="L46" i="7"/>
  <c r="M46" i="7" s="1"/>
  <c r="L47" i="7"/>
  <c r="M47" i="7"/>
  <c r="L48" i="7"/>
  <c r="M48" i="7"/>
  <c r="L49" i="7"/>
  <c r="L50" i="7"/>
  <c r="M50" i="7" s="1"/>
  <c r="L51" i="7"/>
  <c r="M51" i="7"/>
  <c r="E55" i="9"/>
  <c r="E54" i="9"/>
  <c r="E53" i="9"/>
  <c r="E52" i="9"/>
  <c r="E51" i="9"/>
  <c r="F51" i="9" s="1"/>
  <c r="G51" i="9" s="1"/>
  <c r="E50" i="9"/>
  <c r="F50" i="9" s="1"/>
  <c r="E49" i="9"/>
  <c r="E48" i="9"/>
  <c r="E47" i="9"/>
  <c r="F47" i="9" s="1"/>
  <c r="E46" i="9"/>
  <c r="E45" i="9"/>
  <c r="E44" i="9"/>
  <c r="E43" i="9"/>
  <c r="F43" i="9" s="1"/>
  <c r="G43" i="9" s="1"/>
  <c r="E42" i="9"/>
  <c r="F42" i="9" s="1"/>
  <c r="E41" i="9"/>
  <c r="K41" i="9" s="1"/>
  <c r="N41" i="9" s="1"/>
  <c r="O41" i="9" s="1"/>
  <c r="E4" i="9"/>
  <c r="E5" i="9"/>
  <c r="E6" i="9"/>
  <c r="E7" i="9"/>
  <c r="E8" i="9"/>
  <c r="E9" i="9"/>
  <c r="E10" i="9"/>
  <c r="E11" i="9"/>
  <c r="E12" i="9"/>
  <c r="E13" i="9"/>
  <c r="E14" i="9"/>
  <c r="D15" i="9"/>
  <c r="D16" i="9"/>
  <c r="D17" i="9"/>
  <c r="E36" i="9"/>
  <c r="E35" i="9"/>
  <c r="E34" i="9"/>
  <c r="E33" i="9"/>
  <c r="E32" i="9"/>
  <c r="E31" i="9"/>
  <c r="E30" i="9"/>
  <c r="E29" i="9"/>
  <c r="E28" i="9"/>
  <c r="F28" i="9" s="1"/>
  <c r="E27" i="9"/>
  <c r="E26" i="9"/>
  <c r="F26" i="9" s="1"/>
  <c r="E25" i="9"/>
  <c r="E24" i="9"/>
  <c r="E23" i="9"/>
  <c r="E22" i="9"/>
  <c r="F22" i="9" s="1"/>
  <c r="H22" i="9" s="1"/>
  <c r="I22" i="9" s="1"/>
  <c r="C17" i="9"/>
  <c r="B17" i="9"/>
  <c r="B16" i="9"/>
  <c r="C15" i="9"/>
  <c r="B15" i="9"/>
  <c r="E3" i="9"/>
  <c r="F31" i="8"/>
  <c r="F33" i="8"/>
  <c r="H33" i="8" s="1"/>
  <c r="I33" i="8" s="1"/>
  <c r="G33" i="8"/>
  <c r="E34" i="8"/>
  <c r="F34" i="8" s="1"/>
  <c r="E33" i="8"/>
  <c r="E32" i="8"/>
  <c r="F32" i="8" s="1"/>
  <c r="E31" i="8"/>
  <c r="E30" i="8"/>
  <c r="F30" i="8" s="1"/>
  <c r="E29" i="8"/>
  <c r="F29" i="8" s="1"/>
  <c r="E28" i="8"/>
  <c r="F28" i="8" s="1"/>
  <c r="H28" i="8" s="1"/>
  <c r="I28" i="8" s="1"/>
  <c r="E27" i="8"/>
  <c r="F27" i="8" s="1"/>
  <c r="E26" i="8"/>
  <c r="F26" i="8" s="1"/>
  <c r="E25" i="8"/>
  <c r="F25" i="8" s="1"/>
  <c r="H25" i="8" s="1"/>
  <c r="I25" i="8" s="1"/>
  <c r="E24" i="8"/>
  <c r="F24" i="8" s="1"/>
  <c r="E23" i="8"/>
  <c r="F23" i="8" s="1"/>
  <c r="G23" i="8" s="1"/>
  <c r="E22" i="8"/>
  <c r="F22" i="8" s="1"/>
  <c r="G22" i="8" s="1"/>
  <c r="E21" i="8"/>
  <c r="F21" i="8" s="1"/>
  <c r="E20" i="8"/>
  <c r="F20" i="8" s="1"/>
  <c r="H20" i="8" s="1"/>
  <c r="I20" i="8" s="1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34" i="7"/>
  <c r="L52" i="7" s="1"/>
  <c r="M52" i="7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4" i="7"/>
  <c r="E5" i="7"/>
  <c r="E6" i="7"/>
  <c r="E7" i="7"/>
  <c r="E8" i="7"/>
  <c r="E9" i="7"/>
  <c r="F26" i="7" s="1"/>
  <c r="I26" i="7" s="1"/>
  <c r="E10" i="7"/>
  <c r="F45" i="7" s="1"/>
  <c r="E11" i="7"/>
  <c r="F46" i="7" s="1"/>
  <c r="E12" i="7"/>
  <c r="F47" i="7" s="1"/>
  <c r="E13" i="7"/>
  <c r="F48" i="7" s="1"/>
  <c r="E14" i="7"/>
  <c r="F49" i="7" s="1"/>
  <c r="E39" i="7"/>
  <c r="L39" i="7" s="1"/>
  <c r="M39" i="7" s="1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38" i="7"/>
  <c r="E3" i="7"/>
  <c r="G41" i="14" l="1"/>
  <c r="G49" i="14"/>
  <c r="G51" i="14"/>
  <c r="G50" i="14"/>
  <c r="L45" i="14"/>
  <c r="G40" i="14"/>
  <c r="L47" i="14"/>
  <c r="R46" i="14"/>
  <c r="G43" i="14"/>
  <c r="L42" i="14"/>
  <c r="L43" i="14"/>
  <c r="L41" i="14"/>
  <c r="L44" i="14"/>
  <c r="N44" i="14"/>
  <c r="O44" i="14" s="1"/>
  <c r="G52" i="14"/>
  <c r="G53" i="14"/>
  <c r="N46" i="14"/>
  <c r="O46" i="14" s="1"/>
  <c r="L46" i="14"/>
  <c r="N50" i="14"/>
  <c r="O50" i="14" s="1"/>
  <c r="L50" i="14"/>
  <c r="N54" i="14"/>
  <c r="O54" i="14" s="1"/>
  <c r="R48" i="14"/>
  <c r="G44" i="14"/>
  <c r="G42" i="14"/>
  <c r="I45" i="14"/>
  <c r="G45" i="14"/>
  <c r="U50" i="14"/>
  <c r="R50" i="14"/>
  <c r="R47" i="14"/>
  <c r="U47" i="14"/>
  <c r="U49" i="14"/>
  <c r="R49" i="14"/>
  <c r="H33" i="14"/>
  <c r="I33" i="14" s="1"/>
  <c r="H35" i="14"/>
  <c r="I35" i="14" s="1"/>
  <c r="H24" i="14"/>
  <c r="I24" i="14" s="1"/>
  <c r="H27" i="14"/>
  <c r="I27" i="14" s="1"/>
  <c r="H22" i="14"/>
  <c r="I22" i="14" s="1"/>
  <c r="G22" i="14"/>
  <c r="G30" i="14"/>
  <c r="H30" i="14"/>
  <c r="I30" i="14" s="1"/>
  <c r="H31" i="14"/>
  <c r="I31" i="14" s="1"/>
  <c r="G31" i="14"/>
  <c r="H23" i="14"/>
  <c r="I23" i="14" s="1"/>
  <c r="G23" i="14"/>
  <c r="H29" i="14"/>
  <c r="I29" i="14" s="1"/>
  <c r="G29" i="14"/>
  <c r="G28" i="14"/>
  <c r="H28" i="14"/>
  <c r="I28" i="14" s="1"/>
  <c r="L25" i="14"/>
  <c r="N25" i="14"/>
  <c r="O25" i="14" s="1"/>
  <c r="L26" i="14"/>
  <c r="N26" i="14"/>
  <c r="O26" i="14" s="1"/>
  <c r="G32" i="14"/>
  <c r="H32" i="14"/>
  <c r="I32" i="14" s="1"/>
  <c r="L21" i="14"/>
  <c r="N21" i="14"/>
  <c r="O21" i="14" s="1"/>
  <c r="G34" i="14"/>
  <c r="H34" i="14"/>
  <c r="I34" i="14" s="1"/>
  <c r="G25" i="8"/>
  <c r="L38" i="7"/>
  <c r="M38" i="7" s="1"/>
  <c r="L42" i="7"/>
  <c r="M42" i="7" s="1"/>
  <c r="L43" i="7"/>
  <c r="M43" i="7" s="1"/>
  <c r="L41" i="7"/>
  <c r="M41" i="7" s="1"/>
  <c r="L40" i="7"/>
  <c r="M40" i="7" s="1"/>
  <c r="F42" i="10"/>
  <c r="I42" i="10" s="1"/>
  <c r="J42" i="10" s="1"/>
  <c r="F41" i="10"/>
  <c r="I41" i="10" s="1"/>
  <c r="J41" i="10" s="1"/>
  <c r="F43" i="10"/>
  <c r="I43" i="10" s="1"/>
  <c r="J43" i="10" s="1"/>
  <c r="F45" i="10"/>
  <c r="I45" i="10" s="1"/>
  <c r="J45" i="10" s="1"/>
  <c r="F44" i="10"/>
  <c r="G44" i="10" s="1"/>
  <c r="I64" i="10"/>
  <c r="J64" i="10" s="1"/>
  <c r="G64" i="10"/>
  <c r="I59" i="10"/>
  <c r="J59" i="10" s="1"/>
  <c r="G59" i="10"/>
  <c r="I63" i="10"/>
  <c r="J63" i="10" s="1"/>
  <c r="G63" i="10"/>
  <c r="G62" i="10"/>
  <c r="F40" i="10"/>
  <c r="I40" i="10" s="1"/>
  <c r="J40" i="10" s="1"/>
  <c r="F40" i="7"/>
  <c r="F39" i="7"/>
  <c r="G39" i="7" s="1"/>
  <c r="F43" i="7"/>
  <c r="F38" i="7"/>
  <c r="G38" i="7" s="1"/>
  <c r="F41" i="7"/>
  <c r="F42" i="7"/>
  <c r="M64" i="13"/>
  <c r="F45" i="13"/>
  <c r="F43" i="13"/>
  <c r="I43" i="13" s="1"/>
  <c r="J43" i="13" s="1"/>
  <c r="I41" i="13"/>
  <c r="J41" i="13" s="1"/>
  <c r="G41" i="13"/>
  <c r="I62" i="13"/>
  <c r="J62" i="13" s="1"/>
  <c r="G62" i="13"/>
  <c r="I64" i="13"/>
  <c r="J64" i="13" s="1"/>
  <c r="G64" i="13"/>
  <c r="I61" i="13"/>
  <c r="J61" i="13" s="1"/>
  <c r="G61" i="13"/>
  <c r="I63" i="13"/>
  <c r="J63" i="13" s="1"/>
  <c r="G63" i="13"/>
  <c r="I59" i="13"/>
  <c r="J59" i="13" s="1"/>
  <c r="G59" i="13"/>
  <c r="F60" i="13"/>
  <c r="F44" i="13"/>
  <c r="F40" i="13"/>
  <c r="F42" i="13"/>
  <c r="K45" i="9"/>
  <c r="Q45" i="9" s="1"/>
  <c r="R45" i="9" s="1"/>
  <c r="M60" i="13"/>
  <c r="G20" i="11"/>
  <c r="O59" i="13"/>
  <c r="P59" i="13" s="1"/>
  <c r="M61" i="13"/>
  <c r="O62" i="13"/>
  <c r="P62" i="13" s="1"/>
  <c r="M59" i="13"/>
  <c r="O63" i="13"/>
  <c r="P63" i="13" s="1"/>
  <c r="F24" i="10"/>
  <c r="I24" i="10" s="1"/>
  <c r="J24" i="10" s="1"/>
  <c r="F25" i="10"/>
  <c r="G25" i="10" s="1"/>
  <c r="L63" i="10"/>
  <c r="O63" i="10" s="1"/>
  <c r="P63" i="10" s="1"/>
  <c r="L64" i="10"/>
  <c r="F26" i="10"/>
  <c r="I26" i="10" s="1"/>
  <c r="J26" i="10" s="1"/>
  <c r="L59" i="10"/>
  <c r="L61" i="10"/>
  <c r="L62" i="10"/>
  <c r="L43" i="10"/>
  <c r="M43" i="10" s="1"/>
  <c r="L60" i="10"/>
  <c r="F27" i="7"/>
  <c r="I27" i="7" s="1"/>
  <c r="J27" i="7" s="1"/>
  <c r="F44" i="7"/>
  <c r="F28" i="7"/>
  <c r="I28" i="7" s="1"/>
  <c r="J28" i="7" s="1"/>
  <c r="F24" i="7"/>
  <c r="I24" i="7" s="1"/>
  <c r="J24" i="7" s="1"/>
  <c r="F20" i="7"/>
  <c r="I20" i="7" s="1"/>
  <c r="J20" i="7" s="1"/>
  <c r="F21" i="7"/>
  <c r="I21" i="7" s="1"/>
  <c r="J21" i="7" s="1"/>
  <c r="F29" i="7"/>
  <c r="I29" i="7" s="1"/>
  <c r="J29" i="7" s="1"/>
  <c r="F22" i="7"/>
  <c r="I22" i="7" s="1"/>
  <c r="J22" i="7" s="1"/>
  <c r="F30" i="7"/>
  <c r="I30" i="7" s="1"/>
  <c r="J30" i="7" s="1"/>
  <c r="F23" i="7"/>
  <c r="I23" i="7" s="1"/>
  <c r="J23" i="7" s="1"/>
  <c r="F31" i="7"/>
  <c r="F25" i="7"/>
  <c r="I25" i="7" s="1"/>
  <c r="J25" i="7" s="1"/>
  <c r="G60" i="10"/>
  <c r="O66" i="10"/>
  <c r="P66" i="10" s="1"/>
  <c r="M66" i="10"/>
  <c r="G61" i="10"/>
  <c r="O65" i="10"/>
  <c r="P65" i="10" s="1"/>
  <c r="M65" i="10"/>
  <c r="M67" i="10"/>
  <c r="O67" i="10"/>
  <c r="P67" i="10" s="1"/>
  <c r="J48" i="10"/>
  <c r="G46" i="10"/>
  <c r="J46" i="10"/>
  <c r="J47" i="10"/>
  <c r="G47" i="10"/>
  <c r="J50" i="10"/>
  <c r="G50" i="10"/>
  <c r="J49" i="10"/>
  <c r="G49" i="10"/>
  <c r="G48" i="10"/>
  <c r="F25" i="13"/>
  <c r="F21" i="13"/>
  <c r="F29" i="13"/>
  <c r="F22" i="13"/>
  <c r="F23" i="13"/>
  <c r="F24" i="13"/>
  <c r="F30" i="13"/>
  <c r="E17" i="13"/>
  <c r="F31" i="13"/>
  <c r="F32" i="13"/>
  <c r="I32" i="13" s="1"/>
  <c r="J32" i="13" s="1"/>
  <c r="F26" i="13"/>
  <c r="E15" i="13"/>
  <c r="F33" i="13" s="1"/>
  <c r="F27" i="13"/>
  <c r="F34" i="13"/>
  <c r="F28" i="13"/>
  <c r="F35" i="13"/>
  <c r="F50" i="12"/>
  <c r="I50" i="12" s="1"/>
  <c r="J50" i="12" s="1"/>
  <c r="F21" i="12"/>
  <c r="G21" i="12" s="1"/>
  <c r="F29" i="12"/>
  <c r="G29" i="12" s="1"/>
  <c r="F25" i="12"/>
  <c r="G25" i="12" s="1"/>
  <c r="F22" i="12"/>
  <c r="I22" i="12" s="1"/>
  <c r="J22" i="12" s="1"/>
  <c r="F26" i="12"/>
  <c r="G26" i="12" s="1"/>
  <c r="I30" i="12"/>
  <c r="J30" i="12" s="1"/>
  <c r="G30" i="12"/>
  <c r="E17" i="12"/>
  <c r="F35" i="12" s="1"/>
  <c r="I35" i="12" s="1"/>
  <c r="J35" i="12" s="1"/>
  <c r="F49" i="12"/>
  <c r="I49" i="12" s="1"/>
  <c r="J49" i="12" s="1"/>
  <c r="F42" i="12"/>
  <c r="I42" i="12" s="1"/>
  <c r="J42" i="12" s="1"/>
  <c r="F43" i="12"/>
  <c r="G43" i="12" s="1"/>
  <c r="F44" i="12"/>
  <c r="G44" i="12" s="1"/>
  <c r="F27" i="12"/>
  <c r="I27" i="12" s="1"/>
  <c r="J27" i="12" s="1"/>
  <c r="F23" i="12"/>
  <c r="I23" i="12" s="1"/>
  <c r="J23" i="12" s="1"/>
  <c r="F31" i="12"/>
  <c r="I31" i="12" s="1"/>
  <c r="J31" i="12" s="1"/>
  <c r="E16" i="12"/>
  <c r="F34" i="12" s="1"/>
  <c r="I34" i="12" s="1"/>
  <c r="J34" i="12" s="1"/>
  <c r="F24" i="12"/>
  <c r="G24" i="12" s="1"/>
  <c r="F32" i="12"/>
  <c r="I32" i="12" s="1"/>
  <c r="J32" i="12" s="1"/>
  <c r="F45" i="12"/>
  <c r="I45" i="12" s="1"/>
  <c r="J45" i="12" s="1"/>
  <c r="F39" i="12"/>
  <c r="I39" i="12" s="1"/>
  <c r="J39" i="12" s="1"/>
  <c r="F47" i="12"/>
  <c r="G47" i="12" s="1"/>
  <c r="E15" i="12"/>
  <c r="F51" i="12" s="1"/>
  <c r="I51" i="12" s="1"/>
  <c r="J51" i="12" s="1"/>
  <c r="I28" i="12"/>
  <c r="J28" i="12" s="1"/>
  <c r="F40" i="12"/>
  <c r="I40" i="12" s="1"/>
  <c r="J40" i="12" s="1"/>
  <c r="F48" i="12"/>
  <c r="G48" i="12" s="1"/>
  <c r="F41" i="12"/>
  <c r="G41" i="12" s="1"/>
  <c r="F53" i="12"/>
  <c r="I53" i="12" s="1"/>
  <c r="J53" i="12" s="1"/>
  <c r="F52" i="12"/>
  <c r="I52" i="12" s="1"/>
  <c r="J52" i="12" s="1"/>
  <c r="F46" i="12"/>
  <c r="I46" i="12" s="1"/>
  <c r="J46" i="12" s="1"/>
  <c r="F21" i="10"/>
  <c r="I21" i="10" s="1"/>
  <c r="J21" i="10" s="1"/>
  <c r="F28" i="10"/>
  <c r="F22" i="10"/>
  <c r="I22" i="10" s="1"/>
  <c r="J22" i="10" s="1"/>
  <c r="F23" i="10"/>
  <c r="G23" i="10" s="1"/>
  <c r="F34" i="10"/>
  <c r="F35" i="10"/>
  <c r="G30" i="10"/>
  <c r="I30" i="10"/>
  <c r="J30" i="10" s="1"/>
  <c r="I31" i="10"/>
  <c r="J31" i="10" s="1"/>
  <c r="G31" i="10"/>
  <c r="I27" i="10"/>
  <c r="J27" i="10" s="1"/>
  <c r="G27" i="10"/>
  <c r="I28" i="10"/>
  <c r="J28" i="10" s="1"/>
  <c r="G28" i="10"/>
  <c r="G29" i="10"/>
  <c r="K43" i="9"/>
  <c r="Q41" i="9"/>
  <c r="R41" i="9" s="1"/>
  <c r="K48" i="9"/>
  <c r="Q48" i="9" s="1"/>
  <c r="R48" i="9" s="1"/>
  <c r="F29" i="9"/>
  <c r="F44" i="9"/>
  <c r="H44" i="9" s="1"/>
  <c r="I44" i="9" s="1"/>
  <c r="F52" i="9"/>
  <c r="H52" i="9" s="1"/>
  <c r="I52" i="9" s="1"/>
  <c r="K52" i="9"/>
  <c r="Q52" i="9" s="1"/>
  <c r="F46" i="9"/>
  <c r="H46" i="9" s="1"/>
  <c r="I46" i="9" s="1"/>
  <c r="F54" i="9"/>
  <c r="H54" i="9" s="1"/>
  <c r="I54" i="9" s="1"/>
  <c r="F55" i="9"/>
  <c r="H55" i="9" s="1"/>
  <c r="I55" i="9" s="1"/>
  <c r="E15" i="9"/>
  <c r="K50" i="9"/>
  <c r="F48" i="9"/>
  <c r="H48" i="9" s="1"/>
  <c r="I48" i="9" s="1"/>
  <c r="E16" i="9"/>
  <c r="K54" i="9" s="1"/>
  <c r="Q54" i="9" s="1"/>
  <c r="F41" i="9"/>
  <c r="H41" i="9" s="1"/>
  <c r="I41" i="9" s="1"/>
  <c r="F49" i="9"/>
  <c r="H49" i="9" s="1"/>
  <c r="I49" i="9" s="1"/>
  <c r="E17" i="9"/>
  <c r="K55" i="9" s="1"/>
  <c r="Q55" i="9" s="1"/>
  <c r="L41" i="9"/>
  <c r="K47" i="9"/>
  <c r="Q47" i="9" s="1"/>
  <c r="R47" i="9" s="1"/>
  <c r="F23" i="9"/>
  <c r="G23" i="9" s="1"/>
  <c r="F31" i="9"/>
  <c r="G31" i="9" s="1"/>
  <c r="K49" i="9"/>
  <c r="Q49" i="9" s="1"/>
  <c r="R49" i="9" s="1"/>
  <c r="F24" i="9"/>
  <c r="G24" i="9" s="1"/>
  <c r="F32" i="9"/>
  <c r="G32" i="9" s="1"/>
  <c r="K51" i="9"/>
  <c r="Q51" i="9" s="1"/>
  <c r="R51" i="9" s="1"/>
  <c r="K42" i="9"/>
  <c r="F25" i="9"/>
  <c r="H25" i="9" s="1"/>
  <c r="I25" i="9" s="1"/>
  <c r="F33" i="9"/>
  <c r="H33" i="9" s="1"/>
  <c r="I33" i="9" s="1"/>
  <c r="F45" i="9"/>
  <c r="G45" i="9" s="1"/>
  <c r="F53" i="9"/>
  <c r="H53" i="9" s="1"/>
  <c r="I53" i="9" s="1"/>
  <c r="K53" i="9"/>
  <c r="Q53" i="9" s="1"/>
  <c r="K44" i="9"/>
  <c r="K46" i="9"/>
  <c r="H50" i="9"/>
  <c r="I50" i="9" s="1"/>
  <c r="G50" i="9"/>
  <c r="G47" i="9"/>
  <c r="H47" i="9"/>
  <c r="I47" i="9" s="1"/>
  <c r="H42" i="9"/>
  <c r="I42" i="9" s="1"/>
  <c r="G42" i="9"/>
  <c r="H43" i="9"/>
  <c r="I43" i="9" s="1"/>
  <c r="H51" i="9"/>
  <c r="I51" i="9" s="1"/>
  <c r="F30" i="9"/>
  <c r="H30" i="9" s="1"/>
  <c r="I30" i="9" s="1"/>
  <c r="F34" i="9"/>
  <c r="H34" i="9" s="1"/>
  <c r="I34" i="9" s="1"/>
  <c r="F27" i="9"/>
  <c r="H27" i="9" s="1"/>
  <c r="I27" i="9" s="1"/>
  <c r="G26" i="9"/>
  <c r="H26" i="9"/>
  <c r="I26" i="9" s="1"/>
  <c r="G28" i="9"/>
  <c r="H28" i="9"/>
  <c r="I28" i="9" s="1"/>
  <c r="G29" i="9"/>
  <c r="H29" i="9"/>
  <c r="I29" i="9" s="1"/>
  <c r="G22" i="9"/>
  <c r="H30" i="8"/>
  <c r="I30" i="8" s="1"/>
  <c r="G30" i="8"/>
  <c r="H24" i="8"/>
  <c r="I24" i="8" s="1"/>
  <c r="G24" i="8"/>
  <c r="H32" i="8"/>
  <c r="I32" i="8" s="1"/>
  <c r="G32" i="8"/>
  <c r="G21" i="8"/>
  <c r="H21" i="8"/>
  <c r="I21" i="8" s="1"/>
  <c r="G29" i="8"/>
  <c r="H29" i="8"/>
  <c r="I29" i="8" s="1"/>
  <c r="H26" i="8"/>
  <c r="I26" i="8" s="1"/>
  <c r="G26" i="8"/>
  <c r="H34" i="8"/>
  <c r="I34" i="8" s="1"/>
  <c r="G34" i="8"/>
  <c r="G27" i="8"/>
  <c r="H27" i="8"/>
  <c r="I27" i="8" s="1"/>
  <c r="G20" i="8"/>
  <c r="H31" i="8"/>
  <c r="I31" i="8" s="1"/>
  <c r="H23" i="8"/>
  <c r="I23" i="8" s="1"/>
  <c r="G28" i="8"/>
  <c r="H22" i="8"/>
  <c r="I22" i="8" s="1"/>
  <c r="F58" i="7"/>
  <c r="I58" i="7" s="1"/>
  <c r="J58" i="7" s="1"/>
  <c r="F70" i="7"/>
  <c r="I70" i="7" s="1"/>
  <c r="J70" i="7" s="1"/>
  <c r="E16" i="7"/>
  <c r="J26" i="7"/>
  <c r="G26" i="7"/>
  <c r="E15" i="7"/>
  <c r="E17" i="7"/>
  <c r="F67" i="7"/>
  <c r="I67" i="7" s="1"/>
  <c r="J67" i="7" s="1"/>
  <c r="F66" i="7"/>
  <c r="I66" i="7" s="1"/>
  <c r="J66" i="7" s="1"/>
  <c r="G46" i="7"/>
  <c r="F64" i="7"/>
  <c r="I64" i="7" s="1"/>
  <c r="J64" i="7" s="1"/>
  <c r="F59" i="7"/>
  <c r="F62" i="7"/>
  <c r="I62" i="7" s="1"/>
  <c r="J62" i="7" s="1"/>
  <c r="F69" i="7"/>
  <c r="I69" i="7" s="1"/>
  <c r="J69" i="7" s="1"/>
  <c r="F61" i="7"/>
  <c r="I61" i="7" s="1"/>
  <c r="J61" i="7" s="1"/>
  <c r="F68" i="7"/>
  <c r="I68" i="7" s="1"/>
  <c r="J68" i="7" s="1"/>
  <c r="G48" i="7"/>
  <c r="G47" i="7"/>
  <c r="F63" i="7"/>
  <c r="I63" i="7" s="1"/>
  <c r="J63" i="7" s="1"/>
  <c r="F60" i="7"/>
  <c r="I60" i="7" s="1"/>
  <c r="J60" i="7" s="1"/>
  <c r="F56" i="7"/>
  <c r="F57" i="7"/>
  <c r="I57" i="7" s="1"/>
  <c r="J57" i="7" s="1"/>
  <c r="F65" i="7"/>
  <c r="I65" i="7" s="1"/>
  <c r="J65" i="7" s="1"/>
  <c r="E48" i="6"/>
  <c r="E49" i="6"/>
  <c r="E50" i="6"/>
  <c r="E51" i="6"/>
  <c r="E52" i="6"/>
  <c r="E53" i="6"/>
  <c r="E47" i="6"/>
  <c r="E46" i="6"/>
  <c r="E45" i="6"/>
  <c r="E44" i="6"/>
  <c r="E43" i="6"/>
  <c r="E42" i="6"/>
  <c r="E41" i="6"/>
  <c r="E40" i="6"/>
  <c r="E39" i="6"/>
  <c r="M63" i="10" l="1"/>
  <c r="G42" i="10"/>
  <c r="G41" i="10"/>
  <c r="G43" i="10"/>
  <c r="G45" i="10"/>
  <c r="G40" i="10"/>
  <c r="I44" i="10"/>
  <c r="J44" i="10" s="1"/>
  <c r="G21" i="10"/>
  <c r="I25" i="10"/>
  <c r="J25" i="10" s="1"/>
  <c r="I59" i="7"/>
  <c r="J59" i="7" s="1"/>
  <c r="G59" i="7"/>
  <c r="G43" i="13"/>
  <c r="G45" i="13"/>
  <c r="I45" i="13"/>
  <c r="J45" i="13" s="1"/>
  <c r="G44" i="13"/>
  <c r="I44" i="13"/>
  <c r="J44" i="13" s="1"/>
  <c r="I60" i="13"/>
  <c r="J60" i="13" s="1"/>
  <c r="G60" i="13"/>
  <c r="I42" i="13"/>
  <c r="J42" i="13" s="1"/>
  <c r="G42" i="13"/>
  <c r="I40" i="13"/>
  <c r="J40" i="13" s="1"/>
  <c r="G40" i="13"/>
  <c r="N45" i="9"/>
  <c r="O45" i="9" s="1"/>
  <c r="L45" i="9"/>
  <c r="Q43" i="9"/>
  <c r="R43" i="9" s="1"/>
  <c r="H24" i="9"/>
  <c r="I24" i="9" s="1"/>
  <c r="Q42" i="9"/>
  <c r="R42" i="9" s="1"/>
  <c r="Q46" i="9"/>
  <c r="R46" i="9" s="1"/>
  <c r="Q44" i="9"/>
  <c r="R44" i="9" s="1"/>
  <c r="G26" i="10"/>
  <c r="G24" i="10"/>
  <c r="G22" i="10"/>
  <c r="M60" i="10"/>
  <c r="O60" i="10"/>
  <c r="P60" i="10" s="1"/>
  <c r="O62" i="10"/>
  <c r="P62" i="10" s="1"/>
  <c r="M62" i="10"/>
  <c r="O61" i="10"/>
  <c r="P61" i="10" s="1"/>
  <c r="M61" i="10"/>
  <c r="O59" i="10"/>
  <c r="P59" i="10" s="1"/>
  <c r="M59" i="10"/>
  <c r="M64" i="10"/>
  <c r="O64" i="10"/>
  <c r="P64" i="10" s="1"/>
  <c r="I23" i="10"/>
  <c r="J23" i="10" s="1"/>
  <c r="G27" i="7"/>
  <c r="G24" i="7"/>
  <c r="G28" i="7"/>
  <c r="G25" i="7"/>
  <c r="G20" i="7"/>
  <c r="G21" i="7"/>
  <c r="G23" i="7"/>
  <c r="G30" i="7"/>
  <c r="G29" i="7"/>
  <c r="F52" i="7"/>
  <c r="F34" i="7"/>
  <c r="F50" i="7"/>
  <c r="F32" i="7"/>
  <c r="G22" i="7"/>
  <c r="F51" i="7"/>
  <c r="F33" i="7"/>
  <c r="I21" i="12"/>
  <c r="J21" i="12" s="1"/>
  <c r="G27" i="12"/>
  <c r="I26" i="12"/>
  <c r="J26" i="12" s="1"/>
  <c r="I29" i="12"/>
  <c r="J29" i="12" s="1"/>
  <c r="I43" i="12"/>
  <c r="J43" i="12" s="1"/>
  <c r="G28" i="13"/>
  <c r="I28" i="13"/>
  <c r="J28" i="13" s="1"/>
  <c r="G24" i="13"/>
  <c r="I24" i="13"/>
  <c r="J24" i="13" s="1"/>
  <c r="G27" i="13"/>
  <c r="I27" i="13"/>
  <c r="J27" i="13" s="1"/>
  <c r="G29" i="13"/>
  <c r="I29" i="13"/>
  <c r="J29" i="13" s="1"/>
  <c r="G21" i="13"/>
  <c r="I21" i="13"/>
  <c r="J21" i="13" s="1"/>
  <c r="G31" i="13"/>
  <c r="I31" i="13"/>
  <c r="J31" i="13" s="1"/>
  <c r="G30" i="13"/>
  <c r="I30" i="13"/>
  <c r="J30" i="13" s="1"/>
  <c r="G26" i="13"/>
  <c r="I26" i="13"/>
  <c r="J26" i="13" s="1"/>
  <c r="G25" i="13"/>
  <c r="I25" i="13"/>
  <c r="J25" i="13" s="1"/>
  <c r="G23" i="13"/>
  <c r="I23" i="13"/>
  <c r="J23" i="13" s="1"/>
  <c r="G22" i="13"/>
  <c r="I22" i="13"/>
  <c r="J22" i="13" s="1"/>
  <c r="G40" i="12"/>
  <c r="G22" i="12"/>
  <c r="G46" i="12"/>
  <c r="F33" i="12"/>
  <c r="I33" i="12" s="1"/>
  <c r="J33" i="12" s="1"/>
  <c r="I44" i="12"/>
  <c r="J44" i="12" s="1"/>
  <c r="G23" i="12"/>
  <c r="I25" i="12"/>
  <c r="J25" i="12" s="1"/>
  <c r="I24" i="12"/>
  <c r="J24" i="12" s="1"/>
  <c r="G49" i="12"/>
  <c r="G39" i="12"/>
  <c r="G42" i="12"/>
  <c r="G31" i="12"/>
  <c r="I48" i="12"/>
  <c r="J48" i="12" s="1"/>
  <c r="G45" i="12"/>
  <c r="I41" i="12"/>
  <c r="J41" i="12" s="1"/>
  <c r="I47" i="12"/>
  <c r="J47" i="12" s="1"/>
  <c r="G41" i="9"/>
  <c r="L43" i="9"/>
  <c r="L48" i="9"/>
  <c r="N43" i="9"/>
  <c r="O43" i="9" s="1"/>
  <c r="N48" i="9"/>
  <c r="O48" i="9" s="1"/>
  <c r="L52" i="9"/>
  <c r="L50" i="9"/>
  <c r="Q50" i="9"/>
  <c r="R50" i="9" s="1"/>
  <c r="N50" i="9"/>
  <c r="O50" i="9" s="1"/>
  <c r="H45" i="9"/>
  <c r="I45" i="9" s="1"/>
  <c r="G46" i="9"/>
  <c r="G49" i="9"/>
  <c r="N52" i="9"/>
  <c r="O52" i="9" s="1"/>
  <c r="F35" i="9"/>
  <c r="H35" i="9" s="1"/>
  <c r="I35" i="9" s="1"/>
  <c r="G48" i="9"/>
  <c r="G44" i="9"/>
  <c r="G25" i="9"/>
  <c r="L44" i="9"/>
  <c r="N44" i="9"/>
  <c r="O44" i="9" s="1"/>
  <c r="F36" i="9"/>
  <c r="H36" i="9" s="1"/>
  <c r="I36" i="9" s="1"/>
  <c r="G27" i="9"/>
  <c r="H23" i="9"/>
  <c r="I23" i="9" s="1"/>
  <c r="L47" i="9"/>
  <c r="N47" i="9"/>
  <c r="O47" i="9" s="1"/>
  <c r="H32" i="9"/>
  <c r="I32" i="9" s="1"/>
  <c r="L42" i="9"/>
  <c r="N42" i="9"/>
  <c r="O42" i="9" s="1"/>
  <c r="L54" i="9"/>
  <c r="N54" i="9"/>
  <c r="O54" i="9" s="1"/>
  <c r="H31" i="9"/>
  <c r="I31" i="9" s="1"/>
  <c r="G30" i="9"/>
  <c r="L46" i="9"/>
  <c r="N46" i="9"/>
  <c r="O46" i="9" s="1"/>
  <c r="L51" i="9"/>
  <c r="N51" i="9"/>
  <c r="O51" i="9" s="1"/>
  <c r="L55" i="9"/>
  <c r="N55" i="9"/>
  <c r="O55" i="9" s="1"/>
  <c r="L53" i="9"/>
  <c r="N53" i="9"/>
  <c r="O53" i="9" s="1"/>
  <c r="L49" i="9"/>
  <c r="N49" i="9"/>
  <c r="O49" i="9" s="1"/>
  <c r="G58" i="7"/>
  <c r="I47" i="7"/>
  <c r="J47" i="7" s="1"/>
  <c r="I46" i="7"/>
  <c r="J46" i="7" s="1"/>
  <c r="G64" i="7"/>
  <c r="I38" i="7"/>
  <c r="J38" i="7" s="1"/>
  <c r="G61" i="7"/>
  <c r="I48" i="7"/>
  <c r="J48" i="7" s="1"/>
  <c r="G66" i="7"/>
  <c r="G65" i="7"/>
  <c r="G62" i="7"/>
  <c r="G63" i="7"/>
  <c r="I39" i="7"/>
  <c r="J39" i="7" s="1"/>
  <c r="G57" i="7"/>
  <c r="G60" i="7"/>
  <c r="I56" i="7"/>
  <c r="J56" i="7" s="1"/>
  <c r="G56" i="7"/>
  <c r="G42" i="7"/>
  <c r="I42" i="7"/>
  <c r="J42" i="7" s="1"/>
  <c r="G41" i="7"/>
  <c r="I41" i="7"/>
  <c r="J41" i="7" s="1"/>
  <c r="G45" i="7"/>
  <c r="I45" i="7"/>
  <c r="J45" i="7" s="1"/>
  <c r="G43" i="7"/>
  <c r="I43" i="7"/>
  <c r="J43" i="7" s="1"/>
  <c r="G44" i="7"/>
  <c r="I44" i="7"/>
  <c r="J44" i="7" s="1"/>
  <c r="G40" i="7"/>
  <c r="I40" i="7"/>
  <c r="J40" i="7" s="1"/>
  <c r="E12" i="6"/>
  <c r="E13" i="6"/>
  <c r="E14" i="6"/>
  <c r="E15" i="6"/>
  <c r="E16" i="6"/>
  <c r="E17" i="6"/>
  <c r="E34" i="6"/>
  <c r="F34" i="6" s="1"/>
  <c r="E35" i="6"/>
  <c r="F35" i="6" s="1"/>
  <c r="E33" i="6"/>
  <c r="I33" i="6" s="1"/>
  <c r="E32" i="6"/>
  <c r="I32" i="6" s="1"/>
  <c r="J32" i="6" s="1"/>
  <c r="E31" i="6"/>
  <c r="I31" i="6" s="1"/>
  <c r="J31" i="6" s="1"/>
  <c r="E30" i="6"/>
  <c r="I30" i="6" s="1"/>
  <c r="J30" i="6" s="1"/>
  <c r="E29" i="6"/>
  <c r="I29" i="6" s="1"/>
  <c r="E28" i="6"/>
  <c r="I28" i="6" s="1"/>
  <c r="J28" i="6" s="1"/>
  <c r="E27" i="6"/>
  <c r="F27" i="6" s="1"/>
  <c r="G27" i="6" s="1"/>
  <c r="E26" i="6"/>
  <c r="I26" i="6" s="1"/>
  <c r="J26" i="6" s="1"/>
  <c r="E25" i="6"/>
  <c r="I25" i="6" s="1"/>
  <c r="J25" i="6" s="1"/>
  <c r="E24" i="6"/>
  <c r="I24" i="6" s="1"/>
  <c r="J24" i="6" s="1"/>
  <c r="E23" i="6"/>
  <c r="F23" i="6" s="1"/>
  <c r="G23" i="6" s="1"/>
  <c r="E22" i="6"/>
  <c r="I22" i="6" s="1"/>
  <c r="J22" i="6" s="1"/>
  <c r="E21" i="6"/>
  <c r="I21" i="6" s="1"/>
  <c r="J21" i="6" s="1"/>
  <c r="E11" i="6"/>
  <c r="E10" i="6"/>
  <c r="E9" i="6"/>
  <c r="E8" i="6"/>
  <c r="E7" i="6"/>
  <c r="E6" i="6"/>
  <c r="E5" i="6"/>
  <c r="E4" i="6"/>
  <c r="E48" i="5"/>
  <c r="E49" i="5"/>
  <c r="E50" i="5"/>
  <c r="E51" i="5"/>
  <c r="E52" i="5"/>
  <c r="E53" i="5"/>
  <c r="F24" i="6" l="1"/>
  <c r="G24" i="6" s="1"/>
  <c r="F28" i="6"/>
  <c r="G28" i="6" s="1"/>
  <c r="F32" i="6"/>
  <c r="G32" i="6" s="1"/>
  <c r="I27" i="6"/>
  <c r="J27" i="6" s="1"/>
  <c r="F26" i="6"/>
  <c r="G26" i="6" s="1"/>
  <c r="F22" i="6"/>
  <c r="G22" i="6" s="1"/>
  <c r="F33" i="6"/>
  <c r="F31" i="6"/>
  <c r="G31" i="6" s="1"/>
  <c r="I23" i="6"/>
  <c r="J23" i="6" s="1"/>
  <c r="F25" i="6"/>
  <c r="G25" i="6" s="1"/>
  <c r="F30" i="6"/>
  <c r="G30" i="6" s="1"/>
  <c r="I35" i="6"/>
  <c r="F29" i="6"/>
  <c r="F21" i="6"/>
  <c r="G21" i="6" s="1"/>
  <c r="I34" i="6"/>
  <c r="E12" i="5"/>
  <c r="E13" i="5"/>
  <c r="E14" i="5"/>
  <c r="E15" i="5"/>
  <c r="E16" i="5"/>
  <c r="C17" i="5"/>
  <c r="E17" i="5" s="1"/>
  <c r="E30" i="5"/>
  <c r="I30" i="5" s="1"/>
  <c r="J30" i="5" s="1"/>
  <c r="E31" i="5"/>
  <c r="I31" i="5" s="1"/>
  <c r="J31" i="5" s="1"/>
  <c r="E32" i="5"/>
  <c r="I32" i="5" s="1"/>
  <c r="J32" i="5" s="1"/>
  <c r="E33" i="5"/>
  <c r="I33" i="5" s="1"/>
  <c r="E34" i="5"/>
  <c r="E35" i="5"/>
  <c r="I35" i="5" s="1"/>
  <c r="E47" i="5"/>
  <c r="E46" i="5"/>
  <c r="E45" i="5"/>
  <c r="E44" i="5"/>
  <c r="I26" i="5" s="1"/>
  <c r="J26" i="5" s="1"/>
  <c r="E43" i="5"/>
  <c r="E42" i="5"/>
  <c r="E41" i="5"/>
  <c r="E40" i="5"/>
  <c r="E39" i="5"/>
  <c r="E29" i="5"/>
  <c r="I29" i="5" s="1"/>
  <c r="J29" i="5" s="1"/>
  <c r="E28" i="5"/>
  <c r="I28" i="5" s="1"/>
  <c r="J28" i="5" s="1"/>
  <c r="E27" i="5"/>
  <c r="I27" i="5" s="1"/>
  <c r="J27" i="5" s="1"/>
  <c r="E26" i="5"/>
  <c r="E25" i="5"/>
  <c r="E24" i="5"/>
  <c r="E23" i="5"/>
  <c r="I23" i="5" s="1"/>
  <c r="J23" i="5" s="1"/>
  <c r="E22" i="5"/>
  <c r="E21" i="5"/>
  <c r="E11" i="5"/>
  <c r="E10" i="5"/>
  <c r="E9" i="5"/>
  <c r="E8" i="5"/>
  <c r="E7" i="5"/>
  <c r="E6" i="5"/>
  <c r="E5" i="5"/>
  <c r="E4" i="5"/>
  <c r="E3" i="5"/>
  <c r="N47" i="3"/>
  <c r="N48" i="3"/>
  <c r="N49" i="3"/>
  <c r="N50" i="3"/>
  <c r="N51" i="3"/>
  <c r="N52" i="3"/>
  <c r="N53" i="3"/>
  <c r="N54" i="3"/>
  <c r="N46" i="3"/>
  <c r="M54" i="3"/>
  <c r="M53" i="3"/>
  <c r="M52" i="3"/>
  <c r="M51" i="3"/>
  <c r="O51" i="3" s="1"/>
  <c r="M50" i="3"/>
  <c r="O50" i="3" s="1"/>
  <c r="M49" i="3"/>
  <c r="O49" i="3" s="1"/>
  <c r="M48" i="3"/>
  <c r="M47" i="3"/>
  <c r="M46" i="3"/>
  <c r="F54" i="3"/>
  <c r="F53" i="3"/>
  <c r="F52" i="3"/>
  <c r="F51" i="3"/>
  <c r="F50" i="3"/>
  <c r="F49" i="3"/>
  <c r="F48" i="3"/>
  <c r="F47" i="3"/>
  <c r="F46" i="3"/>
  <c r="E40" i="4"/>
  <c r="F40" i="4" s="1"/>
  <c r="E39" i="4"/>
  <c r="F39" i="4" s="1"/>
  <c r="G39" i="4" s="1"/>
  <c r="E38" i="4"/>
  <c r="F38" i="4" s="1"/>
  <c r="G38" i="4" s="1"/>
  <c r="E37" i="4"/>
  <c r="F37" i="4" s="1"/>
  <c r="G37" i="4" s="1"/>
  <c r="E36" i="4"/>
  <c r="F36" i="4" s="1"/>
  <c r="G36" i="4" s="1"/>
  <c r="E35" i="4"/>
  <c r="F35" i="4" s="1"/>
  <c r="G35" i="4" s="1"/>
  <c r="E34" i="4"/>
  <c r="F34" i="4" s="1"/>
  <c r="G34" i="4" s="1"/>
  <c r="E33" i="4"/>
  <c r="F33" i="4" s="1"/>
  <c r="G33" i="4" s="1"/>
  <c r="E32" i="4"/>
  <c r="F32" i="4" s="1"/>
  <c r="G32" i="4" s="1"/>
  <c r="E26" i="4"/>
  <c r="F26" i="4" s="1"/>
  <c r="E25" i="4"/>
  <c r="F25" i="4" s="1"/>
  <c r="G25" i="4" s="1"/>
  <c r="E24" i="4"/>
  <c r="F24" i="4" s="1"/>
  <c r="G24" i="4" s="1"/>
  <c r="E23" i="4"/>
  <c r="F23" i="4" s="1"/>
  <c r="G23" i="4" s="1"/>
  <c r="E22" i="4"/>
  <c r="F22" i="4" s="1"/>
  <c r="G22" i="4" s="1"/>
  <c r="E21" i="4"/>
  <c r="F21" i="4" s="1"/>
  <c r="G21" i="4" s="1"/>
  <c r="E20" i="4"/>
  <c r="F20" i="4" s="1"/>
  <c r="G20" i="4" s="1"/>
  <c r="E19" i="4"/>
  <c r="F19" i="4" s="1"/>
  <c r="G19" i="4" s="1"/>
  <c r="E18" i="4"/>
  <c r="F18" i="4" s="1"/>
  <c r="G18" i="4" s="1"/>
  <c r="E12" i="4"/>
  <c r="E11" i="4"/>
  <c r="E10" i="4"/>
  <c r="E9" i="4"/>
  <c r="E8" i="4"/>
  <c r="E7" i="4"/>
  <c r="E6" i="4"/>
  <c r="E5" i="4"/>
  <c r="E4" i="4"/>
  <c r="E26" i="3"/>
  <c r="E25" i="3"/>
  <c r="E24" i="3"/>
  <c r="E23" i="3"/>
  <c r="F23" i="3" s="1"/>
  <c r="G23" i="3" s="1"/>
  <c r="E22" i="3"/>
  <c r="F22" i="3" s="1"/>
  <c r="G22" i="3" s="1"/>
  <c r="E21" i="3"/>
  <c r="F21" i="3" s="1"/>
  <c r="G21" i="3" s="1"/>
  <c r="E20" i="3"/>
  <c r="E19" i="3"/>
  <c r="E18" i="3"/>
  <c r="E67" i="3"/>
  <c r="E66" i="3"/>
  <c r="E65" i="3"/>
  <c r="E64" i="3"/>
  <c r="E63" i="3"/>
  <c r="E62" i="3"/>
  <c r="E61" i="3"/>
  <c r="E60" i="3"/>
  <c r="E59" i="3"/>
  <c r="E40" i="3"/>
  <c r="E39" i="3"/>
  <c r="E38" i="3"/>
  <c r="E37" i="3"/>
  <c r="E36" i="3"/>
  <c r="E35" i="3"/>
  <c r="E34" i="3"/>
  <c r="E33" i="3"/>
  <c r="E32" i="3"/>
  <c r="E54" i="3"/>
  <c r="E53" i="3"/>
  <c r="E52" i="3"/>
  <c r="E51" i="3"/>
  <c r="E50" i="3"/>
  <c r="E49" i="3"/>
  <c r="E48" i="3"/>
  <c r="E47" i="3"/>
  <c r="E46" i="3"/>
  <c r="E12" i="3"/>
  <c r="E11" i="3"/>
  <c r="E10" i="3"/>
  <c r="E9" i="3"/>
  <c r="E8" i="3"/>
  <c r="E7" i="3"/>
  <c r="G49" i="3" s="1"/>
  <c r="E6" i="3"/>
  <c r="G48" i="3" s="1"/>
  <c r="E5" i="3"/>
  <c r="E4" i="3"/>
  <c r="E37" i="2"/>
  <c r="F37" i="2" s="1"/>
  <c r="E36" i="2"/>
  <c r="F36" i="2" s="1"/>
  <c r="G36" i="2" s="1"/>
  <c r="E35" i="2"/>
  <c r="F35" i="2" s="1"/>
  <c r="G35" i="2" s="1"/>
  <c r="E34" i="2"/>
  <c r="F34" i="2" s="1"/>
  <c r="G34" i="2" s="1"/>
  <c r="E33" i="2"/>
  <c r="F33" i="2" s="1"/>
  <c r="G33" i="2" s="1"/>
  <c r="E32" i="2"/>
  <c r="F32" i="2" s="1"/>
  <c r="G32" i="2" s="1"/>
  <c r="E31" i="2"/>
  <c r="F31" i="2" s="1"/>
  <c r="G31" i="2" s="1"/>
  <c r="E30" i="2"/>
  <c r="F30" i="2" s="1"/>
  <c r="G30" i="2" s="1"/>
  <c r="E29" i="2"/>
  <c r="F29" i="2" s="1"/>
  <c r="G29" i="2" s="1"/>
  <c r="E24" i="2"/>
  <c r="F24" i="2" s="1"/>
  <c r="E23" i="2"/>
  <c r="F23" i="2" s="1"/>
  <c r="G23" i="2" s="1"/>
  <c r="E22" i="2"/>
  <c r="F22" i="2" s="1"/>
  <c r="G22" i="2" s="1"/>
  <c r="E21" i="2"/>
  <c r="F21" i="2" s="1"/>
  <c r="G21" i="2" s="1"/>
  <c r="E20" i="2"/>
  <c r="F20" i="2" s="1"/>
  <c r="G20" i="2" s="1"/>
  <c r="E19" i="2"/>
  <c r="F19" i="2" s="1"/>
  <c r="G19" i="2" s="1"/>
  <c r="E18" i="2"/>
  <c r="F18" i="2" s="1"/>
  <c r="G18" i="2" s="1"/>
  <c r="E17" i="2"/>
  <c r="F17" i="2" s="1"/>
  <c r="G17" i="2" s="1"/>
  <c r="E16" i="2"/>
  <c r="F16" i="2" s="1"/>
  <c r="G16" i="2" s="1"/>
  <c r="E11" i="2"/>
  <c r="E10" i="2"/>
  <c r="E9" i="2"/>
  <c r="E8" i="2"/>
  <c r="E7" i="2"/>
  <c r="E6" i="2"/>
  <c r="E5" i="2"/>
  <c r="E4" i="2"/>
  <c r="E3" i="2"/>
  <c r="I16" i="1"/>
  <c r="I17" i="1"/>
  <c r="I18" i="1"/>
  <c r="I19" i="1"/>
  <c r="I20" i="1"/>
  <c r="I21" i="1"/>
  <c r="I22" i="1"/>
  <c r="I15" i="1"/>
  <c r="H16" i="1"/>
  <c r="H17" i="1"/>
  <c r="H18" i="1"/>
  <c r="H19" i="1"/>
  <c r="H20" i="1"/>
  <c r="H21" i="1"/>
  <c r="H22" i="1"/>
  <c r="H23" i="1"/>
  <c r="H15" i="1"/>
  <c r="E15" i="1"/>
  <c r="F15" i="1" s="1"/>
  <c r="G15" i="1" s="1"/>
  <c r="E35" i="1"/>
  <c r="F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F47" i="1"/>
  <c r="E23" i="1"/>
  <c r="F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42" i="1"/>
  <c r="E43" i="1"/>
  <c r="F43" i="1" s="1"/>
  <c r="E44" i="1"/>
  <c r="E45" i="1"/>
  <c r="F45" i="1" s="1"/>
  <c r="E46" i="1"/>
  <c r="F46" i="1" s="1"/>
  <c r="E47" i="1"/>
  <c r="E48" i="1"/>
  <c r="E49" i="1"/>
  <c r="F49" i="1" s="1"/>
  <c r="E41" i="1"/>
  <c r="F41" i="1" s="1"/>
  <c r="E4" i="1"/>
  <c r="E5" i="1"/>
  <c r="E6" i="1"/>
  <c r="F44" i="1" s="1"/>
  <c r="E7" i="1"/>
  <c r="E8" i="1"/>
  <c r="E9" i="1"/>
  <c r="E10" i="1"/>
  <c r="F48" i="1" s="1"/>
  <c r="E11" i="1"/>
  <c r="E3" i="1"/>
  <c r="I22" i="5" l="1"/>
  <c r="J22" i="5" s="1"/>
  <c r="I25" i="5"/>
  <c r="J25" i="5" s="1"/>
  <c r="I24" i="5"/>
  <c r="J24" i="5" s="1"/>
  <c r="F34" i="5"/>
  <c r="I34" i="5"/>
  <c r="F24" i="5"/>
  <c r="G24" i="5" s="1"/>
  <c r="F29" i="5"/>
  <c r="G29" i="5" s="1"/>
  <c r="F25" i="5"/>
  <c r="G25" i="5" s="1"/>
  <c r="F33" i="5"/>
  <c r="F26" i="5"/>
  <c r="G26" i="5" s="1"/>
  <c r="F27" i="5"/>
  <c r="G27" i="5" s="1"/>
  <c r="F31" i="5"/>
  <c r="G31" i="5" s="1"/>
  <c r="F28" i="5"/>
  <c r="F30" i="5"/>
  <c r="G30" i="5" s="1"/>
  <c r="F22" i="5"/>
  <c r="G22" i="5" s="1"/>
  <c r="F35" i="5"/>
  <c r="I21" i="5"/>
  <c r="J21" i="5" s="1"/>
  <c r="F21" i="5"/>
  <c r="G21" i="5" s="1"/>
  <c r="F23" i="5"/>
  <c r="G23" i="5" s="1"/>
  <c r="F32" i="5"/>
  <c r="G32" i="5" s="1"/>
  <c r="G28" i="5"/>
  <c r="O52" i="3"/>
  <c r="O53" i="3"/>
  <c r="O47" i="3"/>
  <c r="O48" i="3"/>
  <c r="O46" i="3"/>
  <c r="G46" i="3"/>
  <c r="F24" i="3"/>
  <c r="G24" i="3" s="1"/>
  <c r="F18" i="3"/>
  <c r="G18" i="3" s="1"/>
  <c r="F25" i="3"/>
  <c r="G25" i="3" s="1"/>
  <c r="F19" i="3"/>
  <c r="G19" i="3" s="1"/>
  <c r="F26" i="3"/>
  <c r="G52" i="3"/>
  <c r="F20" i="3"/>
  <c r="G20" i="3" s="1"/>
  <c r="G51" i="3"/>
  <c r="F62" i="3"/>
  <c r="G62" i="3" s="1"/>
  <c r="F61" i="3"/>
  <c r="G61" i="3" s="1"/>
  <c r="G53" i="3"/>
  <c r="F63" i="3"/>
  <c r="G63" i="3" s="1"/>
  <c r="F66" i="3"/>
  <c r="G66" i="3" s="1"/>
  <c r="G50" i="3"/>
  <c r="F60" i="3"/>
  <c r="G60" i="3" s="1"/>
  <c r="F64" i="3"/>
  <c r="G64" i="3" s="1"/>
  <c r="G47" i="3"/>
  <c r="F65" i="3"/>
  <c r="G65" i="3" s="1"/>
  <c r="F59" i="3"/>
  <c r="G59" i="3" s="1"/>
  <c r="F67" i="3"/>
  <c r="F40" i="3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32" i="3"/>
  <c r="G32" i="3" s="1"/>
  <c r="F33" i="3"/>
  <c r="G33" i="3" s="1"/>
  <c r="G43" i="1"/>
  <c r="F42" i="1"/>
  <c r="G42" i="1" s="1"/>
  <c r="G45" i="1"/>
  <c r="G41" i="1"/>
  <c r="G44" i="1"/>
  <c r="G48" i="1"/>
  <c r="G47" i="1"/>
  <c r="G46" i="1"/>
</calcChain>
</file>

<file path=xl/sharedStrings.xml><?xml version="1.0" encoding="utf-8"?>
<sst xmlns="http://schemas.openxmlformats.org/spreadsheetml/2006/main" count="1169" uniqueCount="60">
  <si>
    <t>run1</t>
  </si>
  <si>
    <t>run2</t>
  </si>
  <si>
    <t>run3</t>
  </si>
  <si>
    <t>durchschnitt</t>
  </si>
  <si>
    <t>faithfulness</t>
  </si>
  <si>
    <t>context_recall</t>
  </si>
  <si>
    <t>context_precision</t>
  </si>
  <si>
    <t>semantic_similarity</t>
  </si>
  <si>
    <t>context_entity_recall</t>
  </si>
  <si>
    <t>answer_relevancy</t>
  </si>
  <si>
    <t>MRR@5</t>
  </si>
  <si>
    <t>Hit@5</t>
  </si>
  <si>
    <t>latency</t>
  </si>
  <si>
    <t>Differenz</t>
  </si>
  <si>
    <t>in %</t>
  </si>
  <si>
    <t>zu 1500</t>
  </si>
  <si>
    <t>-</t>
  </si>
  <si>
    <t>+</t>
  </si>
  <si>
    <t>naive</t>
  </si>
  <si>
    <t>semantic</t>
  </si>
  <si>
    <t>differenz</t>
  </si>
  <si>
    <t>BERT-F1</t>
  </si>
  <si>
    <t>BERT-Precision</t>
  </si>
  <si>
    <t>BERT-Recall</t>
  </si>
  <si>
    <t>Tokens total</t>
  </si>
  <si>
    <t>Tokens Input</t>
  </si>
  <si>
    <t>Tokens Output</t>
  </si>
  <si>
    <t>Differenz (zu 1250)</t>
  </si>
  <si>
    <t>Differenz (zu 1750)</t>
  </si>
  <si>
    <t>Differenz zu 200</t>
  </si>
  <si>
    <t>Differenz zu 400</t>
  </si>
  <si>
    <t>Prompt Tokens (avg)</t>
  </si>
  <si>
    <t>Completion Tokens (avg)</t>
  </si>
  <si>
    <t>Total Tokens (avg)</t>
  </si>
  <si>
    <t>Differenz zu Naive</t>
  </si>
  <si>
    <t>relativ</t>
  </si>
  <si>
    <t>differenz zu 400</t>
  </si>
  <si>
    <t>rel</t>
  </si>
  <si>
    <t>deduplication</t>
  </si>
  <si>
    <t>differenz zu naive</t>
  </si>
  <si>
    <t>differenz zu 90</t>
  </si>
  <si>
    <t>Unterschied Differenz zu naive</t>
  </si>
  <si>
    <t>!!!!</t>
  </si>
  <si>
    <t>Differenz zu 5</t>
  </si>
  <si>
    <t>Reranking Tokens</t>
  </si>
  <si>
    <t>ReRanking Tokens (avg)</t>
  </si>
  <si>
    <t>sparse</t>
  </si>
  <si>
    <t>differenz rel</t>
  </si>
  <si>
    <t>hybrid</t>
  </si>
  <si>
    <t>voyage</t>
  </si>
  <si>
    <t>cohere</t>
  </si>
  <si>
    <t>Differenz zu voyage</t>
  </si>
  <si>
    <t>Differenz zu 80</t>
  </si>
  <si>
    <t>Differenz zu naive</t>
  </si>
  <si>
    <t>lokal</t>
  </si>
  <si>
    <t>advanced</t>
  </si>
  <si>
    <t>full</t>
  </si>
  <si>
    <t>Durchschnitt</t>
  </si>
  <si>
    <t>Differenz zu advanced-voyage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</si>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</sst>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A45F-A104-431D-A20F-223D7510156E}">
  <dimension ref="A1:J49"/>
  <sheetViews>
    <sheetView topLeftCell="A4" workbookViewId="0">
      <selection activeCell="H26" sqref="H26"/>
    </sheetView>
  </sheetViews>
  <sheetFormatPr baseColWidth="10" defaultRowHeight="15" x14ac:dyDescent="0.25"/>
  <cols>
    <col min="1" max="1" width="18.85546875" bestFit="1" customWidth="1"/>
  </cols>
  <sheetData>
    <row r="1" spans="1:10" x14ac:dyDescent="0.25">
      <c r="A1">
        <v>1000</v>
      </c>
      <c r="B1">
        <v>300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</row>
    <row r="3" spans="1:10" x14ac:dyDescent="0.25">
      <c r="A3" t="s">
        <v>4</v>
      </c>
      <c r="B3" s="3">
        <v>0.60699999999999998</v>
      </c>
      <c r="C3" s="3">
        <v>0.629</v>
      </c>
      <c r="D3" s="3">
        <v>0.66900000000000004</v>
      </c>
      <c r="E3" s="2">
        <f>AVERAGE(B3:D3)</f>
        <v>0.63500000000000001</v>
      </c>
    </row>
    <row r="4" spans="1:10" x14ac:dyDescent="0.25">
      <c r="A4" t="s">
        <v>5</v>
      </c>
      <c r="B4">
        <v>0.61599999999999999</v>
      </c>
      <c r="C4">
        <v>0.63500000000000001</v>
      </c>
      <c r="D4">
        <v>0.60899999999999999</v>
      </c>
      <c r="E4" s="2">
        <f t="shared" ref="E4:E11" si="0">AVERAGE(B4:D4)</f>
        <v>0.62</v>
      </c>
    </row>
    <row r="5" spans="1:10" x14ac:dyDescent="0.25">
      <c r="A5" t="s">
        <v>6</v>
      </c>
      <c r="B5">
        <v>0.71799999999999997</v>
      </c>
      <c r="C5">
        <v>0.71699999999999997</v>
      </c>
      <c r="D5">
        <v>0.71299999999999997</v>
      </c>
      <c r="E5" s="2">
        <f t="shared" si="0"/>
        <v>0.71600000000000008</v>
      </c>
    </row>
    <row r="6" spans="1:10" x14ac:dyDescent="0.25">
      <c r="A6" t="s">
        <v>7</v>
      </c>
      <c r="B6">
        <v>0.76300000000000001</v>
      </c>
      <c r="C6">
        <v>0.75600000000000001</v>
      </c>
      <c r="D6">
        <v>0.75900000000000001</v>
      </c>
      <c r="E6" s="2">
        <f t="shared" si="0"/>
        <v>0.7593333333333333</v>
      </c>
    </row>
    <row r="7" spans="1:10" x14ac:dyDescent="0.25">
      <c r="A7" t="s">
        <v>8</v>
      </c>
      <c r="B7">
        <v>0.13</v>
      </c>
      <c r="C7">
        <v>0.13</v>
      </c>
      <c r="D7">
        <v>0.13400000000000001</v>
      </c>
      <c r="E7" s="2">
        <f t="shared" si="0"/>
        <v>0.13133333333333333</v>
      </c>
    </row>
    <row r="8" spans="1:10" x14ac:dyDescent="0.25">
      <c r="A8" t="s">
        <v>9</v>
      </c>
      <c r="B8">
        <v>0.56799999999999995</v>
      </c>
      <c r="C8">
        <v>0.60599999999999998</v>
      </c>
      <c r="D8">
        <v>0.58299999999999996</v>
      </c>
      <c r="E8" s="2">
        <f t="shared" si="0"/>
        <v>0.58566666666666667</v>
      </c>
    </row>
    <row r="9" spans="1:10" x14ac:dyDescent="0.25">
      <c r="A9" t="s">
        <v>10</v>
      </c>
      <c r="B9">
        <v>0.34399999999999997</v>
      </c>
      <c r="C9">
        <v>0.35</v>
      </c>
      <c r="D9">
        <v>0.23</v>
      </c>
      <c r="E9" s="2">
        <f t="shared" si="0"/>
        <v>0.308</v>
      </c>
    </row>
    <row r="10" spans="1:10" x14ac:dyDescent="0.25">
      <c r="A10" t="s">
        <v>11</v>
      </c>
      <c r="B10">
        <v>0.45700000000000002</v>
      </c>
      <c r="C10">
        <v>0.47399999999999998</v>
      </c>
      <c r="D10">
        <v>0.30399999999999999</v>
      </c>
      <c r="E10" s="2">
        <f t="shared" si="0"/>
        <v>0.41166666666666668</v>
      </c>
    </row>
    <row r="11" spans="1:10" x14ac:dyDescent="0.25">
      <c r="A11" t="s">
        <v>12</v>
      </c>
      <c r="B11" s="1">
        <v>34.784999999999997</v>
      </c>
      <c r="C11" s="1">
        <v>13.036</v>
      </c>
      <c r="D11" s="1">
        <v>47.48</v>
      </c>
      <c r="E11" s="2">
        <f t="shared" si="0"/>
        <v>31.766999999999996</v>
      </c>
    </row>
    <row r="13" spans="1:10" x14ac:dyDescent="0.25">
      <c r="A13">
        <v>1250</v>
      </c>
      <c r="B13">
        <v>300</v>
      </c>
    </row>
    <row r="14" spans="1:10" x14ac:dyDescent="0.25">
      <c r="B14" t="s">
        <v>0</v>
      </c>
      <c r="C14" t="s">
        <v>1</v>
      </c>
      <c r="D14" t="s">
        <v>2</v>
      </c>
      <c r="E14" t="s">
        <v>3</v>
      </c>
      <c r="F14" t="s">
        <v>13</v>
      </c>
      <c r="G14" t="s">
        <v>14</v>
      </c>
      <c r="H14" t="s">
        <v>15</v>
      </c>
      <c r="I14" t="s">
        <v>14</v>
      </c>
    </row>
    <row r="15" spans="1:10" x14ac:dyDescent="0.25">
      <c r="A15" t="s">
        <v>4</v>
      </c>
      <c r="B15">
        <v>0.65040001787789381</v>
      </c>
      <c r="C15">
        <v>0.64034976822587431</v>
      </c>
      <c r="D15">
        <v>0.67240834386852077</v>
      </c>
      <c r="E15">
        <f>AVERAGE(B15:D15)</f>
        <v>0.65438604332409633</v>
      </c>
      <c r="F15">
        <f>E15-$E$3</f>
        <v>1.9386043324096325E-2</v>
      </c>
      <c r="G15">
        <f>F15*100</f>
        <v>1.9386043324096325</v>
      </c>
      <c r="H15">
        <f>E15-E27</f>
        <v>1.8100629663682755E-2</v>
      </c>
      <c r="I15">
        <f>H15*100</f>
        <v>1.8100629663682755</v>
      </c>
      <c r="J15" t="s">
        <v>17</v>
      </c>
    </row>
    <row r="16" spans="1:10" x14ac:dyDescent="0.25">
      <c r="A16" t="s">
        <v>5</v>
      </c>
      <c r="B16">
        <v>0.66408045977011487</v>
      </c>
      <c r="C16">
        <v>0.66451149425287348</v>
      </c>
      <c r="D16">
        <v>0.65999999999999992</v>
      </c>
      <c r="E16">
        <f t="shared" ref="E16:E23" si="1">AVERAGE(B16:D16)</f>
        <v>0.6628639846743295</v>
      </c>
      <c r="F16">
        <f>E16-$E$4</f>
        <v>4.2863984674329503E-2</v>
      </c>
      <c r="G16">
        <f t="shared" ref="G16:G22" si="2">F16*100</f>
        <v>4.2863984674329503</v>
      </c>
      <c r="H16">
        <f t="shared" ref="H16:H23" si="3">E16-E28</f>
        <v>-3.131682968039784E-2</v>
      </c>
      <c r="I16">
        <f t="shared" ref="I16:I22" si="4">H16*100</f>
        <v>-3.131682968039784</v>
      </c>
      <c r="J16" t="s">
        <v>16</v>
      </c>
    </row>
    <row r="17" spans="1:10" x14ac:dyDescent="0.25">
      <c r="A17" t="s">
        <v>6</v>
      </c>
      <c r="B17">
        <v>0.65787835246914472</v>
      </c>
      <c r="C17">
        <v>0.66246408043756977</v>
      </c>
      <c r="D17">
        <v>0.66101449273140767</v>
      </c>
      <c r="E17">
        <f t="shared" si="1"/>
        <v>0.66045230854604076</v>
      </c>
      <c r="F17">
        <f>E17-$E$5</f>
        <v>-5.5547691453959325E-2</v>
      </c>
      <c r="G17">
        <f t="shared" si="2"/>
        <v>-5.554769145395932</v>
      </c>
      <c r="H17">
        <f t="shared" si="3"/>
        <v>-5.3736097242280123E-2</v>
      </c>
      <c r="I17">
        <f t="shared" si="4"/>
        <v>-5.3736097242280128</v>
      </c>
      <c r="J17" t="s">
        <v>16</v>
      </c>
    </row>
    <row r="18" spans="1:10" x14ac:dyDescent="0.25">
      <c r="A18" t="s">
        <v>7</v>
      </c>
      <c r="B18">
        <v>0.76358558102811269</v>
      </c>
      <c r="C18">
        <v>0.76358558102811269</v>
      </c>
      <c r="D18">
        <v>0.76358558102811269</v>
      </c>
      <c r="E18">
        <f t="shared" si="1"/>
        <v>0.76358558102811269</v>
      </c>
      <c r="F18">
        <f>E18-$E$6</f>
        <v>4.2522476947793875E-3</v>
      </c>
      <c r="G18">
        <f t="shared" si="2"/>
        <v>0.42522476947793875</v>
      </c>
      <c r="H18">
        <f t="shared" si="3"/>
        <v>2.375451686304153E-3</v>
      </c>
      <c r="I18">
        <f t="shared" si="4"/>
        <v>0.2375451686304153</v>
      </c>
    </row>
    <row r="19" spans="1:10" x14ac:dyDescent="0.25">
      <c r="A19" t="s">
        <v>8</v>
      </c>
      <c r="B19">
        <v>0.13669368470583701</v>
      </c>
      <c r="C19">
        <v>0.14197545499120501</v>
      </c>
      <c r="D19">
        <v>0.13999108624627049</v>
      </c>
      <c r="E19">
        <f t="shared" si="1"/>
        <v>0.13955340864777083</v>
      </c>
      <c r="F19">
        <f>E19-$E$7</f>
        <v>8.2200753144374972E-3</v>
      </c>
      <c r="G19">
        <f t="shared" si="2"/>
        <v>0.82200753144374972</v>
      </c>
      <c r="H19">
        <f t="shared" si="3"/>
        <v>2.0610990041821819E-2</v>
      </c>
      <c r="I19">
        <f t="shared" si="4"/>
        <v>2.0610990041821822</v>
      </c>
      <c r="J19" t="s">
        <v>17</v>
      </c>
    </row>
    <row r="20" spans="1:10" x14ac:dyDescent="0.25">
      <c r="A20" t="s">
        <v>9</v>
      </c>
      <c r="B20">
        <v>0.60434664323796838</v>
      </c>
      <c r="C20">
        <v>0.60455667750684317</v>
      </c>
      <c r="D20">
        <v>0.60592149549436569</v>
      </c>
      <c r="E20">
        <f t="shared" si="1"/>
        <v>0.60494160541305908</v>
      </c>
      <c r="F20">
        <f>E20-$E$8</f>
        <v>1.9274938746392412E-2</v>
      </c>
      <c r="G20">
        <f t="shared" si="2"/>
        <v>1.9274938746392412</v>
      </c>
      <c r="H20">
        <f t="shared" si="3"/>
        <v>6.486868167422577E-2</v>
      </c>
      <c r="I20">
        <f t="shared" si="4"/>
        <v>6.4868681674225765</v>
      </c>
      <c r="J20" t="s">
        <v>17</v>
      </c>
    </row>
    <row r="21" spans="1:10" x14ac:dyDescent="0.25">
      <c r="A21" t="s">
        <v>10</v>
      </c>
      <c r="B21">
        <v>0.31422413793103449</v>
      </c>
      <c r="C21">
        <v>0.31853448275862067</v>
      </c>
      <c r="D21">
        <v>0.3271551724137931</v>
      </c>
      <c r="E21">
        <f t="shared" si="1"/>
        <v>0.31997126436781609</v>
      </c>
      <c r="F21">
        <f>E21-$E$9</f>
        <v>1.1971264367816092E-2</v>
      </c>
      <c r="G21">
        <f t="shared" si="2"/>
        <v>1.1971264367816092</v>
      </c>
      <c r="H21">
        <f t="shared" si="3"/>
        <v>-3.5553056804930594E-3</v>
      </c>
      <c r="I21">
        <f t="shared" si="4"/>
        <v>-0.35553056804930594</v>
      </c>
    </row>
    <row r="22" spans="1:10" x14ac:dyDescent="0.25">
      <c r="A22" t="s">
        <v>11</v>
      </c>
      <c r="B22">
        <v>0.46551724137931028</v>
      </c>
      <c r="C22">
        <v>0.47413793103448282</v>
      </c>
      <c r="D22">
        <v>0.48275862068965519</v>
      </c>
      <c r="E22">
        <f t="shared" si="1"/>
        <v>0.47413793103448282</v>
      </c>
      <c r="F22">
        <f>E22-$E$10</f>
        <v>6.2471264367816137E-2</v>
      </c>
      <c r="G22">
        <f t="shared" si="2"/>
        <v>6.2471264367816133</v>
      </c>
      <c r="H22">
        <f t="shared" si="3"/>
        <v>-8.4852573713143364E-3</v>
      </c>
      <c r="I22">
        <f t="shared" si="4"/>
        <v>-0.84852573713143364</v>
      </c>
      <c r="J22" t="s">
        <v>16</v>
      </c>
    </row>
    <row r="23" spans="1:10" x14ac:dyDescent="0.25">
      <c r="A23" t="s">
        <v>12</v>
      </c>
      <c r="B23" s="1">
        <v>11.3045620609974</v>
      </c>
      <c r="C23">
        <v>11.271574879514761</v>
      </c>
      <c r="D23">
        <v>10.505874237109881</v>
      </c>
      <c r="E23">
        <f t="shared" si="1"/>
        <v>11.027337059207348</v>
      </c>
      <c r="F23">
        <f>E23-$E$11</f>
        <v>-20.739662940792648</v>
      </c>
      <c r="H23">
        <f t="shared" si="3"/>
        <v>-4.3462803443482603</v>
      </c>
    </row>
    <row r="25" spans="1:10" x14ac:dyDescent="0.25">
      <c r="A25">
        <v>1500</v>
      </c>
      <c r="B25">
        <v>300</v>
      </c>
    </row>
    <row r="26" spans="1:10" x14ac:dyDescent="0.25">
      <c r="B26" t="s">
        <v>0</v>
      </c>
      <c r="C26" t="s">
        <v>1</v>
      </c>
      <c r="D26" t="s">
        <v>2</v>
      </c>
      <c r="E26" t="s">
        <v>3</v>
      </c>
      <c r="F26" t="s">
        <v>13</v>
      </c>
      <c r="G26" t="s">
        <v>14</v>
      </c>
    </row>
    <row r="27" spans="1:10" x14ac:dyDescent="0.25">
      <c r="A27" t="s">
        <v>4</v>
      </c>
      <c r="B27">
        <v>0.63900000000000001</v>
      </c>
      <c r="C27">
        <v>0.63200000000000001</v>
      </c>
      <c r="D27">
        <v>0.63785624098124105</v>
      </c>
      <c r="E27">
        <f>AVERAGE(B27:D27)</f>
        <v>0.63628541366041358</v>
      </c>
      <c r="F27">
        <f>E27-$E$3</f>
        <v>1.2854136604135702E-3</v>
      </c>
      <c r="G27">
        <f>F27*100</f>
        <v>0.12854136604135702</v>
      </c>
      <c r="H27">
        <v>0</v>
      </c>
    </row>
    <row r="28" spans="1:10" x14ac:dyDescent="0.25">
      <c r="A28" t="s">
        <v>5</v>
      </c>
      <c r="B28">
        <v>0.69699999999999995</v>
      </c>
      <c r="C28">
        <v>0.69899999999999995</v>
      </c>
      <c r="D28">
        <v>0.68654244306418222</v>
      </c>
      <c r="E28">
        <f t="shared" ref="E28:E35" si="5">AVERAGE(B28:D28)</f>
        <v>0.69418081435472734</v>
      </c>
      <c r="F28">
        <f>E28-$E$4</f>
        <v>7.4180814354727342E-2</v>
      </c>
      <c r="G28">
        <f t="shared" ref="G28:G34" si="6">F28*100</f>
        <v>7.4180814354727342</v>
      </c>
      <c r="H28" t="s">
        <v>17</v>
      </c>
    </row>
    <row r="29" spans="1:10" x14ac:dyDescent="0.25">
      <c r="A29" t="s">
        <v>6</v>
      </c>
      <c r="B29">
        <v>0.72499999999999998</v>
      </c>
      <c r="C29">
        <v>0.71299999999999997</v>
      </c>
      <c r="D29">
        <v>0.70456521736496258</v>
      </c>
      <c r="E29">
        <f t="shared" si="5"/>
        <v>0.71418840578832088</v>
      </c>
      <c r="F29">
        <f>E29-$E$5</f>
        <v>-1.8115942116792016E-3</v>
      </c>
      <c r="G29">
        <f t="shared" si="6"/>
        <v>-0.18115942116792016</v>
      </c>
      <c r="H29">
        <v>0</v>
      </c>
    </row>
    <row r="30" spans="1:10" x14ac:dyDescent="0.25">
      <c r="A30" t="s">
        <v>7</v>
      </c>
      <c r="B30">
        <v>0.75600000000000001</v>
      </c>
      <c r="C30">
        <v>0.76400000000000001</v>
      </c>
      <c r="D30">
        <v>0.76363038802542538</v>
      </c>
      <c r="E30">
        <f t="shared" si="5"/>
        <v>0.76121012934180854</v>
      </c>
      <c r="F30">
        <f>E30-$E$6</f>
        <v>1.8767960084752344E-3</v>
      </c>
      <c r="G30">
        <f t="shared" si="6"/>
        <v>0.18767960084752344</v>
      </c>
      <c r="H30">
        <v>0</v>
      </c>
    </row>
    <row r="31" spans="1:10" x14ac:dyDescent="0.25">
      <c r="A31" t="s">
        <v>8</v>
      </c>
      <c r="B31">
        <v>0.12</v>
      </c>
      <c r="C31">
        <v>0.11600000000000001</v>
      </c>
      <c r="D31">
        <v>0.12082725581784701</v>
      </c>
      <c r="E31">
        <f t="shared" si="5"/>
        <v>0.11894241860594901</v>
      </c>
      <c r="F31">
        <f>E31-$E$7</f>
        <v>-1.2390914727384322E-2</v>
      </c>
      <c r="G31">
        <f t="shared" si="6"/>
        <v>-1.2390914727384321</v>
      </c>
      <c r="H31" t="s">
        <v>16</v>
      </c>
    </row>
    <row r="32" spans="1:10" x14ac:dyDescent="0.25">
      <c r="A32" t="s">
        <v>9</v>
      </c>
      <c r="B32">
        <v>0.54300000000000004</v>
      </c>
      <c r="C32">
        <v>0.53500000000000003</v>
      </c>
      <c r="D32">
        <v>0.54221877121649986</v>
      </c>
      <c r="E32">
        <f t="shared" si="5"/>
        <v>0.54007292373883331</v>
      </c>
      <c r="F32">
        <f>E32-$E$8</f>
        <v>-4.5593742927833358E-2</v>
      </c>
      <c r="G32">
        <f t="shared" si="6"/>
        <v>-4.5593742927833354</v>
      </c>
      <c r="H32" t="s">
        <v>16</v>
      </c>
    </row>
    <row r="33" spans="1:8" x14ac:dyDescent="0.25">
      <c r="A33" t="s">
        <v>10</v>
      </c>
      <c r="B33">
        <v>0.34899999999999998</v>
      </c>
      <c r="C33">
        <v>0.311</v>
      </c>
      <c r="D33">
        <v>0.31057971014492758</v>
      </c>
      <c r="E33">
        <f t="shared" si="5"/>
        <v>0.32352657004830915</v>
      </c>
      <c r="F33">
        <f>E33-$E$9</f>
        <v>1.5526570048309152E-2</v>
      </c>
      <c r="G33">
        <f t="shared" si="6"/>
        <v>1.5526570048309152</v>
      </c>
      <c r="H33" t="s">
        <v>17</v>
      </c>
    </row>
    <row r="34" spans="1:8" x14ac:dyDescent="0.25">
      <c r="A34" t="s">
        <v>11</v>
      </c>
      <c r="B34">
        <v>0.52600000000000002</v>
      </c>
      <c r="C34">
        <v>0.46100000000000002</v>
      </c>
      <c r="D34">
        <v>0.46086956521739131</v>
      </c>
      <c r="E34">
        <f t="shared" si="5"/>
        <v>0.48262318840579715</v>
      </c>
      <c r="F34">
        <f>E34-$E$10</f>
        <v>7.0956521739130474E-2</v>
      </c>
      <c r="G34">
        <f t="shared" si="6"/>
        <v>7.0956521739130469</v>
      </c>
      <c r="H34" t="s">
        <v>17</v>
      </c>
    </row>
    <row r="35" spans="1:8" x14ac:dyDescent="0.25">
      <c r="A35" t="s">
        <v>12</v>
      </c>
      <c r="B35">
        <v>22.539000000000001</v>
      </c>
      <c r="C35" s="1">
        <v>12.643000000000001</v>
      </c>
      <c r="D35">
        <v>10.93885221066682</v>
      </c>
      <c r="E35">
        <f t="shared" si="5"/>
        <v>15.373617403555608</v>
      </c>
      <c r="F35">
        <f>E35-$E$11</f>
        <v>-16.39338259644439</v>
      </c>
    </row>
    <row r="39" spans="1:8" x14ac:dyDescent="0.25">
      <c r="A39">
        <v>1750</v>
      </c>
      <c r="B39">
        <v>300</v>
      </c>
    </row>
    <row r="40" spans="1:8" x14ac:dyDescent="0.25">
      <c r="B40" t="s">
        <v>0</v>
      </c>
      <c r="C40" t="s">
        <v>1</v>
      </c>
      <c r="D40" t="s">
        <v>2</v>
      </c>
      <c r="E40" t="s">
        <v>3</v>
      </c>
      <c r="F40" t="s">
        <v>13</v>
      </c>
      <c r="G40" t="s">
        <v>14</v>
      </c>
    </row>
    <row r="41" spans="1:8" x14ac:dyDescent="0.25">
      <c r="A41" t="s">
        <v>4</v>
      </c>
      <c r="B41">
        <v>0.61</v>
      </c>
      <c r="C41">
        <v>0.625</v>
      </c>
      <c r="D41">
        <v>0.62968106995884776</v>
      </c>
      <c r="E41">
        <f>AVERAGE(B41:D41)</f>
        <v>0.62156035665294918</v>
      </c>
      <c r="F41" s="2">
        <f>E41-$E$3</f>
        <v>-1.3439643347050834E-2</v>
      </c>
      <c r="G41">
        <f>F41*100</f>
        <v>-1.3439643347050834</v>
      </c>
    </row>
    <row r="42" spans="1:8" x14ac:dyDescent="0.25">
      <c r="A42" t="s">
        <v>5</v>
      </c>
      <c r="B42">
        <v>0.67400000000000004</v>
      </c>
      <c r="C42">
        <v>0.66500000000000004</v>
      </c>
      <c r="D42">
        <v>0.65932539682539681</v>
      </c>
      <c r="E42">
        <f t="shared" ref="E42:E49" si="7">AVERAGE(B42:D42)</f>
        <v>0.66610846560846559</v>
      </c>
      <c r="F42" s="2">
        <f>E42-$E$4</f>
        <v>4.6108465608465599E-2</v>
      </c>
      <c r="G42">
        <f t="shared" ref="G42:G48" si="8">F42*100</f>
        <v>4.6108465608465599</v>
      </c>
    </row>
    <row r="43" spans="1:8" x14ac:dyDescent="0.25">
      <c r="A43" t="s">
        <v>6</v>
      </c>
      <c r="B43">
        <v>0.65600000000000003</v>
      </c>
      <c r="C43">
        <v>0.68600000000000005</v>
      </c>
      <c r="D43">
        <v>0.6832367149506936</v>
      </c>
      <c r="E43">
        <f t="shared" si="7"/>
        <v>0.6750789049835646</v>
      </c>
      <c r="F43" s="2">
        <f>E43-$E$5</f>
        <v>-4.0921095016435483E-2</v>
      </c>
      <c r="G43">
        <f t="shared" si="8"/>
        <v>-4.0921095016435487</v>
      </c>
    </row>
    <row r="44" spans="1:8" x14ac:dyDescent="0.25">
      <c r="A44" t="s">
        <v>7</v>
      </c>
      <c r="B44">
        <v>0.745</v>
      </c>
      <c r="C44">
        <v>0.749</v>
      </c>
      <c r="D44">
        <v>0.74911420071885138</v>
      </c>
      <c r="E44">
        <f t="shared" si="7"/>
        <v>0.74770473357295053</v>
      </c>
      <c r="F44" s="2">
        <f>E44-$E$6</f>
        <v>-1.1628599760382774E-2</v>
      </c>
      <c r="G44">
        <f t="shared" si="8"/>
        <v>-1.1628599760382774</v>
      </c>
    </row>
    <row r="45" spans="1:8" x14ac:dyDescent="0.25">
      <c r="A45" t="s">
        <v>8</v>
      </c>
      <c r="B45">
        <v>0.113</v>
      </c>
      <c r="C45">
        <v>0.12</v>
      </c>
      <c r="D45">
        <v>0.124968967134149</v>
      </c>
      <c r="E45">
        <f t="shared" si="7"/>
        <v>0.11932298904471633</v>
      </c>
      <c r="F45" s="2">
        <f>E45-$E$7</f>
        <v>-1.2010344288616998E-2</v>
      </c>
      <c r="G45">
        <f t="shared" si="8"/>
        <v>-1.2010344288616999</v>
      </c>
    </row>
    <row r="46" spans="1:8" x14ac:dyDescent="0.25">
      <c r="A46" t="s">
        <v>9</v>
      </c>
      <c r="B46">
        <v>0.55300000000000005</v>
      </c>
      <c r="C46">
        <v>0.56599999999999995</v>
      </c>
      <c r="D46">
        <v>0.58041485626270672</v>
      </c>
      <c r="E46">
        <f t="shared" si="7"/>
        <v>0.56647161875423557</v>
      </c>
      <c r="F46" s="2">
        <f>E46-$E$8</f>
        <v>-1.9195047912431096E-2</v>
      </c>
      <c r="G46">
        <f t="shared" si="8"/>
        <v>-1.9195047912431096</v>
      </c>
    </row>
    <row r="47" spans="1:8" x14ac:dyDescent="0.25">
      <c r="A47" t="s">
        <v>10</v>
      </c>
      <c r="B47">
        <v>0.23899999999999999</v>
      </c>
      <c r="C47">
        <v>0.23799999999999999</v>
      </c>
      <c r="D47">
        <v>0.25186781609195402</v>
      </c>
      <c r="E47">
        <f t="shared" si="7"/>
        <v>0.24295593869731799</v>
      </c>
      <c r="F47" s="2">
        <f>E47-$E$9</f>
        <v>-6.5044061302682005E-2</v>
      </c>
      <c r="G47">
        <f t="shared" si="8"/>
        <v>-6.5044061302682001</v>
      </c>
    </row>
    <row r="48" spans="1:8" x14ac:dyDescent="0.25">
      <c r="A48" t="s">
        <v>11</v>
      </c>
      <c r="B48">
        <v>0.38800000000000001</v>
      </c>
      <c r="C48">
        <v>0.39700000000000002</v>
      </c>
      <c r="D48">
        <v>0.40517241379310343</v>
      </c>
      <c r="E48">
        <f t="shared" si="7"/>
        <v>0.39672413793103445</v>
      </c>
      <c r="F48" s="2">
        <f>E48-$E$10</f>
        <v>-1.4942528735632232E-2</v>
      </c>
      <c r="G48">
        <f t="shared" si="8"/>
        <v>-1.4942528735632232</v>
      </c>
    </row>
    <row r="49" spans="1:6" x14ac:dyDescent="0.25">
      <c r="A49" t="s">
        <v>12</v>
      </c>
      <c r="B49" s="1">
        <v>11.717000000000001</v>
      </c>
      <c r="C49" s="1">
        <v>25.544</v>
      </c>
      <c r="D49">
        <v>14.020321907668279</v>
      </c>
      <c r="E49">
        <f t="shared" si="7"/>
        <v>17.093773969222763</v>
      </c>
      <c r="F49" s="2">
        <f>E49-$E$11</f>
        <v>-14.673226030777233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3B57-AFAE-4268-833F-1978FDE50B6B}">
  <dimension ref="A1:K53"/>
  <sheetViews>
    <sheetView topLeftCell="A7" workbookViewId="0">
      <selection activeCell="D14" sqref="D14"/>
    </sheetView>
  </sheetViews>
  <sheetFormatPr baseColWidth="10" defaultRowHeight="15" x14ac:dyDescent="0.25"/>
  <cols>
    <col min="1" max="1" width="18.85546875" bestFit="1" customWidth="1"/>
  </cols>
  <sheetData>
    <row r="1" spans="1:5" x14ac:dyDescent="0.25">
      <c r="A1">
        <v>1250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0.6948605865592562</v>
      </c>
      <c r="C3">
        <v>0.6795021277889991</v>
      </c>
      <c r="D3">
        <v>0.69120162991966927</v>
      </c>
      <c r="E3">
        <f>AVERAGE(B3:D3)</f>
        <v>0.68852144808930815</v>
      </c>
    </row>
    <row r="4" spans="1:5" x14ac:dyDescent="0.25">
      <c r="A4" t="s">
        <v>5</v>
      </c>
      <c r="B4">
        <v>0.61038074712643686</v>
      </c>
      <c r="C4">
        <v>0.60628591954023003</v>
      </c>
      <c r="D4">
        <v>0.62047413793103445</v>
      </c>
      <c r="E4">
        <f t="shared" ref="E4:E17" si="0">AVERAGE(B4:D4)</f>
        <v>0.61238026819923375</v>
      </c>
    </row>
    <row r="5" spans="1:5" x14ac:dyDescent="0.25">
      <c r="A5" t="s">
        <v>6</v>
      </c>
      <c r="B5">
        <v>0.58406369729270291</v>
      </c>
      <c r="C5">
        <v>0.5693366857997334</v>
      </c>
      <c r="D5">
        <v>0.58335727966791839</v>
      </c>
      <c r="E5">
        <f t="shared" si="0"/>
        <v>0.57891922092011827</v>
      </c>
    </row>
    <row r="6" spans="1:5" x14ac:dyDescent="0.25">
      <c r="A6" t="s">
        <v>7</v>
      </c>
      <c r="B6">
        <v>0.76445431250814044</v>
      </c>
      <c r="C6">
        <v>0.76445431250814044</v>
      </c>
      <c r="D6">
        <v>0.76445431250814044</v>
      </c>
      <c r="E6">
        <f t="shared" si="0"/>
        <v>0.76445431250814044</v>
      </c>
    </row>
    <row r="7" spans="1:5" x14ac:dyDescent="0.25">
      <c r="A7" t="s">
        <v>8</v>
      </c>
      <c r="B7">
        <v>0.24970583861541903</v>
      </c>
      <c r="C7">
        <v>0.25233470207780773</v>
      </c>
      <c r="D7">
        <v>0.25556369724652511</v>
      </c>
      <c r="E7">
        <f t="shared" si="0"/>
        <v>0.25253474597991726</v>
      </c>
    </row>
    <row r="8" spans="1:5" x14ac:dyDescent="0.25">
      <c r="A8" t="s">
        <v>9</v>
      </c>
      <c r="B8">
        <v>0.62712365568616835</v>
      </c>
      <c r="C8">
        <v>0.60685930765855134</v>
      </c>
      <c r="D8">
        <v>0.59911507491363925</v>
      </c>
      <c r="E8">
        <f t="shared" si="0"/>
        <v>0.61103267941945294</v>
      </c>
    </row>
    <row r="9" spans="1:5" x14ac:dyDescent="0.25">
      <c r="A9" t="s">
        <v>10</v>
      </c>
      <c r="B9">
        <v>0.33721264367816084</v>
      </c>
      <c r="C9">
        <v>0.32859195402298852</v>
      </c>
      <c r="D9">
        <v>0.33721264367816084</v>
      </c>
      <c r="E9">
        <f t="shared" si="0"/>
        <v>0.33433908045977007</v>
      </c>
    </row>
    <row r="10" spans="1:5" x14ac:dyDescent="0.25">
      <c r="A10" t="s">
        <v>11</v>
      </c>
      <c r="B10">
        <v>0.48275862068965519</v>
      </c>
      <c r="C10">
        <v>0.47413793103448282</v>
      </c>
      <c r="D10">
        <v>0.48275862068965519</v>
      </c>
      <c r="E10">
        <f t="shared" si="0"/>
        <v>0.47988505747126436</v>
      </c>
    </row>
    <row r="11" spans="1:5" x14ac:dyDescent="0.25">
      <c r="A11" t="s">
        <v>12</v>
      </c>
      <c r="B11" s="1">
        <v>11.411141514778137</v>
      </c>
      <c r="C11">
        <v>11.46074738584716</v>
      </c>
      <c r="D11">
        <v>12.083573100895718</v>
      </c>
      <c r="E11">
        <f t="shared" si="0"/>
        <v>11.651820667173672</v>
      </c>
    </row>
    <row r="12" spans="1:5" x14ac:dyDescent="0.25">
      <c r="A12" t="s">
        <v>21</v>
      </c>
      <c r="B12">
        <v>0.24375483393669131</v>
      </c>
      <c r="C12">
        <v>0.24375483393669131</v>
      </c>
      <c r="D12">
        <v>0.24375483393669131</v>
      </c>
      <c r="E12">
        <f t="shared" si="0"/>
        <v>0.24375483393669131</v>
      </c>
    </row>
    <row r="13" spans="1:5" x14ac:dyDescent="0.25">
      <c r="A13" t="s">
        <v>22</v>
      </c>
      <c r="B13">
        <v>0.18719576299190521</v>
      </c>
      <c r="C13">
        <v>0.18719576299190521</v>
      </c>
      <c r="D13">
        <v>0.18719576299190521</v>
      </c>
      <c r="E13">
        <f t="shared" si="0"/>
        <v>0.18719576299190521</v>
      </c>
    </row>
    <row r="14" spans="1:5" x14ac:dyDescent="0.25">
      <c r="A14" t="s">
        <v>23</v>
      </c>
      <c r="B14">
        <v>0.30106881260871893</v>
      </c>
      <c r="C14">
        <v>0.30106881260871893</v>
      </c>
      <c r="D14">
        <v>0.30106881260871893</v>
      </c>
      <c r="E14">
        <f t="shared" si="0"/>
        <v>0.30106881260871893</v>
      </c>
    </row>
    <row r="15" spans="1:5" x14ac:dyDescent="0.25">
      <c r="A15" t="s">
        <v>24</v>
      </c>
      <c r="B15">
        <v>286147</v>
      </c>
      <c r="C15">
        <v>276425</v>
      </c>
      <c r="D15">
        <v>276425</v>
      </c>
      <c r="E15">
        <f t="shared" si="0"/>
        <v>279665.66666666669</v>
      </c>
    </row>
    <row r="16" spans="1:5" x14ac:dyDescent="0.25">
      <c r="A16" t="s">
        <v>25</v>
      </c>
      <c r="B16">
        <v>259700</v>
      </c>
      <c r="C16">
        <v>250900</v>
      </c>
      <c r="D16">
        <v>250900</v>
      </c>
      <c r="E16">
        <f t="shared" si="0"/>
        <v>253833.33333333334</v>
      </c>
    </row>
    <row r="17" spans="1:11" x14ac:dyDescent="0.25">
      <c r="A17" t="s">
        <v>26</v>
      </c>
      <c r="B17">
        <v>26447</v>
      </c>
      <c r="C17">
        <f>C15-C16</f>
        <v>25525</v>
      </c>
      <c r="D17">
        <v>25525</v>
      </c>
      <c r="E17">
        <f t="shared" si="0"/>
        <v>25832.333333333332</v>
      </c>
    </row>
    <row r="19" spans="1:11" x14ac:dyDescent="0.25">
      <c r="A19">
        <v>1500</v>
      </c>
      <c r="B19">
        <v>300</v>
      </c>
    </row>
    <row r="20" spans="1:11" x14ac:dyDescent="0.25">
      <c r="B20" t="s">
        <v>0</v>
      </c>
      <c r="C20" t="s">
        <v>1</v>
      </c>
      <c r="D20" t="s">
        <v>2</v>
      </c>
      <c r="E20" t="s">
        <v>3</v>
      </c>
      <c r="F20" t="s">
        <v>27</v>
      </c>
      <c r="G20" t="s">
        <v>14</v>
      </c>
      <c r="I20" t="s">
        <v>28</v>
      </c>
      <c r="J20" t="s">
        <v>14</v>
      </c>
    </row>
    <row r="21" spans="1:11" x14ac:dyDescent="0.25">
      <c r="A21" t="s">
        <v>4</v>
      </c>
      <c r="B21">
        <v>0.66156887149880894</v>
      </c>
      <c r="C21">
        <v>0.64893983549723122</v>
      </c>
      <c r="D21">
        <v>0.67855384785151796</v>
      </c>
      <c r="E21">
        <f>AVERAGE(B21:D21)</f>
        <v>0.66302085161585278</v>
      </c>
      <c r="F21">
        <f>E21-E3</f>
        <v>-2.5500596473455373E-2</v>
      </c>
      <c r="G21">
        <f>F21*100</f>
        <v>-2.5500596473455373</v>
      </c>
      <c r="H21" t="s">
        <v>16</v>
      </c>
      <c r="I21">
        <f>E21-E39</f>
        <v>3.0136476105413368E-2</v>
      </c>
      <c r="J21">
        <f>I21*100</f>
        <v>3.0136476105413368</v>
      </c>
      <c r="K21" t="s">
        <v>17</v>
      </c>
    </row>
    <row r="22" spans="1:11" x14ac:dyDescent="0.25">
      <c r="A22" t="s">
        <v>5</v>
      </c>
      <c r="B22">
        <v>0.62444581280788181</v>
      </c>
      <c r="C22">
        <v>0.6359400656814449</v>
      </c>
      <c r="D22">
        <v>0.63349753694581279</v>
      </c>
      <c r="E22">
        <f t="shared" ref="E22:E35" si="1">AVERAGE(B22:D22)</f>
        <v>0.63129447181171316</v>
      </c>
      <c r="F22">
        <f t="shared" ref="F22:F35" si="2">E22-E4</f>
        <v>1.8914203612479419E-2</v>
      </c>
      <c r="G22">
        <f t="shared" ref="G22:G32" si="3">F22*100</f>
        <v>1.8914203612479419</v>
      </c>
      <c r="H22" t="s">
        <v>17</v>
      </c>
      <c r="I22">
        <f t="shared" ref="I22:I35" si="4">E22-E40</f>
        <v>-3.4325396825396925E-2</v>
      </c>
      <c r="J22">
        <f t="shared" ref="J22:J32" si="5">I22*100</f>
        <v>-3.4325396825396925</v>
      </c>
      <c r="K22" t="s">
        <v>16</v>
      </c>
    </row>
    <row r="23" spans="1:11" x14ac:dyDescent="0.25">
      <c r="A23" t="s">
        <v>6</v>
      </c>
      <c r="B23">
        <v>0.62411398464630674</v>
      </c>
      <c r="C23">
        <v>0.63705699230932178</v>
      </c>
      <c r="D23">
        <v>0.63023227966371942</v>
      </c>
      <c r="E23">
        <f t="shared" si="1"/>
        <v>0.63046775220644935</v>
      </c>
      <c r="F23">
        <f t="shared" si="2"/>
        <v>5.1548531286331079E-2</v>
      </c>
      <c r="G23">
        <f t="shared" si="3"/>
        <v>5.1548531286331079</v>
      </c>
      <c r="H23" t="s">
        <v>17</v>
      </c>
      <c r="I23">
        <f t="shared" si="4"/>
        <v>2.7009134319842976E-2</v>
      </c>
      <c r="J23">
        <f t="shared" si="5"/>
        <v>2.7009134319842976</v>
      </c>
      <c r="K23" t="s">
        <v>17</v>
      </c>
    </row>
    <row r="24" spans="1:11" x14ac:dyDescent="0.25">
      <c r="A24" t="s">
        <v>7</v>
      </c>
      <c r="B24">
        <v>0.75927595016951388</v>
      </c>
      <c r="C24">
        <v>0.75921113559346654</v>
      </c>
      <c r="D24">
        <v>0.7619412322559872</v>
      </c>
      <c r="E24">
        <f t="shared" si="1"/>
        <v>0.76014277267298924</v>
      </c>
      <c r="F24">
        <f t="shared" si="2"/>
        <v>-4.3115398351512013E-3</v>
      </c>
      <c r="G24">
        <f t="shared" si="3"/>
        <v>-0.43115398351512013</v>
      </c>
      <c r="I24">
        <f t="shared" si="4"/>
        <v>6.8738746768439718E-3</v>
      </c>
      <c r="J24">
        <f t="shared" si="5"/>
        <v>0.68738746768439718</v>
      </c>
    </row>
    <row r="25" spans="1:11" x14ac:dyDescent="0.25">
      <c r="A25" t="s">
        <v>8</v>
      </c>
      <c r="B25">
        <v>0.27292447328324371</v>
      </c>
      <c r="C25">
        <v>0.27091359774604223</v>
      </c>
      <c r="D25">
        <v>0.27978722808894224</v>
      </c>
      <c r="E25">
        <f t="shared" si="1"/>
        <v>0.27454176637274275</v>
      </c>
      <c r="F25">
        <f t="shared" si="2"/>
        <v>2.2007020392825483E-2</v>
      </c>
      <c r="G25">
        <f t="shared" si="3"/>
        <v>2.2007020392825485</v>
      </c>
      <c r="H25" t="s">
        <v>17</v>
      </c>
      <c r="I25">
        <f t="shared" si="4"/>
        <v>2.2588670506993092E-2</v>
      </c>
      <c r="J25">
        <f t="shared" si="5"/>
        <v>2.2588670506993092</v>
      </c>
      <c r="K25" t="s">
        <v>17</v>
      </c>
    </row>
    <row r="26" spans="1:11" x14ac:dyDescent="0.25">
      <c r="A26" t="s">
        <v>9</v>
      </c>
      <c r="B26">
        <v>0.59892572244511921</v>
      </c>
      <c r="C26">
        <v>0.59085822927043607</v>
      </c>
      <c r="D26">
        <v>0.63535731636781256</v>
      </c>
      <c r="E26">
        <f t="shared" si="1"/>
        <v>0.60838042269445591</v>
      </c>
      <c r="F26">
        <f t="shared" si="2"/>
        <v>-2.6522567249970264E-3</v>
      </c>
      <c r="G26">
        <f t="shared" si="3"/>
        <v>-0.26522567249970264</v>
      </c>
      <c r="I26">
        <f t="shared" si="4"/>
        <v>-1.5621164082773253E-2</v>
      </c>
      <c r="J26">
        <f t="shared" si="5"/>
        <v>-1.5621164082773253</v>
      </c>
      <c r="K26" t="s">
        <v>16</v>
      </c>
    </row>
    <row r="27" spans="1:11" x14ac:dyDescent="0.25">
      <c r="A27" t="s">
        <v>10</v>
      </c>
      <c r="B27">
        <v>0.3466954022988506</v>
      </c>
      <c r="C27">
        <v>0.34885057471264369</v>
      </c>
      <c r="D27">
        <v>0.3603448275862069</v>
      </c>
      <c r="E27">
        <f t="shared" si="1"/>
        <v>0.35196360153256706</v>
      </c>
      <c r="F27">
        <f t="shared" si="2"/>
        <v>1.7624521072796995E-2</v>
      </c>
      <c r="G27">
        <f t="shared" si="3"/>
        <v>1.7624521072796995</v>
      </c>
      <c r="H27" t="s">
        <v>17</v>
      </c>
      <c r="I27">
        <f t="shared" si="4"/>
        <v>9.1762452107279679E-2</v>
      </c>
      <c r="J27">
        <f t="shared" si="5"/>
        <v>9.1762452107279682</v>
      </c>
      <c r="K27" t="s">
        <v>17</v>
      </c>
    </row>
    <row r="28" spans="1:11" x14ac:dyDescent="0.25">
      <c r="A28" t="s">
        <v>11</v>
      </c>
      <c r="B28">
        <v>0.50862068965517238</v>
      </c>
      <c r="C28">
        <v>0.51724137931034486</v>
      </c>
      <c r="D28">
        <v>0.52586206896551724</v>
      </c>
      <c r="E28">
        <f t="shared" si="1"/>
        <v>0.51724137931034486</v>
      </c>
      <c r="F28">
        <f t="shared" si="2"/>
        <v>3.7356321839080497E-2</v>
      </c>
      <c r="G28">
        <f t="shared" si="3"/>
        <v>3.7356321839080495</v>
      </c>
      <c r="H28" t="s">
        <v>17</v>
      </c>
      <c r="I28">
        <f t="shared" si="4"/>
        <v>0.10632183908045978</v>
      </c>
      <c r="J28">
        <f t="shared" si="5"/>
        <v>10.632183908045977</v>
      </c>
      <c r="K28" t="s">
        <v>17</v>
      </c>
    </row>
    <row r="29" spans="1:11" x14ac:dyDescent="0.25">
      <c r="A29" t="s">
        <v>12</v>
      </c>
      <c r="B29">
        <v>12.829803801816089</v>
      </c>
      <c r="C29" s="1">
        <v>13.84695393052594</v>
      </c>
      <c r="D29">
        <v>12.0599361699203</v>
      </c>
      <c r="E29">
        <f t="shared" si="1"/>
        <v>12.91223130075411</v>
      </c>
      <c r="F29">
        <f t="shared" si="2"/>
        <v>1.2604106335804381</v>
      </c>
      <c r="G29">
        <f>F29</f>
        <v>1.2604106335804381</v>
      </c>
      <c r="H29" t="s">
        <v>16</v>
      </c>
      <c r="I29">
        <f t="shared" si="4"/>
        <v>1.4224990633712427</v>
      </c>
      <c r="J29">
        <f>I29</f>
        <v>1.4224990633712427</v>
      </c>
    </row>
    <row r="30" spans="1:11" x14ac:dyDescent="0.25">
      <c r="A30" t="s">
        <v>21</v>
      </c>
      <c r="B30">
        <v>0.24309878051280981</v>
      </c>
      <c r="C30">
        <v>0.23840367794036871</v>
      </c>
      <c r="D30">
        <v>0.24638800323009491</v>
      </c>
      <c r="E30">
        <f t="shared" si="1"/>
        <v>0.24263015389442447</v>
      </c>
      <c r="F30">
        <f t="shared" si="2"/>
        <v>-1.1246800422668457E-3</v>
      </c>
      <c r="G30">
        <f t="shared" si="3"/>
        <v>-0.11246800422668457</v>
      </c>
      <c r="I30">
        <f t="shared" si="4"/>
        <v>1.1235088109970204E-2</v>
      </c>
      <c r="J30">
        <f t="shared" si="5"/>
        <v>1.1235088109970204</v>
      </c>
      <c r="K30" t="s">
        <v>17</v>
      </c>
    </row>
    <row r="31" spans="1:11" x14ac:dyDescent="0.25">
      <c r="A31" t="s">
        <v>22</v>
      </c>
      <c r="B31">
        <v>0.19543476402759549</v>
      </c>
      <c r="C31">
        <v>0.18611909449100489</v>
      </c>
      <c r="D31">
        <v>0.19965597987174991</v>
      </c>
      <c r="E31">
        <f t="shared" si="1"/>
        <v>0.19373661279678342</v>
      </c>
      <c r="F31">
        <f t="shared" si="2"/>
        <v>6.5408498048782071E-3</v>
      </c>
      <c r="G31">
        <f t="shared" si="3"/>
        <v>0.65408498048782071</v>
      </c>
      <c r="I31">
        <f t="shared" si="4"/>
        <v>1.3529345393180819E-2</v>
      </c>
      <c r="J31">
        <f t="shared" si="5"/>
        <v>1.3529345393180821</v>
      </c>
      <c r="K31" t="s">
        <v>17</v>
      </c>
    </row>
    <row r="32" spans="1:11" x14ac:dyDescent="0.25">
      <c r="A32" t="s">
        <v>23</v>
      </c>
      <c r="B32">
        <v>0.29144790768623352</v>
      </c>
      <c r="C32">
        <v>0.29186853766441351</v>
      </c>
      <c r="D32">
        <v>0.2941862940788269</v>
      </c>
      <c r="E32">
        <f t="shared" si="1"/>
        <v>0.29250091314315796</v>
      </c>
      <c r="F32">
        <f t="shared" si="2"/>
        <v>-8.5678994655609686E-3</v>
      </c>
      <c r="G32">
        <f t="shared" si="3"/>
        <v>-0.85678994655609686</v>
      </c>
      <c r="I32">
        <f t="shared" si="4"/>
        <v>9.7643733024597723E-3</v>
      </c>
      <c r="J32">
        <f t="shared" si="5"/>
        <v>0.97643733024597723</v>
      </c>
      <c r="K32" t="s">
        <v>17</v>
      </c>
    </row>
    <row r="33" spans="1:9" x14ac:dyDescent="0.25">
      <c r="A33" t="s">
        <v>24</v>
      </c>
      <c r="B33">
        <v>284126</v>
      </c>
      <c r="C33" s="1">
        <v>276230</v>
      </c>
      <c r="D33">
        <v>275657</v>
      </c>
      <c r="E33">
        <f t="shared" si="1"/>
        <v>278671</v>
      </c>
      <c r="F33">
        <f t="shared" si="2"/>
        <v>-994.66666666668607</v>
      </c>
      <c r="I33">
        <f t="shared" si="4"/>
        <v>-3729</v>
      </c>
    </row>
    <row r="34" spans="1:9" x14ac:dyDescent="0.25">
      <c r="A34" t="s">
        <v>25</v>
      </c>
      <c r="B34">
        <v>258300</v>
      </c>
      <c r="C34" s="1">
        <v>250500</v>
      </c>
      <c r="D34">
        <v>250700</v>
      </c>
      <c r="E34">
        <f t="shared" si="1"/>
        <v>253166.66666666666</v>
      </c>
      <c r="F34">
        <f t="shared" si="2"/>
        <v>-666.66666666668607</v>
      </c>
      <c r="I34">
        <f t="shared" si="4"/>
        <v>-2433.333333333343</v>
      </c>
    </row>
    <row r="35" spans="1:9" x14ac:dyDescent="0.25">
      <c r="A35" t="s">
        <v>26</v>
      </c>
      <c r="B35">
        <v>25826</v>
      </c>
      <c r="C35" s="1">
        <v>25730</v>
      </c>
      <c r="D35">
        <v>24957</v>
      </c>
      <c r="E35">
        <f t="shared" si="1"/>
        <v>25504.333333333332</v>
      </c>
      <c r="F35">
        <f t="shared" si="2"/>
        <v>-328</v>
      </c>
      <c r="I35">
        <f t="shared" si="4"/>
        <v>-1295.6666666666679</v>
      </c>
    </row>
    <row r="37" spans="1:9" x14ac:dyDescent="0.25">
      <c r="A37">
        <v>1750</v>
      </c>
      <c r="B37">
        <v>300</v>
      </c>
    </row>
    <row r="38" spans="1:9" x14ac:dyDescent="0.25">
      <c r="B38" t="s">
        <v>0</v>
      </c>
      <c r="C38" t="s">
        <v>1</v>
      </c>
      <c r="D38" t="s">
        <v>2</v>
      </c>
      <c r="E38" t="s">
        <v>3</v>
      </c>
    </row>
    <row r="39" spans="1:9" x14ac:dyDescent="0.25">
      <c r="A39" t="s">
        <v>4</v>
      </c>
      <c r="B39">
        <v>0.62963137009189651</v>
      </c>
      <c r="C39">
        <v>0.62900901409001886</v>
      </c>
      <c r="D39">
        <v>0.64001274234940275</v>
      </c>
      <c r="E39">
        <f>AVERAGE(B39:D39)</f>
        <v>0.63288437551043941</v>
      </c>
      <c r="F39" s="2"/>
    </row>
    <row r="40" spans="1:9" x14ac:dyDescent="0.25">
      <c r="A40" t="s">
        <v>5</v>
      </c>
      <c r="B40">
        <v>0.6554187192118226</v>
      </c>
      <c r="C40">
        <v>0.656568144499179</v>
      </c>
      <c r="D40">
        <v>0.68487274220032857</v>
      </c>
      <c r="E40">
        <f t="shared" ref="E40:E53" si="6">AVERAGE(B40:D40)</f>
        <v>0.66561986863711009</v>
      </c>
      <c r="F40" s="2"/>
    </row>
    <row r="41" spans="1:9" x14ac:dyDescent="0.25">
      <c r="A41" t="s">
        <v>6</v>
      </c>
      <c r="B41">
        <v>0.58686542143005738</v>
      </c>
      <c r="C41">
        <v>0.61296695399601808</v>
      </c>
      <c r="D41">
        <v>0.61054347823374377</v>
      </c>
      <c r="E41">
        <f t="shared" si="6"/>
        <v>0.60345861788660637</v>
      </c>
      <c r="F41" s="2"/>
    </row>
    <row r="42" spans="1:9" x14ac:dyDescent="0.25">
      <c r="A42" t="s">
        <v>7</v>
      </c>
      <c r="B42">
        <v>0.75326889799614516</v>
      </c>
      <c r="C42">
        <v>0.75326889799614549</v>
      </c>
      <c r="D42">
        <v>0.75326889799614549</v>
      </c>
      <c r="E42">
        <f t="shared" si="6"/>
        <v>0.75326889799614527</v>
      </c>
      <c r="F42" s="2"/>
    </row>
    <row r="43" spans="1:9" x14ac:dyDescent="0.25">
      <c r="A43" t="s">
        <v>8</v>
      </c>
      <c r="B43">
        <v>0.24553750941061361</v>
      </c>
      <c r="C43">
        <v>0.26164240439793229</v>
      </c>
      <c r="D43">
        <v>0.24867937378870311</v>
      </c>
      <c r="E43">
        <f t="shared" si="6"/>
        <v>0.25195309586574965</v>
      </c>
      <c r="F43" s="2"/>
    </row>
    <row r="44" spans="1:9" x14ac:dyDescent="0.25">
      <c r="A44" t="s">
        <v>9</v>
      </c>
      <c r="B44">
        <v>0.60933495101680679</v>
      </c>
      <c r="C44">
        <v>0.63147614145716247</v>
      </c>
      <c r="D44">
        <v>0.63119366785771835</v>
      </c>
      <c r="E44">
        <f t="shared" si="6"/>
        <v>0.62400158677722917</v>
      </c>
      <c r="F44" s="2"/>
    </row>
    <row r="45" spans="1:9" x14ac:dyDescent="0.25">
      <c r="A45" t="s">
        <v>10</v>
      </c>
      <c r="B45">
        <v>0.26307471264367821</v>
      </c>
      <c r="C45">
        <v>0.25445402298850572</v>
      </c>
      <c r="D45">
        <v>0.26307471264367821</v>
      </c>
      <c r="E45">
        <f t="shared" si="6"/>
        <v>0.26020114942528738</v>
      </c>
      <c r="F45" s="2"/>
    </row>
    <row r="46" spans="1:9" x14ac:dyDescent="0.25">
      <c r="A46" t="s">
        <v>11</v>
      </c>
      <c r="B46">
        <v>0.41379310344827591</v>
      </c>
      <c r="C46">
        <v>0.40517241379310343</v>
      </c>
      <c r="D46">
        <v>0.41379310344827591</v>
      </c>
      <c r="E46">
        <f t="shared" si="6"/>
        <v>0.41091954022988508</v>
      </c>
      <c r="F46" s="2"/>
    </row>
    <row r="47" spans="1:9" x14ac:dyDescent="0.25">
      <c r="A47" t="s">
        <v>12</v>
      </c>
      <c r="B47" s="1">
        <v>11.927592316578171</v>
      </c>
      <c r="C47" s="1">
        <v>11.35648157267735</v>
      </c>
      <c r="D47">
        <v>11.18512282289308</v>
      </c>
      <c r="E47">
        <f t="shared" si="6"/>
        <v>11.489732237382867</v>
      </c>
      <c r="F47" s="2"/>
    </row>
    <row r="48" spans="1:9" x14ac:dyDescent="0.25">
      <c r="A48" t="s">
        <v>21</v>
      </c>
      <c r="B48">
        <v>0.23139506578445429</v>
      </c>
      <c r="C48">
        <v>0.23139506578445429</v>
      </c>
      <c r="D48">
        <v>0.23139506578445429</v>
      </c>
      <c r="E48">
        <f t="shared" si="6"/>
        <v>0.23139506578445426</v>
      </c>
    </row>
    <row r="49" spans="1:5" x14ac:dyDescent="0.25">
      <c r="A49" t="s">
        <v>22</v>
      </c>
      <c r="B49">
        <v>0.1802072674036026</v>
      </c>
      <c r="C49">
        <v>0.1802072674036026</v>
      </c>
      <c r="D49">
        <v>0.1802072674036026</v>
      </c>
      <c r="E49">
        <f t="shared" si="6"/>
        <v>0.1802072674036026</v>
      </c>
    </row>
    <row r="50" spans="1:5" x14ac:dyDescent="0.25">
      <c r="A50" t="s">
        <v>23</v>
      </c>
      <c r="B50">
        <v>0.28273653984069819</v>
      </c>
      <c r="C50">
        <v>0.28273653984069819</v>
      </c>
      <c r="D50">
        <v>0.28273653984069819</v>
      </c>
      <c r="E50">
        <f t="shared" si="6"/>
        <v>0.28273653984069819</v>
      </c>
    </row>
    <row r="51" spans="1:5" x14ac:dyDescent="0.25">
      <c r="A51" t="s">
        <v>24</v>
      </c>
      <c r="B51">
        <v>282400</v>
      </c>
      <c r="C51">
        <v>282400</v>
      </c>
      <c r="D51">
        <v>282400</v>
      </c>
      <c r="E51">
        <f t="shared" si="6"/>
        <v>282400</v>
      </c>
    </row>
    <row r="52" spans="1:5" x14ac:dyDescent="0.25">
      <c r="A52" t="s">
        <v>25</v>
      </c>
      <c r="B52">
        <v>255600</v>
      </c>
      <c r="C52">
        <v>255600</v>
      </c>
      <c r="D52">
        <v>255600</v>
      </c>
      <c r="E52">
        <f t="shared" si="6"/>
        <v>255600</v>
      </c>
    </row>
    <row r="53" spans="1:5" x14ac:dyDescent="0.25">
      <c r="A53" t="s">
        <v>26</v>
      </c>
      <c r="B53">
        <v>26800</v>
      </c>
      <c r="C53">
        <v>26800</v>
      </c>
      <c r="D53">
        <v>26800</v>
      </c>
      <c r="E53">
        <f t="shared" si="6"/>
        <v>26800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67C3-91F6-4352-B487-1EEB3C8D4A90}">
  <dimension ref="A1:H37"/>
  <sheetViews>
    <sheetView workbookViewId="0">
      <selection sqref="A1:E11"/>
    </sheetView>
  </sheetViews>
  <sheetFormatPr baseColWidth="10" defaultRowHeight="15" x14ac:dyDescent="0.25"/>
  <sheetData>
    <row r="1" spans="1:8" x14ac:dyDescent="0.25">
      <c r="A1">
        <v>1500</v>
      </c>
      <c r="B1">
        <v>300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</row>
    <row r="3" spans="1:8" x14ac:dyDescent="0.25">
      <c r="A3" t="s">
        <v>4</v>
      </c>
      <c r="B3">
        <v>0.63900000000000001</v>
      </c>
      <c r="C3">
        <v>0.63200000000000001</v>
      </c>
      <c r="D3">
        <v>0.63785624098124105</v>
      </c>
      <c r="E3">
        <f>AVERAGE(B3:D3)</f>
        <v>0.63628541366041358</v>
      </c>
    </row>
    <row r="4" spans="1:8" x14ac:dyDescent="0.25">
      <c r="A4" t="s">
        <v>5</v>
      </c>
      <c r="B4">
        <v>0.69699999999999995</v>
      </c>
      <c r="C4">
        <v>0.69899999999999995</v>
      </c>
      <c r="D4">
        <v>0.68654244306418222</v>
      </c>
      <c r="E4">
        <f t="shared" ref="E4:E11" si="0">AVERAGE(B4:D4)</f>
        <v>0.69418081435472734</v>
      </c>
    </row>
    <row r="5" spans="1:8" x14ac:dyDescent="0.25">
      <c r="A5" t="s">
        <v>6</v>
      </c>
      <c r="B5">
        <v>0.72499999999999998</v>
      </c>
      <c r="C5">
        <v>0.71299999999999997</v>
      </c>
      <c r="D5">
        <v>0.70456521736496258</v>
      </c>
      <c r="E5">
        <f t="shared" si="0"/>
        <v>0.71418840578832088</v>
      </c>
    </row>
    <row r="6" spans="1:8" x14ac:dyDescent="0.25">
      <c r="A6" t="s">
        <v>7</v>
      </c>
      <c r="B6">
        <v>0.75600000000000001</v>
      </c>
      <c r="C6">
        <v>0.76400000000000001</v>
      </c>
      <c r="D6">
        <v>0.76363038802542538</v>
      </c>
      <c r="E6">
        <f t="shared" si="0"/>
        <v>0.76121012934180854</v>
      </c>
    </row>
    <row r="7" spans="1:8" x14ac:dyDescent="0.25">
      <c r="A7" t="s">
        <v>8</v>
      </c>
      <c r="B7">
        <v>0.12</v>
      </c>
      <c r="C7">
        <v>0.11600000000000001</v>
      </c>
      <c r="D7">
        <v>0.12082725581784701</v>
      </c>
      <c r="E7">
        <f t="shared" si="0"/>
        <v>0.11894241860594901</v>
      </c>
    </row>
    <row r="8" spans="1:8" x14ac:dyDescent="0.25">
      <c r="A8" t="s">
        <v>9</v>
      </c>
      <c r="B8">
        <v>0.54300000000000004</v>
      </c>
      <c r="C8">
        <v>0.53500000000000003</v>
      </c>
      <c r="D8">
        <v>0.54221877121649986</v>
      </c>
      <c r="E8">
        <f t="shared" si="0"/>
        <v>0.54007292373883331</v>
      </c>
    </row>
    <row r="9" spans="1:8" x14ac:dyDescent="0.25">
      <c r="A9" t="s">
        <v>10</v>
      </c>
      <c r="B9">
        <v>0.34899999999999998</v>
      </c>
      <c r="C9">
        <v>0.311</v>
      </c>
      <c r="D9">
        <v>0.31057971014492758</v>
      </c>
      <c r="E9">
        <f t="shared" si="0"/>
        <v>0.32352657004830915</v>
      </c>
    </row>
    <row r="10" spans="1:8" x14ac:dyDescent="0.25">
      <c r="A10" t="s">
        <v>11</v>
      </c>
      <c r="B10">
        <v>0.52600000000000002</v>
      </c>
      <c r="C10">
        <v>0.46100000000000002</v>
      </c>
      <c r="D10">
        <v>0.46086956521739131</v>
      </c>
      <c r="E10">
        <f t="shared" si="0"/>
        <v>0.48262318840579715</v>
      </c>
    </row>
    <row r="11" spans="1:8" x14ac:dyDescent="0.25">
      <c r="A11" t="s">
        <v>12</v>
      </c>
      <c r="B11">
        <v>22.539000000000001</v>
      </c>
      <c r="C11" s="1">
        <v>12.643000000000001</v>
      </c>
      <c r="D11">
        <v>10.93885221066682</v>
      </c>
      <c r="E11">
        <f t="shared" si="0"/>
        <v>15.373617403555608</v>
      </c>
    </row>
    <row r="14" spans="1:8" x14ac:dyDescent="0.25">
      <c r="A14">
        <v>1500</v>
      </c>
      <c r="B14">
        <v>200</v>
      </c>
    </row>
    <row r="15" spans="1:8" x14ac:dyDescent="0.25">
      <c r="B15" t="s">
        <v>0</v>
      </c>
      <c r="C15" t="s">
        <v>1</v>
      </c>
      <c r="D15" t="s">
        <v>2</v>
      </c>
      <c r="E15" t="s">
        <v>3</v>
      </c>
      <c r="F15" t="s">
        <v>13</v>
      </c>
      <c r="G15" t="s">
        <v>14</v>
      </c>
    </row>
    <row r="16" spans="1:8" x14ac:dyDescent="0.25">
      <c r="A16" t="s">
        <v>4</v>
      </c>
      <c r="B16">
        <v>0.62547831632653061</v>
      </c>
      <c r="C16">
        <v>0.62649872448979593</v>
      </c>
      <c r="D16">
        <v>0.60009566326530617</v>
      </c>
      <c r="E16">
        <f>AVERAGE(B16:D16)</f>
        <v>0.61735756802721087</v>
      </c>
      <c r="F16">
        <f>E16-$E$3</f>
        <v>-1.8927845633202711E-2</v>
      </c>
      <c r="G16">
        <f>F16*100</f>
        <v>-1.8927845633202711</v>
      </c>
      <c r="H16" t="s">
        <v>16</v>
      </c>
    </row>
    <row r="17" spans="1:8" x14ac:dyDescent="0.25">
      <c r="A17" t="s">
        <v>5</v>
      </c>
      <c r="B17">
        <v>0.67959770114942541</v>
      </c>
      <c r="C17">
        <v>0.67744252873563227</v>
      </c>
      <c r="D17">
        <v>0.6863505747126436</v>
      </c>
      <c r="E17">
        <f t="shared" ref="E17:E24" si="1">AVERAGE(B17:D17)</f>
        <v>0.68113026819923383</v>
      </c>
      <c r="F17">
        <f>E17-$E$4</f>
        <v>-1.3050546155493503E-2</v>
      </c>
      <c r="G17">
        <f t="shared" ref="G17:G23" si="2">F17*100</f>
        <v>-1.3050546155493503</v>
      </c>
      <c r="H17" t="s">
        <v>16</v>
      </c>
    </row>
    <row r="18" spans="1:8" x14ac:dyDescent="0.25">
      <c r="A18" t="s">
        <v>6</v>
      </c>
      <c r="B18">
        <v>0.6919300766045261</v>
      </c>
      <c r="C18">
        <v>0.68374042143241776</v>
      </c>
      <c r="D18">
        <v>0.68393199231359436</v>
      </c>
      <c r="E18">
        <f t="shared" si="1"/>
        <v>0.68653416345017948</v>
      </c>
      <c r="F18">
        <f>E18-$E$5</f>
        <v>-2.7654242338141399E-2</v>
      </c>
      <c r="G18">
        <f t="shared" si="2"/>
        <v>-2.7654242338141399</v>
      </c>
      <c r="H18" t="s">
        <v>16</v>
      </c>
    </row>
    <row r="19" spans="1:8" x14ac:dyDescent="0.25">
      <c r="A19" t="s">
        <v>7</v>
      </c>
      <c r="B19">
        <v>0.74649562333714237</v>
      </c>
      <c r="C19">
        <v>0.74649562333714237</v>
      </c>
      <c r="D19">
        <v>0.74649562333714237</v>
      </c>
      <c r="E19">
        <f t="shared" si="1"/>
        <v>0.74649562333714237</v>
      </c>
      <c r="F19">
        <f>E19-$E$6</f>
        <v>-1.4714506004666172E-2</v>
      </c>
      <c r="G19">
        <f t="shared" si="2"/>
        <v>-1.4714506004666172</v>
      </c>
      <c r="H19" t="s">
        <v>16</v>
      </c>
    </row>
    <row r="20" spans="1:8" x14ac:dyDescent="0.25">
      <c r="A20" t="s">
        <v>8</v>
      </c>
      <c r="B20">
        <v>0.13243422379649381</v>
      </c>
      <c r="C20">
        <v>0.1249492758066641</v>
      </c>
      <c r="D20">
        <v>0.13516733837589159</v>
      </c>
      <c r="E20">
        <f t="shared" si="1"/>
        <v>0.13085027932634982</v>
      </c>
      <c r="F20">
        <f>E20-$E$7</f>
        <v>1.1907860720400815E-2</v>
      </c>
      <c r="G20">
        <f t="shared" si="2"/>
        <v>1.1907860720400816</v>
      </c>
      <c r="H20" t="s">
        <v>17</v>
      </c>
    </row>
    <row r="21" spans="1:8" x14ac:dyDescent="0.25">
      <c r="A21" t="s">
        <v>9</v>
      </c>
      <c r="B21">
        <v>0.50762176039660978</v>
      </c>
      <c r="C21">
        <v>0.50766629049952128</v>
      </c>
      <c r="D21">
        <v>0.50771524184532657</v>
      </c>
      <c r="E21">
        <f t="shared" si="1"/>
        <v>0.50766776424715254</v>
      </c>
      <c r="F21">
        <f>E21-$E$8</f>
        <v>-3.2405159491680768E-2</v>
      </c>
      <c r="G21">
        <f t="shared" si="2"/>
        <v>-3.2405159491680768</v>
      </c>
      <c r="H21" t="s">
        <v>16</v>
      </c>
    </row>
    <row r="22" spans="1:8" x14ac:dyDescent="0.25">
      <c r="A22" t="s">
        <v>10</v>
      </c>
      <c r="B22">
        <v>0.33146551724137929</v>
      </c>
      <c r="C22">
        <v>0.32284482758620692</v>
      </c>
      <c r="D22">
        <v>0.32715517241379299</v>
      </c>
      <c r="E22">
        <f t="shared" si="1"/>
        <v>0.32715517241379305</v>
      </c>
      <c r="F22">
        <f>E22-$E$9</f>
        <v>3.6286023654839017E-3</v>
      </c>
      <c r="G22">
        <f t="shared" si="2"/>
        <v>0.36286023654839017</v>
      </c>
      <c r="H22" t="s">
        <v>17</v>
      </c>
    </row>
    <row r="23" spans="1:8" x14ac:dyDescent="0.25">
      <c r="A23" t="s">
        <v>11</v>
      </c>
      <c r="B23">
        <v>0.51724137931034486</v>
      </c>
      <c r="C23">
        <v>0.50862068965517238</v>
      </c>
      <c r="D23">
        <v>0.50862068965517238</v>
      </c>
      <c r="E23">
        <f t="shared" si="1"/>
        <v>0.5114942528735632</v>
      </c>
      <c r="F23">
        <f>E23-$E$10</f>
        <v>2.887106446776605E-2</v>
      </c>
      <c r="G23">
        <f t="shared" si="2"/>
        <v>2.8871064467766052</v>
      </c>
      <c r="H23" t="s">
        <v>17</v>
      </c>
    </row>
    <row r="24" spans="1:8" x14ac:dyDescent="0.25">
      <c r="A24" t="s">
        <v>12</v>
      </c>
      <c r="B24">
        <v>10.864791746797231</v>
      </c>
      <c r="C24" s="1">
        <v>10.36802453624791</v>
      </c>
      <c r="D24">
        <v>10.57495007843807</v>
      </c>
      <c r="E24">
        <f t="shared" si="1"/>
        <v>10.60258878716107</v>
      </c>
      <c r="F24">
        <f>E24-$E$11</f>
        <v>-4.7710286163945383</v>
      </c>
    </row>
    <row r="27" spans="1:8" x14ac:dyDescent="0.25">
      <c r="A27">
        <v>1500</v>
      </c>
      <c r="B27">
        <v>400</v>
      </c>
    </row>
    <row r="28" spans="1:8" x14ac:dyDescent="0.25">
      <c r="B28" t="s">
        <v>0</v>
      </c>
      <c r="C28" t="s">
        <v>1</v>
      </c>
      <c r="D28" t="s">
        <v>2</v>
      </c>
      <c r="E28" t="s">
        <v>3</v>
      </c>
      <c r="F28" t="s">
        <v>13</v>
      </c>
      <c r="G28" t="s">
        <v>14</v>
      </c>
    </row>
    <row r="29" spans="1:8" x14ac:dyDescent="0.25">
      <c r="A29" t="s">
        <v>4</v>
      </c>
      <c r="B29">
        <v>0.61367116168001123</v>
      </c>
      <c r="C29">
        <v>0.59977194303281267</v>
      </c>
      <c r="D29">
        <v>0.60776092147773564</v>
      </c>
      <c r="E29">
        <f>AVERAGE(B29:D29)</f>
        <v>0.60706800873018663</v>
      </c>
      <c r="F29">
        <f>E29-$E$3</f>
        <v>-2.9217404930226953E-2</v>
      </c>
      <c r="G29">
        <f>F29*100</f>
        <v>-2.9217404930226953</v>
      </c>
      <c r="H29" t="s">
        <v>16</v>
      </c>
    </row>
    <row r="30" spans="1:8" x14ac:dyDescent="0.25">
      <c r="A30" t="s">
        <v>5</v>
      </c>
      <c r="B30">
        <v>0.66752873563218385</v>
      </c>
      <c r="C30">
        <v>0.64712643678160919</v>
      </c>
      <c r="D30">
        <v>0.64985632183908049</v>
      </c>
      <c r="E30">
        <f t="shared" ref="E30:E37" si="3">AVERAGE(B30:D30)</f>
        <v>0.65483716475095788</v>
      </c>
      <c r="F30">
        <f>E30-$E$4</f>
        <v>-3.9343649603769459E-2</v>
      </c>
      <c r="G30">
        <f t="shared" ref="G30:G36" si="4">F30*100</f>
        <v>-3.9343649603769459</v>
      </c>
      <c r="H30" t="s">
        <v>16</v>
      </c>
    </row>
    <row r="31" spans="1:8" x14ac:dyDescent="0.25">
      <c r="A31" t="s">
        <v>6</v>
      </c>
      <c r="B31">
        <v>0.6571739130208194</v>
      </c>
      <c r="C31">
        <v>0.58146551722274542</v>
      </c>
      <c r="D31">
        <v>0.62525362316846889</v>
      </c>
      <c r="E31">
        <f t="shared" si="3"/>
        <v>0.6212976844706779</v>
      </c>
      <c r="F31">
        <f>E31-$E$5</f>
        <v>-9.2890721317642977E-2</v>
      </c>
      <c r="G31">
        <f t="shared" si="4"/>
        <v>-9.2890721317642981</v>
      </c>
      <c r="H31" t="s">
        <v>16</v>
      </c>
    </row>
    <row r="32" spans="1:8" x14ac:dyDescent="0.25">
      <c r="A32" t="s">
        <v>7</v>
      </c>
      <c r="B32">
        <v>0.75996748314060303</v>
      </c>
      <c r="C32">
        <v>0.7565778749617017</v>
      </c>
      <c r="D32">
        <v>0.75996748314060303</v>
      </c>
      <c r="E32">
        <f t="shared" si="3"/>
        <v>0.75883761374763592</v>
      </c>
      <c r="F32">
        <f>E32-$E$6</f>
        <v>-2.3725155941726195E-3</v>
      </c>
      <c r="G32">
        <f t="shared" si="4"/>
        <v>-0.23725155941726195</v>
      </c>
      <c r="H32" t="s">
        <v>16</v>
      </c>
    </row>
    <row r="33" spans="1:8" x14ac:dyDescent="0.25">
      <c r="A33" t="s">
        <v>8</v>
      </c>
      <c r="B33">
        <v>0.14570914570883989</v>
      </c>
      <c r="C33">
        <v>0.1088607187809871</v>
      </c>
      <c r="D33">
        <v>0.12909339434045389</v>
      </c>
      <c r="E33">
        <f t="shared" si="3"/>
        <v>0.12788775294342694</v>
      </c>
      <c r="F33">
        <f>E33-$E$7</f>
        <v>8.9453343374779337E-3</v>
      </c>
      <c r="G33">
        <f t="shared" si="4"/>
        <v>0.89453343374779337</v>
      </c>
    </row>
    <row r="34" spans="1:8" x14ac:dyDescent="0.25">
      <c r="A34" t="s">
        <v>9</v>
      </c>
      <c r="B34">
        <v>0.61025808321708741</v>
      </c>
      <c r="C34">
        <v>0.58939206857297222</v>
      </c>
      <c r="D34">
        <v>0.61025808321708741</v>
      </c>
      <c r="E34">
        <f t="shared" si="3"/>
        <v>0.60330274500238235</v>
      </c>
      <c r="F34">
        <f>E34-$E$8</f>
        <v>6.3229821263549035E-2</v>
      </c>
      <c r="G34">
        <f t="shared" si="4"/>
        <v>6.3229821263549031</v>
      </c>
      <c r="H34" t="s">
        <v>17</v>
      </c>
    </row>
    <row r="35" spans="1:8" x14ac:dyDescent="0.25">
      <c r="A35" t="s">
        <v>10</v>
      </c>
      <c r="B35">
        <v>0.26551724137931038</v>
      </c>
      <c r="C35">
        <v>0.24568965517241381</v>
      </c>
      <c r="D35">
        <v>0.25258620689655181</v>
      </c>
      <c r="E35">
        <f t="shared" si="3"/>
        <v>0.25459770114942537</v>
      </c>
      <c r="F35">
        <f>E35-$E$9</f>
        <v>-6.8928868898883777E-2</v>
      </c>
      <c r="G35">
        <f t="shared" si="4"/>
        <v>-6.8928868898883779</v>
      </c>
      <c r="H35" t="s">
        <v>16</v>
      </c>
    </row>
    <row r="36" spans="1:8" x14ac:dyDescent="0.25">
      <c r="A36" t="s">
        <v>11</v>
      </c>
      <c r="B36">
        <v>0.44827586206896552</v>
      </c>
      <c r="C36">
        <v>0.42241379310344829</v>
      </c>
      <c r="D36">
        <v>0.43103448275862072</v>
      </c>
      <c r="E36">
        <f t="shared" si="3"/>
        <v>0.43390804597701149</v>
      </c>
      <c r="F36">
        <f>E36-$E$10</f>
        <v>-4.8715142428785663E-2</v>
      </c>
      <c r="G36">
        <f t="shared" si="4"/>
        <v>-4.8715142428785665</v>
      </c>
      <c r="H36" t="s">
        <v>16</v>
      </c>
    </row>
    <row r="37" spans="1:8" x14ac:dyDescent="0.25">
      <c r="A37" t="s">
        <v>12</v>
      </c>
      <c r="B37">
        <v>12.757253385823351</v>
      </c>
      <c r="C37" s="1">
        <v>11.61612859676624</v>
      </c>
      <c r="D37">
        <v>12.433386225124879</v>
      </c>
      <c r="E37">
        <f t="shared" si="3"/>
        <v>12.268922735904823</v>
      </c>
      <c r="F37">
        <f>E37-$E$11</f>
        <v>-3.1046946676507847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CDC-94E3-44C4-89F5-2AD3CB6AAB8E}">
  <dimension ref="A1:K53"/>
  <sheetViews>
    <sheetView topLeftCell="A19" workbookViewId="0">
      <selection activeCell="D39" sqref="D39"/>
    </sheetView>
  </sheetViews>
  <sheetFormatPr baseColWidth="10" defaultRowHeight="15" x14ac:dyDescent="0.25"/>
  <cols>
    <col min="6" max="6" width="14.5703125" bestFit="1" customWidth="1"/>
    <col min="9" max="9" width="14.5703125" bestFit="1" customWidth="1"/>
  </cols>
  <sheetData>
    <row r="1" spans="1:5" x14ac:dyDescent="0.25">
      <c r="A1">
        <v>1500</v>
      </c>
      <c r="B1">
        <v>200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0.64784376862950566</v>
      </c>
      <c r="C3">
        <v>0.60417275133499615</v>
      </c>
      <c r="D3">
        <v>0.62592055314144834</v>
      </c>
      <c r="E3">
        <f>AVERAGE(B3:D3)</f>
        <v>0.62597902436865016</v>
      </c>
    </row>
    <row r="4" spans="1:5" x14ac:dyDescent="0.25">
      <c r="A4" t="s">
        <v>5</v>
      </c>
      <c r="B4">
        <v>0.6739942528735634</v>
      </c>
      <c r="C4">
        <v>0.64152298850574707</v>
      </c>
      <c r="D4">
        <v>0.6716954022988505</v>
      </c>
      <c r="E4">
        <f t="shared" ref="E4:E17" si="0">AVERAGE(B4:D4)</f>
        <v>0.66240421455938703</v>
      </c>
    </row>
    <row r="5" spans="1:5" x14ac:dyDescent="0.25">
      <c r="A5" t="s">
        <v>6</v>
      </c>
      <c r="B5">
        <v>0.61988745208061602</v>
      </c>
      <c r="C5">
        <v>0.58617097698756115</v>
      </c>
      <c r="D5">
        <v>0.60896791185189547</v>
      </c>
      <c r="E5">
        <f t="shared" si="0"/>
        <v>0.60500878030669092</v>
      </c>
    </row>
    <row r="6" spans="1:5" x14ac:dyDescent="0.25">
      <c r="A6" t="s">
        <v>7</v>
      </c>
      <c r="B6">
        <v>0.7520630475843556</v>
      </c>
      <c r="C6">
        <v>0.7520630475843556</v>
      </c>
      <c r="D6">
        <v>0.75206304758435594</v>
      </c>
      <c r="E6">
        <f t="shared" si="0"/>
        <v>0.75206304758435572</v>
      </c>
    </row>
    <row r="7" spans="1:5" x14ac:dyDescent="0.25">
      <c r="A7" t="s">
        <v>8</v>
      </c>
      <c r="B7">
        <v>0.27343767296726884</v>
      </c>
      <c r="C7">
        <v>0.26485884041669427</v>
      </c>
      <c r="D7">
        <v>0.2617844340365803</v>
      </c>
      <c r="E7">
        <f t="shared" si="0"/>
        <v>0.26669364914018118</v>
      </c>
    </row>
    <row r="8" spans="1:5" x14ac:dyDescent="0.25">
      <c r="A8" t="s">
        <v>9</v>
      </c>
      <c r="B8">
        <v>0.63749854799333117</v>
      </c>
      <c r="C8">
        <v>0.63603870063284595</v>
      </c>
      <c r="D8">
        <v>0.64213637157385872</v>
      </c>
      <c r="E8">
        <f t="shared" si="0"/>
        <v>0.63855787340001191</v>
      </c>
    </row>
    <row r="9" spans="1:5" x14ac:dyDescent="0.25">
      <c r="A9" t="s">
        <v>10</v>
      </c>
      <c r="B9">
        <v>0.32500000000000001</v>
      </c>
      <c r="C9">
        <v>0.31005747126436778</v>
      </c>
      <c r="D9">
        <v>0.32327586206896552</v>
      </c>
      <c r="E9">
        <f t="shared" si="0"/>
        <v>0.31944444444444442</v>
      </c>
    </row>
    <row r="10" spans="1:5" x14ac:dyDescent="0.25">
      <c r="A10" t="s">
        <v>11</v>
      </c>
      <c r="B10">
        <v>0.53448275862068961</v>
      </c>
      <c r="C10">
        <v>0.5</v>
      </c>
      <c r="D10">
        <v>0.52586206896551724</v>
      </c>
      <c r="E10">
        <f t="shared" si="0"/>
        <v>0.52011494252873558</v>
      </c>
    </row>
    <row r="11" spans="1:5" x14ac:dyDescent="0.25">
      <c r="A11" t="s">
        <v>12</v>
      </c>
      <c r="B11">
        <v>11.48446873549757</v>
      </c>
      <c r="C11" s="1">
        <v>11.45352461831323</v>
      </c>
      <c r="D11">
        <v>11.57385894553415</v>
      </c>
      <c r="E11">
        <f t="shared" si="0"/>
        <v>11.503950766448318</v>
      </c>
    </row>
    <row r="12" spans="1:5" x14ac:dyDescent="0.25">
      <c r="A12" t="s">
        <v>21</v>
      </c>
      <c r="B12">
        <v>0.24373544752597809</v>
      </c>
      <c r="C12">
        <v>0.24373544752597809</v>
      </c>
      <c r="D12">
        <v>0.24373544752597809</v>
      </c>
      <c r="E12">
        <f t="shared" si="0"/>
        <v>0.24373544752597809</v>
      </c>
    </row>
    <row r="13" spans="1:5" x14ac:dyDescent="0.25">
      <c r="A13" t="s">
        <v>22</v>
      </c>
      <c r="B13">
        <v>0.19293774664402011</v>
      </c>
      <c r="C13">
        <v>0.19293774664402011</v>
      </c>
      <c r="D13">
        <v>0.19293774664402011</v>
      </c>
      <c r="E13">
        <f t="shared" si="0"/>
        <v>0.19293774664402011</v>
      </c>
    </row>
    <row r="14" spans="1:5" x14ac:dyDescent="0.25">
      <c r="A14" t="s">
        <v>23</v>
      </c>
      <c r="B14">
        <v>0.29598778486251831</v>
      </c>
      <c r="C14">
        <v>0.29598778486251831</v>
      </c>
      <c r="D14">
        <v>0.29598778486251831</v>
      </c>
      <c r="E14">
        <f t="shared" si="0"/>
        <v>0.29598778486251831</v>
      </c>
    </row>
    <row r="15" spans="1:5" x14ac:dyDescent="0.25">
      <c r="A15" t="s">
        <v>24</v>
      </c>
      <c r="B15" s="1">
        <v>2307.3534482758619</v>
      </c>
      <c r="C15" s="1">
        <v>2265.71551724138</v>
      </c>
      <c r="D15" s="1">
        <v>2295.21551724138</v>
      </c>
      <c r="E15">
        <f t="shared" si="0"/>
        <v>2289.4281609195405</v>
      </c>
    </row>
    <row r="16" spans="1:5" x14ac:dyDescent="0.25">
      <c r="A16" t="s">
        <v>25</v>
      </c>
      <c r="B16" s="1">
        <v>2101.4224137931028</v>
      </c>
      <c r="C16" s="1">
        <v>2062.0172413793098</v>
      </c>
      <c r="D16" s="1">
        <v>2082.6810344827591</v>
      </c>
      <c r="E16">
        <f t="shared" si="0"/>
        <v>2082.0402298850572</v>
      </c>
    </row>
    <row r="17" spans="1:11" x14ac:dyDescent="0.25">
      <c r="A17" t="s">
        <v>26</v>
      </c>
      <c r="B17" s="1">
        <v>205.93103448275861</v>
      </c>
      <c r="C17" s="1">
        <v>203.69827586206901</v>
      </c>
      <c r="D17" s="1">
        <v>212.5344827586207</v>
      </c>
      <c r="E17">
        <f t="shared" si="0"/>
        <v>207.38793103448279</v>
      </c>
    </row>
    <row r="19" spans="1:11" x14ac:dyDescent="0.25">
      <c r="A19">
        <v>1500</v>
      </c>
      <c r="B19">
        <v>300</v>
      </c>
    </row>
    <row r="20" spans="1:11" x14ac:dyDescent="0.25">
      <c r="B20" t="s">
        <v>0</v>
      </c>
      <c r="C20" t="s">
        <v>1</v>
      </c>
      <c r="D20" t="s">
        <v>2</v>
      </c>
      <c r="E20" t="s">
        <v>3</v>
      </c>
      <c r="F20" t="s">
        <v>29</v>
      </c>
      <c r="G20" t="s">
        <v>14</v>
      </c>
      <c r="I20" t="s">
        <v>30</v>
      </c>
      <c r="J20" t="s">
        <v>14</v>
      </c>
    </row>
    <row r="21" spans="1:11" x14ac:dyDescent="0.25">
      <c r="A21" t="s">
        <v>4</v>
      </c>
      <c r="B21">
        <v>0.66156887149880894</v>
      </c>
      <c r="C21">
        <v>0.64893983549723122</v>
      </c>
      <c r="D21">
        <v>0.67855384785151796</v>
      </c>
      <c r="E21">
        <f>AVERAGE(B21:D21)</f>
        <v>0.66302085161585278</v>
      </c>
      <c r="F21">
        <f>E21-E3</f>
        <v>3.7041827247202619E-2</v>
      </c>
      <c r="G21">
        <f>F21*100</f>
        <v>3.7041827247202619</v>
      </c>
      <c r="H21" t="s">
        <v>17</v>
      </c>
      <c r="I21">
        <f>E21-E39</f>
        <v>4.9817071219134479E-2</v>
      </c>
      <c r="J21">
        <f>I21*100</f>
        <v>4.9817071219134483</v>
      </c>
      <c r="K21" t="s">
        <v>17</v>
      </c>
    </row>
    <row r="22" spans="1:11" x14ac:dyDescent="0.25">
      <c r="A22" t="s">
        <v>5</v>
      </c>
      <c r="B22">
        <v>0.62444581280788181</v>
      </c>
      <c r="C22">
        <v>0.6359400656814449</v>
      </c>
      <c r="D22">
        <v>0.63349753694581279</v>
      </c>
      <c r="E22">
        <f t="shared" ref="E22:E35" si="1">AVERAGE(B22:D22)</f>
        <v>0.63129447181171316</v>
      </c>
      <c r="F22">
        <f t="shared" ref="F22:F35" si="2">E22-E4</f>
        <v>-3.1109742747673863E-2</v>
      </c>
      <c r="G22">
        <f t="shared" ref="G22:G32" si="3">F22*100</f>
        <v>-3.1109742747673863</v>
      </c>
      <c r="H22" t="s">
        <v>16</v>
      </c>
      <c r="I22">
        <f t="shared" ref="I22:I35" si="4">E22-E40</f>
        <v>1.0125889436234159E-2</v>
      </c>
      <c r="J22">
        <f t="shared" ref="J22:J32" si="5">I22*100</f>
        <v>1.0125889436234159</v>
      </c>
      <c r="K22" t="s">
        <v>17</v>
      </c>
    </row>
    <row r="23" spans="1:11" x14ac:dyDescent="0.25">
      <c r="A23" t="s">
        <v>6</v>
      </c>
      <c r="B23">
        <v>0.62411398464630674</v>
      </c>
      <c r="C23">
        <v>0.63705699230932178</v>
      </c>
      <c r="D23">
        <v>0.63023227966371942</v>
      </c>
      <c r="E23">
        <f t="shared" si="1"/>
        <v>0.63046775220644935</v>
      </c>
      <c r="F23">
        <f t="shared" si="2"/>
        <v>2.5458971899758431E-2</v>
      </c>
      <c r="G23">
        <f t="shared" si="3"/>
        <v>2.5458971899758431</v>
      </c>
      <c r="H23" t="s">
        <v>17</v>
      </c>
      <c r="I23">
        <f t="shared" si="4"/>
        <v>9.2349137925061275E-2</v>
      </c>
      <c r="J23">
        <f t="shared" si="5"/>
        <v>9.2349137925061271</v>
      </c>
      <c r="K23" t="s">
        <v>17</v>
      </c>
    </row>
    <row r="24" spans="1:11" x14ac:dyDescent="0.25">
      <c r="A24" t="s">
        <v>7</v>
      </c>
      <c r="B24">
        <v>0.75927595016951388</v>
      </c>
      <c r="C24">
        <v>0.75921113559346654</v>
      </c>
      <c r="D24">
        <v>0.7619412322559872</v>
      </c>
      <c r="E24">
        <f t="shared" si="1"/>
        <v>0.76014277267298924</v>
      </c>
      <c r="F24">
        <f t="shared" si="2"/>
        <v>8.079725088633527E-3</v>
      </c>
      <c r="G24">
        <f t="shared" si="3"/>
        <v>0.8079725088633527</v>
      </c>
      <c r="H24" t="s">
        <v>17</v>
      </c>
      <c r="I24">
        <f t="shared" si="4"/>
        <v>-3.228960579211182E-3</v>
      </c>
      <c r="J24">
        <f t="shared" si="5"/>
        <v>-0.3228960579211182</v>
      </c>
    </row>
    <row r="25" spans="1:11" x14ac:dyDescent="0.25">
      <c r="A25" t="s">
        <v>8</v>
      </c>
      <c r="B25">
        <v>0.27292447328324371</v>
      </c>
      <c r="C25">
        <v>0.27091359774604223</v>
      </c>
      <c r="D25">
        <v>0.27978722808894224</v>
      </c>
      <c r="E25">
        <f t="shared" si="1"/>
        <v>0.27454176637274275</v>
      </c>
      <c r="F25">
        <f t="shared" si="2"/>
        <v>7.8481172325615689E-3</v>
      </c>
      <c r="G25">
        <f t="shared" si="3"/>
        <v>0.78481172325615689</v>
      </c>
      <c r="I25">
        <f t="shared" si="4"/>
        <v>2.7688666769032394E-2</v>
      </c>
      <c r="J25">
        <f t="shared" si="5"/>
        <v>2.7688666769032393</v>
      </c>
      <c r="K25" t="s">
        <v>17</v>
      </c>
    </row>
    <row r="26" spans="1:11" x14ac:dyDescent="0.25">
      <c r="A26" t="s">
        <v>9</v>
      </c>
      <c r="B26">
        <v>0.59892572244511921</v>
      </c>
      <c r="C26">
        <v>0.59085822927043607</v>
      </c>
      <c r="D26">
        <v>0.63535731636781256</v>
      </c>
      <c r="E26">
        <f t="shared" si="1"/>
        <v>0.60838042269445591</v>
      </c>
      <c r="F26">
        <f t="shared" si="2"/>
        <v>-3.0177450705555997E-2</v>
      </c>
      <c r="G26">
        <f t="shared" si="3"/>
        <v>-3.0177450705555997</v>
      </c>
      <c r="H26" t="s">
        <v>16</v>
      </c>
      <c r="I26">
        <f t="shared" si="4"/>
        <v>1.3119814628418602E-2</v>
      </c>
      <c r="J26">
        <f t="shared" si="5"/>
        <v>1.3119814628418602</v>
      </c>
      <c r="K26" t="s">
        <v>17</v>
      </c>
    </row>
    <row r="27" spans="1:11" x14ac:dyDescent="0.25">
      <c r="A27" t="s">
        <v>10</v>
      </c>
      <c r="B27">
        <v>0.3466954022988506</v>
      </c>
      <c r="C27">
        <v>0.34885057471264369</v>
      </c>
      <c r="D27">
        <v>0.3603448275862069</v>
      </c>
      <c r="E27">
        <f t="shared" si="1"/>
        <v>0.35196360153256706</v>
      </c>
      <c r="F27">
        <f t="shared" si="2"/>
        <v>3.2519157088122641E-2</v>
      </c>
      <c r="G27">
        <f t="shared" si="3"/>
        <v>3.2519157088122643</v>
      </c>
      <c r="H27" t="s">
        <v>17</v>
      </c>
      <c r="I27">
        <f t="shared" si="4"/>
        <v>0.10172413793103446</v>
      </c>
      <c r="J27">
        <f t="shared" si="5"/>
        <v>10.172413793103447</v>
      </c>
      <c r="K27" t="s">
        <v>17</v>
      </c>
    </row>
    <row r="28" spans="1:11" x14ac:dyDescent="0.25">
      <c r="A28" t="s">
        <v>11</v>
      </c>
      <c r="B28">
        <v>0.50862068965517238</v>
      </c>
      <c r="C28">
        <v>0.51724137931034486</v>
      </c>
      <c r="D28">
        <v>0.52586206896551724</v>
      </c>
      <c r="E28">
        <f t="shared" si="1"/>
        <v>0.51724137931034486</v>
      </c>
      <c r="F28">
        <f t="shared" si="2"/>
        <v>-2.8735632183907178E-3</v>
      </c>
      <c r="G28">
        <f t="shared" si="3"/>
        <v>-0.28735632183907178</v>
      </c>
      <c r="I28">
        <f t="shared" si="4"/>
        <v>6.0344827586206962E-2</v>
      </c>
      <c r="J28">
        <f t="shared" si="5"/>
        <v>6.0344827586206957</v>
      </c>
      <c r="K28" t="s">
        <v>17</v>
      </c>
    </row>
    <row r="29" spans="1:11" x14ac:dyDescent="0.25">
      <c r="A29" t="s">
        <v>12</v>
      </c>
      <c r="B29">
        <v>12.829803801816089</v>
      </c>
      <c r="C29" s="1">
        <v>13.84695393052594</v>
      </c>
      <c r="D29">
        <v>12.0599361699203</v>
      </c>
      <c r="E29">
        <f t="shared" si="1"/>
        <v>12.91223130075411</v>
      </c>
      <c r="F29">
        <f t="shared" si="2"/>
        <v>1.408280534305792</v>
      </c>
      <c r="H29" t="s">
        <v>16</v>
      </c>
      <c r="I29">
        <f t="shared" si="4"/>
        <v>1.0865772818696886</v>
      </c>
    </row>
    <row r="30" spans="1:11" x14ac:dyDescent="0.25">
      <c r="A30" t="s">
        <v>21</v>
      </c>
      <c r="B30">
        <v>0.24309878051280981</v>
      </c>
      <c r="C30">
        <v>0.23840367794036871</v>
      </c>
      <c r="D30">
        <v>0.24638800323009491</v>
      </c>
      <c r="E30">
        <f t="shared" si="1"/>
        <v>0.24263015389442447</v>
      </c>
      <c r="F30">
        <f t="shared" si="2"/>
        <v>-1.1052936315536221E-3</v>
      </c>
      <c r="G30">
        <f t="shared" si="3"/>
        <v>-0.11052936315536221</v>
      </c>
      <c r="I30">
        <f t="shared" si="4"/>
        <v>5.9330761432647705E-3</v>
      </c>
      <c r="J30">
        <f t="shared" si="5"/>
        <v>0.59330761432647705</v>
      </c>
    </row>
    <row r="31" spans="1:11" x14ac:dyDescent="0.25">
      <c r="A31" t="s">
        <v>22</v>
      </c>
      <c r="B31">
        <v>0.19543476402759549</v>
      </c>
      <c r="C31">
        <v>0.18611909449100489</v>
      </c>
      <c r="D31">
        <v>0.19965597987174991</v>
      </c>
      <c r="E31">
        <f t="shared" si="1"/>
        <v>0.19373661279678342</v>
      </c>
      <c r="F31">
        <f t="shared" si="2"/>
        <v>7.9886615276331119E-4</v>
      </c>
      <c r="G31">
        <f t="shared" si="3"/>
        <v>7.9886615276331119E-2</v>
      </c>
      <c r="I31">
        <f t="shared" si="4"/>
        <v>1.0459318757057079E-2</v>
      </c>
      <c r="J31">
        <f t="shared" si="5"/>
        <v>1.0459318757057079</v>
      </c>
    </row>
    <row r="32" spans="1:11" x14ac:dyDescent="0.25">
      <c r="A32" t="s">
        <v>23</v>
      </c>
      <c r="B32">
        <v>0.29144790768623352</v>
      </c>
      <c r="C32">
        <v>0.29186853766441351</v>
      </c>
      <c r="D32">
        <v>0.2941862940788269</v>
      </c>
      <c r="E32">
        <f t="shared" si="1"/>
        <v>0.29250091314315796</v>
      </c>
      <c r="F32">
        <f t="shared" si="2"/>
        <v>-3.4868717193603516E-3</v>
      </c>
      <c r="G32">
        <f t="shared" si="3"/>
        <v>-0.34868717193603516</v>
      </c>
      <c r="H32">
        <v>0</v>
      </c>
      <c r="I32">
        <f t="shared" si="4"/>
        <v>9.0506672859197446E-4</v>
      </c>
      <c r="J32">
        <f t="shared" si="5"/>
        <v>9.0506672859197446E-2</v>
      </c>
    </row>
    <row r="33" spans="1:9" x14ac:dyDescent="0.25">
      <c r="A33" t="s">
        <v>24</v>
      </c>
      <c r="B33">
        <f>284126/116</f>
        <v>2449.3620689655172</v>
      </c>
      <c r="C33" s="1">
        <f>276230/116</f>
        <v>2381.2931034482758</v>
      </c>
      <c r="D33">
        <f>275657/116</f>
        <v>2376.3534482758619</v>
      </c>
      <c r="E33">
        <f t="shared" si="1"/>
        <v>2402.3362068965521</v>
      </c>
      <c r="F33">
        <f t="shared" si="2"/>
        <v>112.90804597701162</v>
      </c>
      <c r="I33">
        <f t="shared" si="4"/>
        <v>32.39367816091999</v>
      </c>
    </row>
    <row r="34" spans="1:9" x14ac:dyDescent="0.25">
      <c r="A34" t="s">
        <v>25</v>
      </c>
      <c r="B34">
        <f>258300/116</f>
        <v>2226.7241379310344</v>
      </c>
      <c r="C34" s="1">
        <f>250500/116</f>
        <v>2159.4827586206898</v>
      </c>
      <c r="D34">
        <f>250700/116</f>
        <v>2161.2068965517242</v>
      </c>
      <c r="E34">
        <f t="shared" si="1"/>
        <v>2182.4712643678163</v>
      </c>
      <c r="F34">
        <f t="shared" si="2"/>
        <v>100.43103448275906</v>
      </c>
      <c r="I34">
        <f t="shared" si="4"/>
        <v>38.61494252873581</v>
      </c>
    </row>
    <row r="35" spans="1:9" x14ac:dyDescent="0.25">
      <c r="A35" t="s">
        <v>26</v>
      </c>
      <c r="B35">
        <f>25826/116</f>
        <v>222.63793103448276</v>
      </c>
      <c r="C35" s="1">
        <v>221.81034482758622</v>
      </c>
      <c r="D35">
        <f>24957/116</f>
        <v>215.14655172413794</v>
      </c>
      <c r="E35">
        <f t="shared" si="1"/>
        <v>219.86494252873561</v>
      </c>
      <c r="F35">
        <f t="shared" si="2"/>
        <v>12.477011494252821</v>
      </c>
      <c r="I35">
        <f t="shared" si="4"/>
        <v>-6.2212643678161044</v>
      </c>
    </row>
    <row r="37" spans="1:9" x14ac:dyDescent="0.25">
      <c r="A37">
        <v>1500</v>
      </c>
      <c r="B37">
        <v>400</v>
      </c>
    </row>
    <row r="38" spans="1:9" x14ac:dyDescent="0.25">
      <c r="B38" t="s">
        <v>0</v>
      </c>
      <c r="C38" t="s">
        <v>1</v>
      </c>
      <c r="D38" t="s">
        <v>2</v>
      </c>
      <c r="E38" t="s">
        <v>3</v>
      </c>
    </row>
    <row r="39" spans="1:9" x14ac:dyDescent="0.25">
      <c r="A39" t="s">
        <v>4</v>
      </c>
      <c r="B39">
        <v>0.60473142011808334</v>
      </c>
      <c r="C39">
        <v>0.63150185540945647</v>
      </c>
      <c r="D39">
        <v>0.60337806566261498</v>
      </c>
      <c r="E39">
        <f>AVERAGE(B39:D39)</f>
        <v>0.6132037803967183</v>
      </c>
    </row>
    <row r="40" spans="1:9" x14ac:dyDescent="0.25">
      <c r="A40" t="s">
        <v>5</v>
      </c>
      <c r="B40">
        <v>0.62040229885057474</v>
      </c>
      <c r="C40">
        <v>0.6376436781609196</v>
      </c>
      <c r="D40">
        <v>0.60545977011494256</v>
      </c>
      <c r="E40">
        <f t="shared" ref="E40:E53" si="6">AVERAGE(B40:D40)</f>
        <v>0.62116858237547901</v>
      </c>
    </row>
    <row r="41" spans="1:9" x14ac:dyDescent="0.25">
      <c r="A41" t="s">
        <v>6</v>
      </c>
      <c r="B41">
        <v>0.54871886970793027</v>
      </c>
      <c r="C41">
        <v>0.54965277775498977</v>
      </c>
      <c r="D41">
        <v>0.51598419538124429</v>
      </c>
      <c r="E41">
        <f t="shared" si="6"/>
        <v>0.53811861428138807</v>
      </c>
    </row>
    <row r="42" spans="1:9" x14ac:dyDescent="0.25">
      <c r="A42" t="s">
        <v>7</v>
      </c>
      <c r="B42">
        <v>0.76337173325220042</v>
      </c>
      <c r="C42">
        <v>0.76337173325220042</v>
      </c>
      <c r="D42">
        <v>0.76337173325220042</v>
      </c>
      <c r="E42">
        <f t="shared" si="6"/>
        <v>0.76337173325220042</v>
      </c>
    </row>
    <row r="43" spans="1:9" x14ac:dyDescent="0.25">
      <c r="A43" t="s">
        <v>8</v>
      </c>
      <c r="B43">
        <v>0.24951789541682021</v>
      </c>
      <c r="C43">
        <v>0.24139540424021511</v>
      </c>
      <c r="D43">
        <v>0.24964599915409569</v>
      </c>
      <c r="E43">
        <f t="shared" si="6"/>
        <v>0.24685309960371035</v>
      </c>
    </row>
    <row r="44" spans="1:9" x14ac:dyDescent="0.25">
      <c r="A44" t="s">
        <v>9</v>
      </c>
      <c r="B44">
        <v>0.59941080175861927</v>
      </c>
      <c r="C44">
        <v>0.59001935922519022</v>
      </c>
      <c r="D44">
        <v>0.59635166321430233</v>
      </c>
      <c r="E44">
        <f t="shared" si="6"/>
        <v>0.59526060806603731</v>
      </c>
    </row>
    <row r="45" spans="1:9" x14ac:dyDescent="0.25">
      <c r="A45" t="s">
        <v>10</v>
      </c>
      <c r="B45">
        <v>0.24928160919540229</v>
      </c>
      <c r="C45">
        <v>0.25718390804597702</v>
      </c>
      <c r="D45">
        <v>0.2442528735632184</v>
      </c>
      <c r="E45">
        <f t="shared" si="6"/>
        <v>0.2502394636015326</v>
      </c>
    </row>
    <row r="46" spans="1:9" x14ac:dyDescent="0.25">
      <c r="A46" t="s">
        <v>11</v>
      </c>
      <c r="B46">
        <v>0.45689655172413801</v>
      </c>
      <c r="C46">
        <v>0.46551724137931028</v>
      </c>
      <c r="D46">
        <v>0.44827586206896552</v>
      </c>
      <c r="E46">
        <f t="shared" si="6"/>
        <v>0.4568965517241379</v>
      </c>
    </row>
    <row r="47" spans="1:9" x14ac:dyDescent="0.25">
      <c r="A47" t="s">
        <v>12</v>
      </c>
      <c r="B47">
        <v>12.20162315820826</v>
      </c>
      <c r="C47" s="1">
        <v>11.433823363534341</v>
      </c>
      <c r="D47">
        <v>11.841515534910659</v>
      </c>
      <c r="E47">
        <f t="shared" si="6"/>
        <v>11.825654018884421</v>
      </c>
    </row>
    <row r="48" spans="1:9" x14ac:dyDescent="0.25">
      <c r="A48" t="s">
        <v>21</v>
      </c>
      <c r="B48">
        <v>0.2366970777511597</v>
      </c>
      <c r="C48">
        <v>0.2366970777511597</v>
      </c>
      <c r="D48">
        <v>0.2366970777511597</v>
      </c>
      <c r="E48">
        <f t="shared" si="6"/>
        <v>0.2366970777511597</v>
      </c>
    </row>
    <row r="49" spans="1:5" x14ac:dyDescent="0.25">
      <c r="A49" t="s">
        <v>22</v>
      </c>
      <c r="B49">
        <v>0.18327729403972631</v>
      </c>
      <c r="C49">
        <v>0.18327729403972631</v>
      </c>
      <c r="D49">
        <v>0.18327729403972631</v>
      </c>
      <c r="E49">
        <f t="shared" si="6"/>
        <v>0.18327729403972634</v>
      </c>
    </row>
    <row r="50" spans="1:5" x14ac:dyDescent="0.25">
      <c r="A50" t="s">
        <v>23</v>
      </c>
      <c r="B50">
        <v>0.29159584641456598</v>
      </c>
      <c r="C50">
        <v>0.29159584641456598</v>
      </c>
      <c r="D50">
        <v>0.29159584641456598</v>
      </c>
      <c r="E50">
        <f t="shared" si="6"/>
        <v>0.29159584641456598</v>
      </c>
    </row>
    <row r="51" spans="1:5" x14ac:dyDescent="0.25">
      <c r="A51" t="s">
        <v>24</v>
      </c>
      <c r="B51" s="1">
        <v>2349.6810344827591</v>
      </c>
      <c r="C51" s="1">
        <v>2353.4137931034479</v>
      </c>
      <c r="D51" s="1">
        <v>2406.7327586206902</v>
      </c>
      <c r="E51">
        <f t="shared" si="6"/>
        <v>2369.9425287356321</v>
      </c>
    </row>
    <row r="52" spans="1:5" x14ac:dyDescent="0.25">
      <c r="A52" t="s">
        <v>25</v>
      </c>
      <c r="B52" s="1">
        <v>2127.8534482758619</v>
      </c>
      <c r="C52" s="1">
        <v>2130.3534482758619</v>
      </c>
      <c r="D52" s="1">
        <v>2173.3620689655172</v>
      </c>
      <c r="E52">
        <f t="shared" si="6"/>
        <v>2143.8563218390805</v>
      </c>
    </row>
    <row r="53" spans="1:5" x14ac:dyDescent="0.25">
      <c r="A53" t="s">
        <v>26</v>
      </c>
      <c r="B53" s="1">
        <v>221.82758620689651</v>
      </c>
      <c r="C53" s="1">
        <v>223.06034482758619</v>
      </c>
      <c r="D53" s="1">
        <v>233.37068965517241</v>
      </c>
      <c r="E53">
        <f t="shared" si="6"/>
        <v>226.08620689655172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C1CF-AF99-4FC0-A37D-09071864ECF5}">
  <dimension ref="A1:O67"/>
  <sheetViews>
    <sheetView topLeftCell="A9" workbookViewId="0"/>
  </sheetViews>
  <sheetFormatPr baseColWidth="10" defaultRowHeight="15" x14ac:dyDescent="0.25"/>
  <sheetData>
    <row r="1" spans="1:5" x14ac:dyDescent="0.25">
      <c r="A1" t="s">
        <v>18</v>
      </c>
    </row>
    <row r="2" spans="1:5" x14ac:dyDescent="0.25">
      <c r="A2">
        <v>1500</v>
      </c>
      <c r="B2">
        <v>300</v>
      </c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4</v>
      </c>
      <c r="B4">
        <v>0.63928167139374037</v>
      </c>
      <c r="C4">
        <v>0.63161098979683061</v>
      </c>
      <c r="D4">
        <v>0.63785624098124105</v>
      </c>
      <c r="E4">
        <f>AVERAGE(B4:D4)</f>
        <v>0.63624963405727064</v>
      </c>
    </row>
    <row r="5" spans="1:5" x14ac:dyDescent="0.25">
      <c r="A5" t="s">
        <v>5</v>
      </c>
      <c r="B5">
        <v>0.69714696223316919</v>
      </c>
      <c r="C5">
        <v>0.699296066252588</v>
      </c>
      <c r="D5">
        <v>0.68654244306418222</v>
      </c>
      <c r="E5">
        <f t="shared" ref="E5:E12" si="0">AVERAGE(B5:D5)</f>
        <v>0.69432849051664647</v>
      </c>
    </row>
    <row r="6" spans="1:5" x14ac:dyDescent="0.25">
      <c r="A6" t="s">
        <v>6</v>
      </c>
      <c r="B6">
        <v>0.72491618771193134</v>
      </c>
      <c r="C6">
        <v>0.71271739127692224</v>
      </c>
      <c r="D6">
        <v>0.70456521736496258</v>
      </c>
      <c r="E6">
        <f t="shared" si="0"/>
        <v>0.71406626545127205</v>
      </c>
    </row>
    <row r="7" spans="1:5" x14ac:dyDescent="0.25">
      <c r="A7" t="s">
        <v>7</v>
      </c>
      <c r="B7">
        <v>0.75592343025572384</v>
      </c>
      <c r="C7">
        <v>0.76445786427386186</v>
      </c>
      <c r="D7">
        <v>0.76363038802542538</v>
      </c>
      <c r="E7">
        <f t="shared" si="0"/>
        <v>0.7613372275183371</v>
      </c>
    </row>
    <row r="8" spans="1:5" x14ac:dyDescent="0.25">
      <c r="A8" t="s">
        <v>8</v>
      </c>
      <c r="B8">
        <v>0.1202172178095338</v>
      </c>
      <c r="C8">
        <v>0.1158506141244314</v>
      </c>
      <c r="D8">
        <v>0.12082725581784701</v>
      </c>
      <c r="E8">
        <f t="shared" si="0"/>
        <v>0.11896502925060408</v>
      </c>
    </row>
    <row r="9" spans="1:5" x14ac:dyDescent="0.25">
      <c r="A9" t="s">
        <v>9</v>
      </c>
      <c r="B9">
        <v>0.54251985943136916</v>
      </c>
      <c r="C9">
        <v>0.53545989803191707</v>
      </c>
      <c r="D9">
        <v>0.54221877121649986</v>
      </c>
      <c r="E9">
        <f t="shared" si="0"/>
        <v>0.54006617622659536</v>
      </c>
    </row>
    <row r="10" spans="1:5" x14ac:dyDescent="0.25">
      <c r="A10" t="s">
        <v>10</v>
      </c>
      <c r="B10">
        <v>0.34885057471264369</v>
      </c>
      <c r="C10">
        <v>0.31057971014492758</v>
      </c>
      <c r="D10">
        <v>0.31057971014492758</v>
      </c>
      <c r="E10">
        <f t="shared" si="0"/>
        <v>0.32333666500083297</v>
      </c>
    </row>
    <row r="11" spans="1:5" x14ac:dyDescent="0.25">
      <c r="A11" t="s">
        <v>11</v>
      </c>
      <c r="B11">
        <v>0.52586206896551724</v>
      </c>
      <c r="C11">
        <v>0.46086956521739131</v>
      </c>
      <c r="D11">
        <v>0.46086956521739131</v>
      </c>
      <c r="E11">
        <f t="shared" si="0"/>
        <v>0.48253373313343334</v>
      </c>
    </row>
    <row r="12" spans="1:5" x14ac:dyDescent="0.25">
      <c r="A12" t="s">
        <v>12</v>
      </c>
      <c r="B12">
        <v>22.538866022537491</v>
      </c>
      <c r="C12">
        <v>12.643024224820341</v>
      </c>
      <c r="D12">
        <v>10.93885221066682</v>
      </c>
      <c r="E12">
        <f t="shared" si="0"/>
        <v>15.37358081934155</v>
      </c>
    </row>
    <row r="15" spans="1:5" x14ac:dyDescent="0.25">
      <c r="A15" t="s">
        <v>19</v>
      </c>
    </row>
    <row r="16" spans="1:5" x14ac:dyDescent="0.25">
      <c r="A16">
        <v>1500</v>
      </c>
      <c r="B16">
        <v>300</v>
      </c>
      <c r="C16">
        <v>400</v>
      </c>
      <c r="D16">
        <v>5</v>
      </c>
    </row>
    <row r="17" spans="1:8" x14ac:dyDescent="0.25">
      <c r="B17" t="s">
        <v>0</v>
      </c>
      <c r="C17" t="s">
        <v>1</v>
      </c>
      <c r="D17" t="s">
        <v>2</v>
      </c>
      <c r="E17" t="s">
        <v>3</v>
      </c>
      <c r="F17" t="s">
        <v>20</v>
      </c>
      <c r="G17" t="s">
        <v>14</v>
      </c>
    </row>
    <row r="18" spans="1:8" x14ac:dyDescent="0.25">
      <c r="A18" t="s">
        <v>4</v>
      </c>
      <c r="B18">
        <v>0.63351272621184107</v>
      </c>
      <c r="C18">
        <v>0.62602869107293879</v>
      </c>
      <c r="D18">
        <v>0.63562295404400659</v>
      </c>
      <c r="E18">
        <f t="shared" ref="E18:E26" si="1">AVERAGE(B18:D18)</f>
        <v>0.63172145710959549</v>
      </c>
      <c r="F18">
        <f>E18-E$4</f>
        <v>-4.5281769476751554E-3</v>
      </c>
      <c r="G18">
        <f>F18*100</f>
        <v>-0.45281769476751554</v>
      </c>
    </row>
    <row r="19" spans="1:8" x14ac:dyDescent="0.25">
      <c r="A19" t="s">
        <v>5</v>
      </c>
      <c r="B19">
        <v>0.63060344827586212</v>
      </c>
      <c r="C19">
        <v>0.62227011494252882</v>
      </c>
      <c r="D19">
        <v>0.63376436781609191</v>
      </c>
      <c r="E19">
        <f t="shared" si="1"/>
        <v>0.62887931034482758</v>
      </c>
      <c r="F19">
        <f>E19-E$5</f>
        <v>-6.5449180171818888E-2</v>
      </c>
      <c r="G19">
        <f t="shared" ref="G19:G25" si="2">F19*100</f>
        <v>-6.5449180171818888</v>
      </c>
      <c r="H19" t="s">
        <v>16</v>
      </c>
    </row>
    <row r="20" spans="1:8" x14ac:dyDescent="0.25">
      <c r="A20" t="s">
        <v>6</v>
      </c>
      <c r="B20">
        <v>0.70974637678520747</v>
      </c>
      <c r="C20">
        <v>0.72195652171092872</v>
      </c>
      <c r="D20">
        <v>0.7130268198961851</v>
      </c>
      <c r="E20">
        <f t="shared" si="1"/>
        <v>0.71490990613077388</v>
      </c>
      <c r="F20">
        <f>E20-E$6</f>
        <v>8.4364067950182253E-4</v>
      </c>
      <c r="G20">
        <f t="shared" si="2"/>
        <v>8.4364067950182253E-2</v>
      </c>
    </row>
    <row r="21" spans="1:8" x14ac:dyDescent="0.25">
      <c r="A21" t="s">
        <v>7</v>
      </c>
      <c r="B21">
        <v>0.76006157871638313</v>
      </c>
      <c r="C21">
        <v>0.76006157871638313</v>
      </c>
      <c r="D21">
        <v>0.76006157871638313</v>
      </c>
      <c r="E21">
        <f t="shared" si="1"/>
        <v>0.76006157871638313</v>
      </c>
      <c r="F21">
        <f>E21-E$7</f>
        <v>-1.2756488019539658E-3</v>
      </c>
      <c r="G21">
        <f t="shared" si="2"/>
        <v>-0.12756488019539658</v>
      </c>
    </row>
    <row r="22" spans="1:8" x14ac:dyDescent="0.25">
      <c r="A22" t="s">
        <v>8</v>
      </c>
      <c r="B22">
        <v>0.14863753589118131</v>
      </c>
      <c r="C22">
        <v>0.14382413673605429</v>
      </c>
      <c r="D22">
        <v>0.15017526964578171</v>
      </c>
      <c r="E22">
        <f t="shared" si="1"/>
        <v>0.14754564742433909</v>
      </c>
      <c r="F22">
        <f>E22-E$8</f>
        <v>2.8580618173735015E-2</v>
      </c>
      <c r="G22">
        <f t="shared" si="2"/>
        <v>2.8580618173735015</v>
      </c>
      <c r="H22" t="s">
        <v>17</v>
      </c>
    </row>
    <row r="23" spans="1:8" x14ac:dyDescent="0.25">
      <c r="A23" t="s">
        <v>9</v>
      </c>
      <c r="B23">
        <v>0.5552812872194981</v>
      </c>
      <c r="C23">
        <v>0.55531351804635143</v>
      </c>
      <c r="D23">
        <v>0.55530281878956966</v>
      </c>
      <c r="E23">
        <f t="shared" si="1"/>
        <v>0.55529920801847299</v>
      </c>
      <c r="F23">
        <f>E23-E$9</f>
        <v>1.5233031791877627E-2</v>
      </c>
      <c r="G23">
        <f t="shared" si="2"/>
        <v>1.5233031791877627</v>
      </c>
      <c r="H23" t="s">
        <v>17</v>
      </c>
    </row>
    <row r="24" spans="1:8" x14ac:dyDescent="0.25">
      <c r="A24" t="s">
        <v>10</v>
      </c>
      <c r="B24">
        <v>0.36206896551724138</v>
      </c>
      <c r="C24">
        <v>0.35344827586206901</v>
      </c>
      <c r="D24">
        <v>0.35344827586206901</v>
      </c>
      <c r="E24">
        <f t="shared" si="1"/>
        <v>0.35632183908045983</v>
      </c>
      <c r="F24">
        <f>E24-E$10</f>
        <v>3.2985174079626867E-2</v>
      </c>
      <c r="G24">
        <f t="shared" si="2"/>
        <v>3.2985174079626867</v>
      </c>
      <c r="H24" t="s">
        <v>17</v>
      </c>
    </row>
    <row r="25" spans="1:8" x14ac:dyDescent="0.25">
      <c r="A25" t="s">
        <v>11</v>
      </c>
      <c r="B25">
        <v>0.50862068965517238</v>
      </c>
      <c r="C25">
        <v>0.5</v>
      </c>
      <c r="D25">
        <v>0.5</v>
      </c>
      <c r="E25">
        <f t="shared" si="1"/>
        <v>0.50287356321839083</v>
      </c>
      <c r="F25">
        <f>E25-E$11</f>
        <v>2.0339830084957489E-2</v>
      </c>
      <c r="G25">
        <f t="shared" si="2"/>
        <v>2.0339830084957491</v>
      </c>
      <c r="H25" t="s">
        <v>17</v>
      </c>
    </row>
    <row r="26" spans="1:8" x14ac:dyDescent="0.25">
      <c r="A26" t="s">
        <v>12</v>
      </c>
      <c r="B26">
        <v>11.19616421337785</v>
      </c>
      <c r="C26" s="1">
        <v>11.108016953386111</v>
      </c>
      <c r="D26">
        <v>10.89680967659786</v>
      </c>
      <c r="E26">
        <f t="shared" si="1"/>
        <v>11.066996947787274</v>
      </c>
      <c r="F26">
        <f>E26-E$12</f>
        <v>-4.3065838715542757</v>
      </c>
    </row>
    <row r="27" spans="1:8" x14ac:dyDescent="0.25">
      <c r="C27" s="1"/>
    </row>
    <row r="28" spans="1:8" x14ac:dyDescent="0.25">
      <c r="C28" s="1"/>
    </row>
    <row r="29" spans="1:8" x14ac:dyDescent="0.25">
      <c r="A29" t="s">
        <v>19</v>
      </c>
    </row>
    <row r="30" spans="1:8" x14ac:dyDescent="0.25">
      <c r="A30">
        <v>1500</v>
      </c>
      <c r="B30">
        <v>300</v>
      </c>
      <c r="C30">
        <v>400</v>
      </c>
      <c r="D30">
        <v>10</v>
      </c>
    </row>
    <row r="31" spans="1:8" x14ac:dyDescent="0.25"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t="s">
        <v>14</v>
      </c>
    </row>
    <row r="32" spans="1:8" x14ac:dyDescent="0.25">
      <c r="A32" t="s">
        <v>4</v>
      </c>
      <c r="B32">
        <v>0.65619604566972978</v>
      </c>
      <c r="C32">
        <v>0.66472755366560665</v>
      </c>
      <c r="D32">
        <v>0.65075219614693292</v>
      </c>
      <c r="E32">
        <f t="shared" ref="E32:E40" si="3">AVERAGE(B32:D32)</f>
        <v>0.65722526516075652</v>
      </c>
      <c r="F32">
        <f>E32-E$4</f>
        <v>2.0975631103485881E-2</v>
      </c>
      <c r="G32">
        <f>F32*100</f>
        <v>2.0975631103485881</v>
      </c>
      <c r="H32" t="s">
        <v>17</v>
      </c>
    </row>
    <row r="33" spans="1:15" x14ac:dyDescent="0.25">
      <c r="A33" t="s">
        <v>5</v>
      </c>
      <c r="B33">
        <v>0.63069581280788167</v>
      </c>
      <c r="C33">
        <v>0.64793719211822653</v>
      </c>
      <c r="D33">
        <v>0.67092569786535317</v>
      </c>
      <c r="E33">
        <f t="shared" si="3"/>
        <v>0.64985290093048709</v>
      </c>
      <c r="F33">
        <f>E33-E$5</f>
        <v>-4.4475589586159381E-2</v>
      </c>
      <c r="G33">
        <f t="shared" ref="G33:G39" si="4">F33*100</f>
        <v>-4.4475589586159376</v>
      </c>
      <c r="H33" t="s">
        <v>16</v>
      </c>
    </row>
    <row r="34" spans="1:15" x14ac:dyDescent="0.25">
      <c r="A34" t="s">
        <v>6</v>
      </c>
      <c r="B34">
        <v>0.70167874393576857</v>
      </c>
      <c r="C34">
        <v>0.70777059384295604</v>
      </c>
      <c r="D34">
        <v>0.70626811591633665</v>
      </c>
      <c r="E34">
        <f t="shared" si="3"/>
        <v>0.70523915123168701</v>
      </c>
      <c r="F34">
        <f>E34-E$6</f>
        <v>-8.8271142195850416E-3</v>
      </c>
      <c r="G34">
        <f t="shared" si="4"/>
        <v>-0.88271142195850416</v>
      </c>
      <c r="H34" t="s">
        <v>16</v>
      </c>
    </row>
    <row r="35" spans="1:15" x14ac:dyDescent="0.25">
      <c r="A35" t="s">
        <v>7</v>
      </c>
      <c r="B35">
        <v>0.7645731722938216</v>
      </c>
      <c r="C35">
        <v>0.7645731722938216</v>
      </c>
      <c r="D35">
        <v>0.7645731722938216</v>
      </c>
      <c r="E35">
        <f t="shared" si="3"/>
        <v>0.76457317229382171</v>
      </c>
      <c r="F35">
        <f>E35-E$7</f>
        <v>3.2359447754846116E-3</v>
      </c>
      <c r="G35">
        <f t="shared" si="4"/>
        <v>0.32359447754846116</v>
      </c>
    </row>
    <row r="36" spans="1:15" x14ac:dyDescent="0.25">
      <c r="A36" t="s">
        <v>8</v>
      </c>
      <c r="B36">
        <v>0.14562855618653209</v>
      </c>
      <c r="C36">
        <v>0.13882559465945099</v>
      </c>
      <c r="D36">
        <v>0.141336252868936</v>
      </c>
      <c r="E36">
        <f t="shared" si="3"/>
        <v>0.14193013457163969</v>
      </c>
      <c r="F36">
        <f>E36-E$8</f>
        <v>2.2965105321035614E-2</v>
      </c>
      <c r="G36">
        <f t="shared" si="4"/>
        <v>2.2965105321035613</v>
      </c>
      <c r="H36" t="s">
        <v>17</v>
      </c>
    </row>
    <row r="37" spans="1:15" x14ac:dyDescent="0.25">
      <c r="A37" t="s">
        <v>9</v>
      </c>
      <c r="B37">
        <v>0.56955904715958205</v>
      </c>
      <c r="C37">
        <v>0.56969008919932784</v>
      </c>
      <c r="D37">
        <v>0.56955904715958205</v>
      </c>
      <c r="E37">
        <f t="shared" si="3"/>
        <v>0.56960272783949728</v>
      </c>
      <c r="F37">
        <f>E37-E$9</f>
        <v>2.9536551612901918E-2</v>
      </c>
      <c r="G37">
        <f t="shared" si="4"/>
        <v>2.9536551612901918</v>
      </c>
      <c r="H37" t="s">
        <v>17</v>
      </c>
    </row>
    <row r="38" spans="1:15" x14ac:dyDescent="0.25">
      <c r="A38" t="s">
        <v>10</v>
      </c>
      <c r="B38">
        <v>0.33477011494252867</v>
      </c>
      <c r="C38">
        <v>0.33477011494252867</v>
      </c>
      <c r="D38">
        <v>0.33477011494252867</v>
      </c>
      <c r="E38">
        <f t="shared" si="3"/>
        <v>0.33477011494252867</v>
      </c>
      <c r="F38">
        <f>E38-E$10</f>
        <v>1.1433449941695706E-2</v>
      </c>
      <c r="G38">
        <f t="shared" si="4"/>
        <v>1.1433449941695706</v>
      </c>
      <c r="H38" t="s">
        <v>17</v>
      </c>
    </row>
    <row r="39" spans="1:15" x14ac:dyDescent="0.25">
      <c r="A39" t="s">
        <v>11</v>
      </c>
      <c r="B39">
        <v>0.46551724137931028</v>
      </c>
      <c r="C39">
        <v>0.46551724137931028</v>
      </c>
      <c r="D39">
        <v>0.46551724137931028</v>
      </c>
      <c r="E39">
        <f t="shared" si="3"/>
        <v>0.46551724137931028</v>
      </c>
      <c r="F39">
        <f>E39-E$11</f>
        <v>-1.7016491754123064E-2</v>
      </c>
      <c r="G39">
        <f t="shared" si="4"/>
        <v>-1.7016491754123064</v>
      </c>
      <c r="H39" t="s">
        <v>16</v>
      </c>
    </row>
    <row r="40" spans="1:15" x14ac:dyDescent="0.25">
      <c r="A40" t="s">
        <v>12</v>
      </c>
      <c r="B40">
        <v>10.31293877034352</v>
      </c>
      <c r="C40" s="1">
        <v>10.39542101786054</v>
      </c>
      <c r="D40">
        <v>9.8157314329311767</v>
      </c>
      <c r="E40">
        <f t="shared" si="3"/>
        <v>10.174697073711746</v>
      </c>
      <c r="F40">
        <f>E40-E$12</f>
        <v>-5.1988837456298036</v>
      </c>
    </row>
    <row r="43" spans="1:15" x14ac:dyDescent="0.25">
      <c r="A43" t="s">
        <v>19</v>
      </c>
      <c r="I43" t="s">
        <v>19</v>
      </c>
    </row>
    <row r="44" spans="1:15" x14ac:dyDescent="0.25">
      <c r="A44">
        <v>1500</v>
      </c>
      <c r="B44">
        <v>300</v>
      </c>
      <c r="C44">
        <v>400</v>
      </c>
      <c r="D44">
        <v>15</v>
      </c>
      <c r="I44">
        <v>1500</v>
      </c>
      <c r="J44">
        <v>300</v>
      </c>
      <c r="K44">
        <v>600</v>
      </c>
      <c r="L44">
        <v>15</v>
      </c>
    </row>
    <row r="45" spans="1:15" x14ac:dyDescent="0.25">
      <c r="B45" t="s">
        <v>0</v>
      </c>
      <c r="C45" t="s">
        <v>1</v>
      </c>
      <c r="D45" t="s">
        <v>2</v>
      </c>
      <c r="E45" t="s">
        <v>3</v>
      </c>
      <c r="F45" t="s">
        <v>20</v>
      </c>
      <c r="G45" t="s">
        <v>14</v>
      </c>
      <c r="J45" t="s">
        <v>0</v>
      </c>
      <c r="K45" t="s">
        <v>1</v>
      </c>
      <c r="L45" t="s">
        <v>2</v>
      </c>
      <c r="M45" t="s">
        <v>3</v>
      </c>
      <c r="N45" t="s">
        <v>20</v>
      </c>
      <c r="O45" t="s">
        <v>14</v>
      </c>
    </row>
    <row r="46" spans="1:15" x14ac:dyDescent="0.25">
      <c r="A46" t="s">
        <v>4</v>
      </c>
      <c r="B46">
        <v>0.62861930998294635</v>
      </c>
      <c r="C46">
        <v>0.65029679916043548</v>
      </c>
      <c r="D46">
        <v>0.65322656446509653</v>
      </c>
      <c r="E46">
        <f>AVERAGE(B46:D46)</f>
        <v>0.64404755786949275</v>
      </c>
      <c r="F46">
        <f>E46-$E$4</f>
        <v>7.7979238122221073E-3</v>
      </c>
      <c r="G46">
        <f>F46*100</f>
        <v>0.77979238122221073</v>
      </c>
      <c r="I46" t="s">
        <v>4</v>
      </c>
      <c r="J46">
        <v>0.58116975211111632</v>
      </c>
      <c r="K46">
        <v>0.60617751589973801</v>
      </c>
      <c r="L46">
        <v>0.60536153891758193</v>
      </c>
      <c r="M46">
        <f>AVERAGE(J46:L46)</f>
        <v>0.59756960230947875</v>
      </c>
      <c r="N46">
        <f>M46-E46</f>
        <v>-4.6477955560013995E-2</v>
      </c>
      <c r="O46">
        <f>N46*100</f>
        <v>-4.6477955560013999</v>
      </c>
    </row>
    <row r="47" spans="1:15" x14ac:dyDescent="0.25">
      <c r="A47" t="s">
        <v>5</v>
      </c>
      <c r="B47">
        <v>0.63048029556650242</v>
      </c>
      <c r="C47">
        <v>0.62315270935960587</v>
      </c>
      <c r="D47">
        <v>0.6411124794745483</v>
      </c>
      <c r="E47">
        <f t="shared" ref="E47:E54" si="5">AVERAGE(B47:D47)</f>
        <v>0.63158182813355213</v>
      </c>
      <c r="F47">
        <f>E47-$E$5</f>
        <v>-6.2746662383094343E-2</v>
      </c>
      <c r="G47">
        <f t="shared" ref="G47:G53" si="6">F47*100</f>
        <v>-6.2746662383094343</v>
      </c>
      <c r="I47" t="s">
        <v>5</v>
      </c>
      <c r="J47">
        <v>0.60849753694581277</v>
      </c>
      <c r="K47">
        <v>0.62516420361247937</v>
      </c>
      <c r="L47">
        <v>0.60921592775041045</v>
      </c>
      <c r="M47">
        <f t="shared" ref="M47:M54" si="7">AVERAGE(J47:L47)</f>
        <v>0.6142925561029009</v>
      </c>
      <c r="N47">
        <f t="shared" ref="N47:N54" si="8">M47-E47</f>
        <v>-1.7289272030651226E-2</v>
      </c>
      <c r="O47">
        <f t="shared" ref="O47:O53" si="9">N47*100</f>
        <v>-1.7289272030651226</v>
      </c>
    </row>
    <row r="48" spans="1:15" x14ac:dyDescent="0.25">
      <c r="A48" t="s">
        <v>6</v>
      </c>
      <c r="B48">
        <v>0.64956896549431453</v>
      </c>
      <c r="C48">
        <v>0.68018438694906547</v>
      </c>
      <c r="D48">
        <v>0.67041427200661396</v>
      </c>
      <c r="E48">
        <f t="shared" si="5"/>
        <v>0.66672254148333143</v>
      </c>
      <c r="F48">
        <f>E48-$E$6</f>
        <v>-4.7343723967940621E-2</v>
      </c>
      <c r="G48">
        <f t="shared" si="6"/>
        <v>-4.7343723967940621</v>
      </c>
      <c r="I48" t="s">
        <v>6</v>
      </c>
      <c r="J48">
        <v>0.63952346741104926</v>
      </c>
      <c r="K48">
        <v>0.67476053637439981</v>
      </c>
      <c r="L48">
        <v>0.6631345785201086</v>
      </c>
      <c r="M48">
        <f t="shared" si="7"/>
        <v>0.65913952743518589</v>
      </c>
      <c r="N48">
        <f t="shared" si="8"/>
        <v>-7.5830140481455421E-3</v>
      </c>
      <c r="O48">
        <f t="shared" si="9"/>
        <v>-0.75830140481455421</v>
      </c>
    </row>
    <row r="49" spans="1:15" x14ac:dyDescent="0.25">
      <c r="A49" t="s">
        <v>7</v>
      </c>
      <c r="B49">
        <v>0.76165258772505207</v>
      </c>
      <c r="C49">
        <v>0.76165258772505207</v>
      </c>
      <c r="D49">
        <v>0.76165258772505207</v>
      </c>
      <c r="E49">
        <f t="shared" si="5"/>
        <v>0.76165258772505207</v>
      </c>
      <c r="F49">
        <f>E49-$E$7</f>
        <v>3.1536020671496523E-4</v>
      </c>
      <c r="G49">
        <f t="shared" si="6"/>
        <v>3.1536020671496523E-2</v>
      </c>
      <c r="I49" t="s">
        <v>7</v>
      </c>
      <c r="J49">
        <v>0.75484597742695825</v>
      </c>
      <c r="K49">
        <v>0.75484597742695825</v>
      </c>
      <c r="L49">
        <v>0.75484597742695825</v>
      </c>
      <c r="M49">
        <f t="shared" si="7"/>
        <v>0.75484597742695814</v>
      </c>
      <c r="N49">
        <f t="shared" si="8"/>
        <v>-6.8066102980939291E-3</v>
      </c>
      <c r="O49">
        <f t="shared" si="9"/>
        <v>-0.68066102980939291</v>
      </c>
    </row>
    <row r="50" spans="1:15" x14ac:dyDescent="0.25">
      <c r="A50" t="s">
        <v>8</v>
      </c>
      <c r="B50">
        <v>0.12228882773438179</v>
      </c>
      <c r="C50">
        <v>0.130548145035601</v>
      </c>
      <c r="D50">
        <v>0.1235946086697287</v>
      </c>
      <c r="E50">
        <f t="shared" si="5"/>
        <v>0.12547719381323716</v>
      </c>
      <c r="F50">
        <f>E50-$E$8</f>
        <v>6.5121645626330799E-3</v>
      </c>
      <c r="G50">
        <f t="shared" si="6"/>
        <v>0.65121645626330804</v>
      </c>
      <c r="I50" t="s">
        <v>8</v>
      </c>
      <c r="J50">
        <v>0.12039097349345269</v>
      </c>
      <c r="K50">
        <v>0.1208664797934889</v>
      </c>
      <c r="L50">
        <v>0.1127508406541232</v>
      </c>
      <c r="M50">
        <f t="shared" si="7"/>
        <v>0.1180027646470216</v>
      </c>
      <c r="N50">
        <f t="shared" si="8"/>
        <v>-7.4744291662155599E-3</v>
      </c>
      <c r="O50">
        <f t="shared" si="9"/>
        <v>-0.74744291662155593</v>
      </c>
    </row>
    <row r="51" spans="1:15" x14ac:dyDescent="0.25">
      <c r="A51" t="s">
        <v>9</v>
      </c>
      <c r="B51">
        <v>0.53661076583489509</v>
      </c>
      <c r="C51">
        <v>0.53599105026958216</v>
      </c>
      <c r="D51">
        <v>0.53583428166634284</v>
      </c>
      <c r="E51">
        <f t="shared" si="5"/>
        <v>0.53614536592360673</v>
      </c>
      <c r="F51">
        <f>E51-$E$9</f>
        <v>-3.920810302988631E-3</v>
      </c>
      <c r="G51">
        <f t="shared" si="6"/>
        <v>-0.3920810302988631</v>
      </c>
      <c r="I51" t="s">
        <v>9</v>
      </c>
      <c r="J51">
        <v>0.54799313232763169</v>
      </c>
      <c r="K51">
        <v>0.55503114084071004</v>
      </c>
      <c r="L51">
        <v>0.55535068561869882</v>
      </c>
      <c r="M51">
        <f t="shared" si="7"/>
        <v>0.55279165292901355</v>
      </c>
      <c r="N51">
        <f t="shared" si="8"/>
        <v>1.6646287005406823E-2</v>
      </c>
      <c r="O51">
        <f t="shared" si="9"/>
        <v>1.6646287005406823</v>
      </c>
    </row>
    <row r="52" spans="1:15" x14ac:dyDescent="0.25">
      <c r="A52" t="s">
        <v>10</v>
      </c>
      <c r="B52">
        <v>0.32241379310344831</v>
      </c>
      <c r="C52">
        <v>0.32241379310344831</v>
      </c>
      <c r="D52">
        <v>0.31379310344827582</v>
      </c>
      <c r="E52">
        <f t="shared" si="5"/>
        <v>0.31954022988505748</v>
      </c>
      <c r="F52">
        <f>E52-$E$10</f>
        <v>-3.7964351157754872E-3</v>
      </c>
      <c r="G52">
        <f t="shared" si="6"/>
        <v>-0.37964351157754872</v>
      </c>
      <c r="I52" t="s">
        <v>10</v>
      </c>
      <c r="J52">
        <v>0.31422413793103449</v>
      </c>
      <c r="K52">
        <v>0.32284482758620692</v>
      </c>
      <c r="L52">
        <v>0.31853448275862067</v>
      </c>
      <c r="M52">
        <f t="shared" si="7"/>
        <v>0.31853448275862073</v>
      </c>
      <c r="N52">
        <f t="shared" si="8"/>
        <v>-1.0057471264367512E-3</v>
      </c>
      <c r="O52">
        <f t="shared" si="9"/>
        <v>-0.10057471264367512</v>
      </c>
    </row>
    <row r="53" spans="1:15" x14ac:dyDescent="0.25">
      <c r="A53" t="s">
        <v>11</v>
      </c>
      <c r="B53">
        <v>0.43103448275862072</v>
      </c>
      <c r="C53">
        <v>0.43103448275862072</v>
      </c>
      <c r="D53">
        <v>0.42241379310344829</v>
      </c>
      <c r="E53">
        <f t="shared" si="5"/>
        <v>0.42816091954022989</v>
      </c>
      <c r="F53">
        <f>E53-$E$11</f>
        <v>-5.4372813593203451E-2</v>
      </c>
      <c r="G53">
        <f t="shared" si="6"/>
        <v>-5.4372813593203446</v>
      </c>
      <c r="I53" t="s">
        <v>11</v>
      </c>
      <c r="J53">
        <v>0.42241379310344829</v>
      </c>
      <c r="K53">
        <v>0.43103448275862072</v>
      </c>
      <c r="L53">
        <v>0.42241379310344829</v>
      </c>
      <c r="M53">
        <f t="shared" si="7"/>
        <v>0.42528735632183912</v>
      </c>
      <c r="N53">
        <f t="shared" si="8"/>
        <v>-2.8735632183907733E-3</v>
      </c>
      <c r="O53">
        <f t="shared" si="9"/>
        <v>-0.28735632183907733</v>
      </c>
    </row>
    <row r="54" spans="1:15" x14ac:dyDescent="0.25">
      <c r="A54" t="s">
        <v>12</v>
      </c>
      <c r="B54">
        <v>11.24697343028825</v>
      </c>
      <c r="C54" s="1">
        <v>10.637627139173709</v>
      </c>
      <c r="D54">
        <v>11.093879611327729</v>
      </c>
      <c r="E54">
        <f t="shared" si="5"/>
        <v>10.992826726929897</v>
      </c>
      <c r="F54">
        <f>E54-$E$12</f>
        <v>-4.380754092411653</v>
      </c>
      <c r="I54" t="s">
        <v>12</v>
      </c>
      <c r="J54">
        <v>10.782622464771929</v>
      </c>
      <c r="K54" s="1">
        <v>10.95228897086505</v>
      </c>
      <c r="L54">
        <v>11.172789222207561</v>
      </c>
      <c r="M54">
        <f t="shared" si="7"/>
        <v>10.969233552614847</v>
      </c>
      <c r="N54">
        <f t="shared" si="8"/>
        <v>-2.3593174315049481E-2</v>
      </c>
    </row>
    <row r="56" spans="1:15" x14ac:dyDescent="0.25">
      <c r="A56" t="s">
        <v>19</v>
      </c>
    </row>
    <row r="57" spans="1:15" x14ac:dyDescent="0.25">
      <c r="A57">
        <v>1500</v>
      </c>
      <c r="B57">
        <v>300</v>
      </c>
      <c r="C57">
        <v>400</v>
      </c>
      <c r="D57">
        <v>20</v>
      </c>
    </row>
    <row r="58" spans="1:15" x14ac:dyDescent="0.25">
      <c r="B58" t="s">
        <v>0</v>
      </c>
      <c r="C58" t="s">
        <v>1</v>
      </c>
      <c r="D58" t="s">
        <v>2</v>
      </c>
      <c r="E58" t="s">
        <v>3</v>
      </c>
      <c r="F58" t="s">
        <v>20</v>
      </c>
      <c r="G58" t="s">
        <v>14</v>
      </c>
    </row>
    <row r="59" spans="1:15" x14ac:dyDescent="0.25">
      <c r="A59" t="s">
        <v>4</v>
      </c>
      <c r="B59">
        <v>0.61555959331188681</v>
      </c>
      <c r="C59">
        <v>0.65158730158730149</v>
      </c>
      <c r="D59">
        <v>0.65265971402335043</v>
      </c>
      <c r="E59">
        <f>AVERAGE(B59:D59)</f>
        <v>0.63993553630751299</v>
      </c>
      <c r="F59">
        <f>E59-E$4</f>
        <v>3.6859022502423455E-3</v>
      </c>
      <c r="G59">
        <f>F59*100</f>
        <v>0.36859022502423455</v>
      </c>
    </row>
    <row r="60" spans="1:15" x14ac:dyDescent="0.25">
      <c r="A60" t="s">
        <v>5</v>
      </c>
      <c r="B60">
        <v>0.67097701149425282</v>
      </c>
      <c r="C60">
        <v>0.66939655172413781</v>
      </c>
      <c r="D60">
        <v>0.67054597701149421</v>
      </c>
      <c r="E60">
        <f t="shared" ref="E60:E67" si="10">AVERAGE(B60:D60)</f>
        <v>0.67030651340996161</v>
      </c>
      <c r="F60">
        <f>E60-E$5</f>
        <v>-2.4021977106684855E-2</v>
      </c>
      <c r="G60">
        <f t="shared" ref="G60:G66" si="11">F60*100</f>
        <v>-2.4021977106684855</v>
      </c>
    </row>
    <row r="61" spans="1:15" x14ac:dyDescent="0.25">
      <c r="A61" t="s">
        <v>6</v>
      </c>
      <c r="B61">
        <v>0.64281400963976165</v>
      </c>
      <c r="C61">
        <v>0.65427536229576322</v>
      </c>
      <c r="D61">
        <v>0.65949473177800511</v>
      </c>
      <c r="E61">
        <f t="shared" si="10"/>
        <v>0.65219470123784329</v>
      </c>
      <c r="F61">
        <f>E61-E$6</f>
        <v>-6.1871564213428765E-2</v>
      </c>
      <c r="G61">
        <f t="shared" si="11"/>
        <v>-6.1871564213428769</v>
      </c>
    </row>
    <row r="62" spans="1:15" x14ac:dyDescent="0.25">
      <c r="A62" t="s">
        <v>7</v>
      </c>
      <c r="B62">
        <v>0.76950864952882647</v>
      </c>
      <c r="C62">
        <v>0.7707857655317053</v>
      </c>
      <c r="D62">
        <v>0.77190141442109028</v>
      </c>
      <c r="E62">
        <f t="shared" si="10"/>
        <v>0.77073194316054072</v>
      </c>
      <c r="F62">
        <f>E62-E$7</f>
        <v>9.3947156422036215E-3</v>
      </c>
      <c r="G62">
        <f t="shared" si="11"/>
        <v>0.93947156422036215</v>
      </c>
    </row>
    <row r="63" spans="1:15" x14ac:dyDescent="0.25">
      <c r="A63" t="s">
        <v>8</v>
      </c>
      <c r="B63">
        <v>0.11081178003243131</v>
      </c>
      <c r="C63">
        <v>0.122654639095896</v>
      </c>
      <c r="D63">
        <v>0.1153495195865346</v>
      </c>
      <c r="E63">
        <f t="shared" si="10"/>
        <v>0.11627197957162062</v>
      </c>
      <c r="F63">
        <f>E63-E$8</f>
        <v>-2.6930496789834557E-3</v>
      </c>
      <c r="G63">
        <f t="shared" si="11"/>
        <v>-0.26930496789834557</v>
      </c>
    </row>
    <row r="64" spans="1:15" x14ac:dyDescent="0.25">
      <c r="A64" t="s">
        <v>9</v>
      </c>
      <c r="B64">
        <v>0.60866933546773316</v>
      </c>
      <c r="C64">
        <v>0.59323477226513066</v>
      </c>
      <c r="D64">
        <v>0.56796815813713286</v>
      </c>
      <c r="E64">
        <f t="shared" si="10"/>
        <v>0.58995742195666556</v>
      </c>
      <c r="F64">
        <f>E64-E$9</f>
        <v>4.9891245730070199E-2</v>
      </c>
      <c r="G64">
        <f t="shared" si="11"/>
        <v>4.9891245730070199</v>
      </c>
    </row>
    <row r="65" spans="1:7" x14ac:dyDescent="0.25">
      <c r="A65" t="s">
        <v>10</v>
      </c>
      <c r="B65">
        <v>0.28893678160919539</v>
      </c>
      <c r="C65">
        <v>0.28864942528735632</v>
      </c>
      <c r="D65">
        <v>0.30373563218390798</v>
      </c>
      <c r="E65">
        <f t="shared" si="10"/>
        <v>0.29377394636015325</v>
      </c>
      <c r="F65">
        <f>E65-E$10</f>
        <v>-2.9562718640679719E-2</v>
      </c>
      <c r="G65">
        <f t="shared" si="11"/>
        <v>-2.9562718640679719</v>
      </c>
    </row>
    <row r="66" spans="1:7" x14ac:dyDescent="0.25">
      <c r="A66" t="s">
        <v>11</v>
      </c>
      <c r="B66">
        <v>0.44827586206896552</v>
      </c>
      <c r="C66">
        <v>0.43103448275862072</v>
      </c>
      <c r="D66">
        <v>0.44827586206896552</v>
      </c>
      <c r="E66">
        <f t="shared" si="10"/>
        <v>0.44252873563218392</v>
      </c>
      <c r="F66">
        <f>E66-E$11</f>
        <v>-4.0004997501249417E-2</v>
      </c>
      <c r="G66">
        <f t="shared" si="11"/>
        <v>-4.0004997501249413</v>
      </c>
    </row>
    <row r="67" spans="1:7" x14ac:dyDescent="0.25">
      <c r="A67" t="s">
        <v>12</v>
      </c>
      <c r="B67">
        <v>37.130805184101227</v>
      </c>
      <c r="C67" s="1">
        <v>12.481576933942989</v>
      </c>
      <c r="D67">
        <v>12.33926722099041</v>
      </c>
      <c r="E67">
        <f t="shared" si="10"/>
        <v>20.650549779678208</v>
      </c>
      <c r="F67">
        <f>E67-E$12</f>
        <v>5.2769689603366583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A0DA-D5A9-47E8-8278-4052962FDB95}">
  <dimension ref="A1:N70"/>
  <sheetViews>
    <sheetView workbookViewId="0">
      <selection activeCell="D56" sqref="D56:D61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400</v>
      </c>
      <c r="D19">
        <v>5</v>
      </c>
      <c r="E19" t="s">
        <v>3</v>
      </c>
      <c r="F19" t="s">
        <v>34</v>
      </c>
      <c r="G19" t="s">
        <v>14</v>
      </c>
      <c r="I19" t="s">
        <v>35</v>
      </c>
    </row>
    <row r="20" spans="1:10" x14ac:dyDescent="0.25">
      <c r="A20" t="s">
        <v>4</v>
      </c>
      <c r="B20">
        <v>0.67081299560802299</v>
      </c>
      <c r="C20">
        <v>0.6502410088850662</v>
      </c>
      <c r="D20">
        <v>0.64654995601056231</v>
      </c>
      <c r="E20">
        <f>AVERAGE(B20:D20)</f>
        <v>0.6558679868345505</v>
      </c>
      <c r="F20">
        <f>E20-E3</f>
        <v>-7.1528647813022816E-3</v>
      </c>
      <c r="G20">
        <f t="shared" ref="G20:G30" si="1">F20*100</f>
        <v>-0.71528647813022816</v>
      </c>
      <c r="I20">
        <f>F20/E3</f>
        <v>-1.0788295366382497E-2</v>
      </c>
      <c r="J20">
        <f>I20*100</f>
        <v>-1.0788295366382497</v>
      </c>
    </row>
    <row r="21" spans="1:10" x14ac:dyDescent="0.25">
      <c r="A21" t="s">
        <v>5</v>
      </c>
      <c r="B21">
        <v>0.60236042692939262</v>
      </c>
      <c r="C21">
        <v>0.58275862068965512</v>
      </c>
      <c r="D21">
        <v>0.58922413793103445</v>
      </c>
      <c r="E21">
        <f t="shared" ref="E21:E34" si="2">AVERAGE(B21:D21)</f>
        <v>0.59144772851669403</v>
      </c>
      <c r="F21">
        <f t="shared" ref="F21:F34" si="3">E21-E4</f>
        <v>-3.9846743295019138E-2</v>
      </c>
      <c r="G21">
        <f t="shared" si="1"/>
        <v>-3.9846743295019138</v>
      </c>
      <c r="H21" t="s">
        <v>16</v>
      </c>
      <c r="I21">
        <f t="shared" ref="I21:I30" si="4">F21/E4</f>
        <v>-6.3119106968678854E-2</v>
      </c>
      <c r="J21">
        <f t="shared" ref="J21:J30" si="5">I21*100</f>
        <v>-6.3119106968678853</v>
      </c>
    </row>
    <row r="22" spans="1:10" x14ac:dyDescent="0.25">
      <c r="A22" t="s">
        <v>6</v>
      </c>
      <c r="B22">
        <v>0.57905890801764526</v>
      </c>
      <c r="C22">
        <v>0.56351772027807456</v>
      </c>
      <c r="D22">
        <v>0.54766522985735411</v>
      </c>
      <c r="E22">
        <f t="shared" si="2"/>
        <v>0.56341395271769135</v>
      </c>
      <c r="F22">
        <f t="shared" si="3"/>
        <v>-6.7053799488758004E-2</v>
      </c>
      <c r="G22">
        <f t="shared" si="1"/>
        <v>-6.7053799488757999</v>
      </c>
      <c r="H22" t="s">
        <v>16</v>
      </c>
      <c r="I22">
        <f t="shared" si="4"/>
        <v>-0.10635563715049608</v>
      </c>
      <c r="J22">
        <f t="shared" si="5"/>
        <v>-10.635563715049608</v>
      </c>
    </row>
    <row r="23" spans="1:10" x14ac:dyDescent="0.25">
      <c r="A23" t="s">
        <v>7</v>
      </c>
      <c r="B23">
        <v>0.76702978390728305</v>
      </c>
      <c r="C23">
        <v>0.76702978390728316</v>
      </c>
      <c r="D23">
        <v>0.76702978390728316</v>
      </c>
      <c r="E23">
        <f t="shared" si="2"/>
        <v>0.76702978390728305</v>
      </c>
      <c r="F23">
        <f t="shared" si="3"/>
        <v>6.887011234293805E-3</v>
      </c>
      <c r="G23">
        <f t="shared" si="1"/>
        <v>0.6887011234293805</v>
      </c>
      <c r="I23">
        <f t="shared" si="4"/>
        <v>9.0601548575882773E-3</v>
      </c>
      <c r="J23">
        <f t="shared" si="5"/>
        <v>0.90601548575882773</v>
      </c>
    </row>
    <row r="24" spans="1:10" x14ac:dyDescent="0.25">
      <c r="A24" t="s">
        <v>8</v>
      </c>
      <c r="B24">
        <v>0.25454858301023664</v>
      </c>
      <c r="C24">
        <v>0.25161716671089701</v>
      </c>
      <c r="D24">
        <v>0.26991541864900082</v>
      </c>
      <c r="E24">
        <f t="shared" si="2"/>
        <v>0.25869372279004482</v>
      </c>
      <c r="F24">
        <f t="shared" si="3"/>
        <v>-1.5848043582697924E-2</v>
      </c>
      <c r="G24">
        <f t="shared" si="1"/>
        <v>-1.5848043582697924</v>
      </c>
      <c r="H24" t="s">
        <v>16</v>
      </c>
      <c r="I24">
        <f t="shared" si="4"/>
        <v>-5.7725437524799729E-2</v>
      </c>
      <c r="J24">
        <f t="shared" si="5"/>
        <v>-5.7725437524799732</v>
      </c>
    </row>
    <row r="25" spans="1:10" x14ac:dyDescent="0.25">
      <c r="A25" t="s">
        <v>9</v>
      </c>
      <c r="B25">
        <v>0.61920333429771635</v>
      </c>
      <c r="C25">
        <v>0.61197752046072729</v>
      </c>
      <c r="D25">
        <v>0.61493605624290903</v>
      </c>
      <c r="E25">
        <f t="shared" si="2"/>
        <v>0.61537230366711759</v>
      </c>
      <c r="F25">
        <f t="shared" si="3"/>
        <v>6.9918809726616793E-3</v>
      </c>
      <c r="G25">
        <f t="shared" si="1"/>
        <v>0.69918809726616793</v>
      </c>
      <c r="I25">
        <f t="shared" si="4"/>
        <v>1.1492613358094823E-2</v>
      </c>
      <c r="J25">
        <f t="shared" si="5"/>
        <v>1.1492613358094823</v>
      </c>
    </row>
    <row r="26" spans="1:10" x14ac:dyDescent="0.25">
      <c r="A26" t="s">
        <v>21</v>
      </c>
      <c r="B26">
        <v>0.26556834578514099</v>
      </c>
      <c r="C26">
        <v>0.26556834578514099</v>
      </c>
      <c r="D26">
        <v>0.26556834578514099</v>
      </c>
      <c r="E26">
        <f t="shared" si="2"/>
        <v>0.26556834578514099</v>
      </c>
      <c r="F26">
        <f t="shared" si="3"/>
        <v>2.2938191890716525E-2</v>
      </c>
      <c r="G26">
        <f t="shared" si="1"/>
        <v>2.2938191890716526</v>
      </c>
      <c r="H26" t="s">
        <v>17</v>
      </c>
      <c r="I26">
        <f t="shared" si="4"/>
        <v>9.4539740928893806E-2</v>
      </c>
      <c r="J26">
        <f t="shared" si="5"/>
        <v>9.4539740928893803</v>
      </c>
    </row>
    <row r="27" spans="1:10" x14ac:dyDescent="0.25">
      <c r="A27" t="s">
        <v>22</v>
      </c>
      <c r="B27">
        <v>0.22282713651657099</v>
      </c>
      <c r="C27">
        <v>0.22282713651657099</v>
      </c>
      <c r="D27">
        <v>0.22282713651657099</v>
      </c>
      <c r="E27">
        <f t="shared" si="2"/>
        <v>0.22282713651657096</v>
      </c>
      <c r="F27">
        <f t="shared" si="3"/>
        <v>2.9090523719787542E-2</v>
      </c>
      <c r="G27">
        <f t="shared" si="1"/>
        <v>2.9090523719787544</v>
      </c>
      <c r="H27" t="s">
        <v>17</v>
      </c>
      <c r="I27">
        <f t="shared" si="4"/>
        <v>0.15015501355080224</v>
      </c>
      <c r="J27">
        <f t="shared" si="5"/>
        <v>15.015501355080223</v>
      </c>
    </row>
    <row r="28" spans="1:10" x14ac:dyDescent="0.25">
      <c r="A28" t="s">
        <v>23</v>
      </c>
      <c r="B28">
        <v>0.30920496582984919</v>
      </c>
      <c r="C28">
        <v>0.30920496582984919</v>
      </c>
      <c r="D28">
        <v>0.30920496582984919</v>
      </c>
      <c r="E28">
        <f t="shared" si="2"/>
        <v>0.30920496582984919</v>
      </c>
      <c r="F28">
        <f t="shared" si="3"/>
        <v>1.6704052686691229E-2</v>
      </c>
      <c r="G28">
        <f t="shared" si="1"/>
        <v>1.6704052686691229</v>
      </c>
      <c r="H28" t="s">
        <v>17</v>
      </c>
      <c r="I28">
        <f t="shared" si="4"/>
        <v>5.7107694151080503E-2</v>
      </c>
      <c r="J28">
        <f t="shared" si="5"/>
        <v>5.7107694151080501</v>
      </c>
    </row>
    <row r="29" spans="1:10" x14ac:dyDescent="0.25">
      <c r="A29" t="s">
        <v>10</v>
      </c>
      <c r="B29">
        <v>0.34497126436781611</v>
      </c>
      <c r="C29">
        <v>0.33635057471264368</v>
      </c>
      <c r="D29">
        <v>0.34066091954022992</v>
      </c>
      <c r="E29">
        <f t="shared" si="2"/>
        <v>0.34066091954022992</v>
      </c>
      <c r="F29">
        <f t="shared" si="3"/>
        <v>-1.1302681992337138E-2</v>
      </c>
      <c r="G29">
        <f t="shared" si="1"/>
        <v>-1.1302681992337138</v>
      </c>
      <c r="H29" t="s">
        <v>16</v>
      </c>
      <c r="I29">
        <f t="shared" si="4"/>
        <v>-3.2113212681997474E-2</v>
      </c>
      <c r="J29">
        <f t="shared" si="5"/>
        <v>-3.2113212681997476</v>
      </c>
    </row>
    <row r="30" spans="1:10" x14ac:dyDescent="0.25">
      <c r="A30" t="s">
        <v>11</v>
      </c>
      <c r="B30">
        <v>0.49137931034482762</v>
      </c>
      <c r="C30">
        <v>0.47413793103448282</v>
      </c>
      <c r="D30">
        <v>0.48275862068965519</v>
      </c>
      <c r="E30">
        <f t="shared" si="2"/>
        <v>0.48275862068965525</v>
      </c>
      <c r="F30">
        <f t="shared" si="3"/>
        <v>-3.4482758620689613E-2</v>
      </c>
      <c r="G30">
        <f t="shared" si="1"/>
        <v>-3.4482758620689613</v>
      </c>
      <c r="H30" t="s">
        <v>16</v>
      </c>
      <c r="I30">
        <f t="shared" si="4"/>
        <v>-6.6666666666666582E-2</v>
      </c>
      <c r="J30">
        <f t="shared" si="5"/>
        <v>-6.6666666666666581</v>
      </c>
    </row>
    <row r="31" spans="1:10" x14ac:dyDescent="0.25">
      <c r="A31" t="s">
        <v>12</v>
      </c>
      <c r="B31">
        <v>11.768714146367429</v>
      </c>
      <c r="C31">
        <v>12.414953192760199</v>
      </c>
      <c r="D31">
        <v>11.267459918712751</v>
      </c>
      <c r="E31">
        <f t="shared" si="2"/>
        <v>11.817042419280128</v>
      </c>
      <c r="F31">
        <f t="shared" si="3"/>
        <v>-1.0951888814739821</v>
      </c>
    </row>
    <row r="32" spans="1:10" x14ac:dyDescent="0.25">
      <c r="A32" t="s">
        <v>31</v>
      </c>
      <c r="B32">
        <v>2160.03448275862</v>
      </c>
      <c r="C32">
        <v>2172.7931034482758</v>
      </c>
      <c r="D32">
        <v>2147.974137931034</v>
      </c>
      <c r="E32">
        <f t="shared" si="2"/>
        <v>2160.2672413793098</v>
      </c>
      <c r="F32">
        <f t="shared" si="3"/>
        <v>-22.204022988506495</v>
      </c>
    </row>
    <row r="33" spans="1:14" x14ac:dyDescent="0.25">
      <c r="A33" t="s">
        <v>32</v>
      </c>
      <c r="B33">
        <v>216.0431034482759</v>
      </c>
      <c r="C33">
        <v>218.43965517241381</v>
      </c>
      <c r="D33">
        <v>212.80172413793099</v>
      </c>
      <c r="E33">
        <f t="shared" si="2"/>
        <v>215.76149425287358</v>
      </c>
      <c r="F33">
        <f t="shared" si="3"/>
        <v>-4.1034482758620356</v>
      </c>
    </row>
    <row r="34" spans="1:14" x14ac:dyDescent="0.25">
      <c r="A34" t="s">
        <v>33</v>
      </c>
      <c r="B34">
        <v>2376.0775862068972</v>
      </c>
      <c r="C34">
        <v>2391.2327586206902</v>
      </c>
      <c r="D34">
        <v>2360.775862068966</v>
      </c>
      <c r="E34">
        <f t="shared" si="2"/>
        <v>2376.0287356321842</v>
      </c>
      <c r="F34">
        <f t="shared" si="3"/>
        <v>-26.307471264367905</v>
      </c>
    </row>
    <row r="37" spans="1:14" x14ac:dyDescent="0.25">
      <c r="A37">
        <v>1500</v>
      </c>
      <c r="B37">
        <v>300</v>
      </c>
      <c r="C37">
        <v>400</v>
      </c>
      <c r="D37">
        <v>10</v>
      </c>
      <c r="E37" t="s">
        <v>3</v>
      </c>
      <c r="F37" t="s">
        <v>34</v>
      </c>
      <c r="G37" t="s">
        <v>14</v>
      </c>
      <c r="I37" t="s">
        <v>35</v>
      </c>
      <c r="L37" t="s">
        <v>43</v>
      </c>
      <c r="M37" t="s">
        <v>14</v>
      </c>
    </row>
    <row r="38" spans="1:14" x14ac:dyDescent="0.25">
      <c r="A38" t="s">
        <v>4</v>
      </c>
      <c r="B38">
        <v>0.66608340568196645</v>
      </c>
      <c r="C38">
        <v>0.67289235724834096</v>
      </c>
      <c r="D38">
        <v>0.67574658235832596</v>
      </c>
      <c r="E38">
        <f>AVERAGE(B38:D38)</f>
        <v>0.67157411509621101</v>
      </c>
      <c r="F38">
        <f t="shared" ref="F38:F52" si="6">E38-E3</f>
        <v>8.5532634803582308E-3</v>
      </c>
      <c r="G38">
        <f t="shared" ref="G38:G48" si="7">F38*100</f>
        <v>0.85532634803582308</v>
      </c>
      <c r="I38">
        <f t="shared" ref="I38:I48" si="8">F38/E3</f>
        <v>1.2900444170817572E-2</v>
      </c>
      <c r="J38">
        <f>I38*100</f>
        <v>1.2900444170817573</v>
      </c>
      <c r="L38">
        <f>E38-E20</f>
        <v>1.5706128261660512E-2</v>
      </c>
      <c r="M38">
        <f>L38*100</f>
        <v>1.5706128261660512</v>
      </c>
      <c r="N38" t="s">
        <v>17</v>
      </c>
    </row>
    <row r="39" spans="1:14" x14ac:dyDescent="0.25">
      <c r="A39" t="s">
        <v>5</v>
      </c>
      <c r="B39">
        <v>0.6375615763546798</v>
      </c>
      <c r="C39">
        <v>0.64905582922824301</v>
      </c>
      <c r="D39">
        <v>0.63296387520525466</v>
      </c>
      <c r="E39">
        <f t="shared" ref="E39:E52" si="9">AVERAGE(B39:D39)</f>
        <v>0.63986042692939249</v>
      </c>
      <c r="F39">
        <f t="shared" si="6"/>
        <v>8.5659551176793247E-3</v>
      </c>
      <c r="G39">
        <f t="shared" si="7"/>
        <v>0.85659551176793247</v>
      </c>
      <c r="I39">
        <f t="shared" si="8"/>
        <v>1.356887395686583E-2</v>
      </c>
      <c r="J39">
        <f t="shared" ref="J39:J48" si="10">I39*100</f>
        <v>1.356887395686583</v>
      </c>
      <c r="L39">
        <f t="shared" ref="L39:L52" si="11">E39-E21</f>
        <v>4.8412698412698463E-2</v>
      </c>
      <c r="M39">
        <f t="shared" ref="M39:M52" si="12">L39*100</f>
        <v>4.8412698412698463</v>
      </c>
      <c r="N39" t="s">
        <v>17</v>
      </c>
    </row>
    <row r="40" spans="1:14" x14ac:dyDescent="0.25">
      <c r="A40" t="s">
        <v>6</v>
      </c>
      <c r="B40">
        <v>0.57509661833016634</v>
      </c>
      <c r="C40">
        <v>0.58065134097034965</v>
      </c>
      <c r="D40">
        <v>0.57290469345975026</v>
      </c>
      <c r="E40">
        <f t="shared" si="9"/>
        <v>0.57621755092008875</v>
      </c>
      <c r="F40">
        <f t="shared" si="6"/>
        <v>-5.42502012863606E-2</v>
      </c>
      <c r="G40">
        <f t="shared" si="7"/>
        <v>-5.42502012863606</v>
      </c>
      <c r="H40" t="s">
        <v>16</v>
      </c>
      <c r="I40">
        <f t="shared" si="8"/>
        <v>-8.6047543425498058E-2</v>
      </c>
      <c r="J40">
        <f t="shared" si="10"/>
        <v>-8.6047543425498052</v>
      </c>
      <c r="L40">
        <f t="shared" si="11"/>
        <v>1.2803598202397404E-2</v>
      </c>
      <c r="M40">
        <f t="shared" si="12"/>
        <v>1.2803598202397404</v>
      </c>
      <c r="N40" t="s">
        <v>17</v>
      </c>
    </row>
    <row r="41" spans="1:14" x14ac:dyDescent="0.25">
      <c r="A41" t="s">
        <v>7</v>
      </c>
      <c r="B41">
        <v>0.77199271352173338</v>
      </c>
      <c r="C41">
        <v>0.7724206560836262</v>
      </c>
      <c r="D41">
        <v>0.77227731199647998</v>
      </c>
      <c r="E41">
        <f t="shared" si="9"/>
        <v>0.7722302272006133</v>
      </c>
      <c r="F41">
        <f t="shared" si="6"/>
        <v>1.2087454527624053E-2</v>
      </c>
      <c r="G41">
        <f t="shared" si="7"/>
        <v>1.2087454527624053</v>
      </c>
      <c r="H41" t="s">
        <v>17</v>
      </c>
      <c r="I41">
        <f t="shared" si="8"/>
        <v>1.590155818375982E-2</v>
      </c>
      <c r="J41">
        <f t="shared" si="10"/>
        <v>1.5901558183759819</v>
      </c>
      <c r="L41">
        <f t="shared" si="11"/>
        <v>5.200443293330248E-3</v>
      </c>
      <c r="M41">
        <f t="shared" si="12"/>
        <v>0.5200443293330248</v>
      </c>
    </row>
    <row r="42" spans="1:14" x14ac:dyDescent="0.25">
      <c r="A42" t="s">
        <v>8</v>
      </c>
      <c r="B42">
        <v>0.24636185054252757</v>
      </c>
      <c r="C42">
        <v>0.2588926192872088</v>
      </c>
      <c r="D42">
        <v>0.2466359935458643</v>
      </c>
      <c r="E42">
        <f t="shared" si="9"/>
        <v>0.25063015445853354</v>
      </c>
      <c r="F42">
        <f t="shared" si="6"/>
        <v>-2.3911611914209208E-2</v>
      </c>
      <c r="G42">
        <f t="shared" si="7"/>
        <v>-2.3911611914209208</v>
      </c>
      <c r="H42" t="s">
        <v>16</v>
      </c>
      <c r="I42">
        <f t="shared" si="8"/>
        <v>-8.7096445215350732E-2</v>
      </c>
      <c r="J42">
        <f t="shared" si="10"/>
        <v>-8.7096445215350737</v>
      </c>
      <c r="L42">
        <f t="shared" si="11"/>
        <v>-8.0635683315112838E-3</v>
      </c>
      <c r="M42">
        <f t="shared" si="12"/>
        <v>-0.80635683315112838</v>
      </c>
    </row>
    <row r="43" spans="1:14" x14ac:dyDescent="0.25">
      <c r="A43" t="s">
        <v>9</v>
      </c>
      <c r="B43">
        <v>0.63927784678998045</v>
      </c>
      <c r="C43">
        <v>0.61945160529897836</v>
      </c>
      <c r="D43">
        <v>0.63113424634665805</v>
      </c>
      <c r="E43">
        <f t="shared" si="9"/>
        <v>0.62995456614520562</v>
      </c>
      <c r="F43">
        <f t="shared" si="6"/>
        <v>2.1574143450749705E-2</v>
      </c>
      <c r="G43">
        <f t="shared" si="7"/>
        <v>2.1574143450749705</v>
      </c>
      <c r="H43" t="s">
        <v>17</v>
      </c>
      <c r="I43">
        <f t="shared" si="8"/>
        <v>3.5461600416397336E-2</v>
      </c>
      <c r="J43">
        <f t="shared" si="10"/>
        <v>3.5461600416397334</v>
      </c>
      <c r="L43">
        <f t="shared" si="11"/>
        <v>1.4582262478088026E-2</v>
      </c>
      <c r="M43">
        <f t="shared" si="12"/>
        <v>1.4582262478088026</v>
      </c>
    </row>
    <row r="44" spans="1:14" x14ac:dyDescent="0.25">
      <c r="A44" t="s">
        <v>21</v>
      </c>
      <c r="B44">
        <v>0.2688184380531311</v>
      </c>
      <c r="C44">
        <v>0.26673674583435059</v>
      </c>
      <c r="D44">
        <v>0.2688184380531311</v>
      </c>
      <c r="E44">
        <f t="shared" si="9"/>
        <v>0.26812454064687091</v>
      </c>
      <c r="F44">
        <f t="shared" si="6"/>
        <v>2.5494386752446446E-2</v>
      </c>
      <c r="G44">
        <f t="shared" si="7"/>
        <v>2.5494386752446445</v>
      </c>
      <c r="H44" t="s">
        <v>17</v>
      </c>
      <c r="I44">
        <f t="shared" si="8"/>
        <v>0.1050750961627787</v>
      </c>
      <c r="J44">
        <f t="shared" si="10"/>
        <v>10.50750961627787</v>
      </c>
      <c r="L44">
        <f t="shared" si="11"/>
        <v>2.5561948617299213E-3</v>
      </c>
      <c r="M44">
        <f t="shared" si="12"/>
        <v>0.25561948617299213</v>
      </c>
    </row>
    <row r="45" spans="1:14" x14ac:dyDescent="0.25">
      <c r="A45" t="s">
        <v>22</v>
      </c>
      <c r="B45">
        <v>0.21860054135322571</v>
      </c>
      <c r="C45">
        <v>0.21573023498058319</v>
      </c>
      <c r="D45">
        <v>0.21860054135322571</v>
      </c>
      <c r="E45">
        <f t="shared" si="9"/>
        <v>0.21764377256234488</v>
      </c>
      <c r="F45">
        <f t="shared" si="6"/>
        <v>2.3907159765561459E-2</v>
      </c>
      <c r="G45">
        <f t="shared" si="7"/>
        <v>2.3907159765561459</v>
      </c>
      <c r="H45" t="s">
        <v>17</v>
      </c>
      <c r="I45">
        <f t="shared" si="8"/>
        <v>0.12340031871331646</v>
      </c>
      <c r="J45">
        <f t="shared" si="10"/>
        <v>12.340031871331645</v>
      </c>
      <c r="L45">
        <f t="shared" si="11"/>
        <v>-5.1833639542260834E-3</v>
      </c>
      <c r="M45">
        <f t="shared" si="12"/>
        <v>-0.51833639542260834</v>
      </c>
    </row>
    <row r="46" spans="1:14" x14ac:dyDescent="0.25">
      <c r="A46" t="s">
        <v>23</v>
      </c>
      <c r="B46">
        <v>0.32009601593017578</v>
      </c>
      <c r="C46">
        <v>0.31944876909255981</v>
      </c>
      <c r="D46">
        <v>0.32009601593017578</v>
      </c>
      <c r="E46">
        <f t="shared" si="9"/>
        <v>0.31988026698430377</v>
      </c>
      <c r="F46">
        <f t="shared" si="6"/>
        <v>2.7379353841145815E-2</v>
      </c>
      <c r="G46">
        <f t="shared" si="7"/>
        <v>2.7379353841145813</v>
      </c>
      <c r="H46" t="s">
        <v>17</v>
      </c>
      <c r="I46">
        <f t="shared" si="8"/>
        <v>9.3604336297389984E-2</v>
      </c>
      <c r="J46">
        <f t="shared" si="10"/>
        <v>9.3604336297389992</v>
      </c>
      <c r="L46">
        <f t="shared" si="11"/>
        <v>1.0675301154454586E-2</v>
      </c>
      <c r="M46">
        <f t="shared" si="12"/>
        <v>1.0675301154454586</v>
      </c>
      <c r="N46" t="s">
        <v>17</v>
      </c>
    </row>
    <row r="47" spans="1:14" x14ac:dyDescent="0.25">
      <c r="A47" t="s">
        <v>10</v>
      </c>
      <c r="B47">
        <v>0.33951149425287358</v>
      </c>
      <c r="C47">
        <v>0.35890804597701148</v>
      </c>
      <c r="D47">
        <v>0.34382183908045982</v>
      </c>
      <c r="E47">
        <f t="shared" si="9"/>
        <v>0.34741379310344828</v>
      </c>
      <c r="F47">
        <f t="shared" si="6"/>
        <v>-4.5498084291187846E-3</v>
      </c>
      <c r="G47">
        <f t="shared" si="7"/>
        <v>-0.45498084291187846</v>
      </c>
      <c r="H47" t="s">
        <v>16</v>
      </c>
      <c r="I47">
        <f t="shared" si="8"/>
        <v>-1.2926928833854975E-2</v>
      </c>
      <c r="J47">
        <f t="shared" si="10"/>
        <v>-1.2926928833854976</v>
      </c>
      <c r="L47">
        <f t="shared" si="11"/>
        <v>6.7528735632183534E-3</v>
      </c>
      <c r="M47">
        <f t="shared" si="12"/>
        <v>0.67528735632183534</v>
      </c>
      <c r="N47" t="s">
        <v>17</v>
      </c>
    </row>
    <row r="48" spans="1:14" x14ac:dyDescent="0.25">
      <c r="A48" t="s">
        <v>11</v>
      </c>
      <c r="B48">
        <v>0.49137931034482762</v>
      </c>
      <c r="C48">
        <v>0.50862068965517238</v>
      </c>
      <c r="D48">
        <v>0.5</v>
      </c>
      <c r="E48">
        <f t="shared" si="9"/>
        <v>0.5</v>
      </c>
      <c r="F48">
        <f t="shared" si="6"/>
        <v>-1.7241379310344862E-2</v>
      </c>
      <c r="G48">
        <f t="shared" si="7"/>
        <v>-1.7241379310344862</v>
      </c>
      <c r="H48" t="s">
        <v>16</v>
      </c>
      <c r="I48">
        <f t="shared" si="8"/>
        <v>-3.3333333333333395E-2</v>
      </c>
      <c r="J48">
        <f t="shared" si="10"/>
        <v>-3.3333333333333397</v>
      </c>
      <c r="L48">
        <f t="shared" si="11"/>
        <v>1.7241379310344751E-2</v>
      </c>
      <c r="M48">
        <f t="shared" si="12"/>
        <v>1.7241379310344751</v>
      </c>
      <c r="N48" t="s">
        <v>17</v>
      </c>
    </row>
    <row r="49" spans="1:13" x14ac:dyDescent="0.25">
      <c r="A49" t="s">
        <v>12</v>
      </c>
      <c r="B49">
        <v>13.242486250811609</v>
      </c>
      <c r="C49">
        <v>13.47277301755445</v>
      </c>
      <c r="D49">
        <v>12.00364196917106</v>
      </c>
      <c r="E49">
        <f t="shared" si="9"/>
        <v>12.906300412512374</v>
      </c>
      <c r="F49">
        <f t="shared" si="6"/>
        <v>-5.930888241735488E-3</v>
      </c>
      <c r="L49">
        <f t="shared" si="11"/>
        <v>1.0892579932322466</v>
      </c>
      <c r="M49" t="s">
        <v>16</v>
      </c>
    </row>
    <row r="50" spans="1:13" x14ac:dyDescent="0.25">
      <c r="A50" t="s">
        <v>31</v>
      </c>
      <c r="B50">
        <v>2070</v>
      </c>
      <c r="C50">
        <v>2168.1810344827591</v>
      </c>
      <c r="D50">
        <v>2130.6896551724139</v>
      </c>
      <c r="E50">
        <f t="shared" si="9"/>
        <v>2122.9568965517242</v>
      </c>
      <c r="F50">
        <f>E50-E15</f>
        <v>-59.51436781609209</v>
      </c>
      <c r="L50">
        <f t="shared" si="11"/>
        <v>-37.310344827585595</v>
      </c>
      <c r="M50">
        <f t="shared" si="12"/>
        <v>-3731.0344827585595</v>
      </c>
    </row>
    <row r="51" spans="1:13" x14ac:dyDescent="0.25">
      <c r="A51" t="s">
        <v>32</v>
      </c>
      <c r="B51">
        <v>207.47413793103451</v>
      </c>
      <c r="C51">
        <v>232.61206896551721</v>
      </c>
      <c r="D51">
        <v>218.4655172413793</v>
      </c>
      <c r="E51">
        <f t="shared" si="9"/>
        <v>219.51724137931035</v>
      </c>
      <c r="F51">
        <f t="shared" si="6"/>
        <v>-0.3477011494252622</v>
      </c>
      <c r="L51">
        <f t="shared" si="11"/>
        <v>3.7557471264367734</v>
      </c>
      <c r="M51">
        <f t="shared" si="12"/>
        <v>375.57471264367734</v>
      </c>
    </row>
    <row r="52" spans="1:13" x14ac:dyDescent="0.25">
      <c r="A52" t="s">
        <v>33</v>
      </c>
      <c r="B52">
        <v>2277.474137931034</v>
      </c>
      <c r="C52">
        <v>2400.7931034482758</v>
      </c>
      <c r="D52">
        <v>2349.155172413793</v>
      </c>
      <c r="E52">
        <f t="shared" si="9"/>
        <v>2342.4741379310344</v>
      </c>
      <c r="F52">
        <f t="shared" si="6"/>
        <v>-59.862068965517665</v>
      </c>
      <c r="L52">
        <f t="shared" si="11"/>
        <v>-33.55459770114976</v>
      </c>
      <c r="M52">
        <f t="shared" si="12"/>
        <v>-3355.459770114976</v>
      </c>
    </row>
    <row r="55" spans="1:13" x14ac:dyDescent="0.25">
      <c r="A55">
        <v>1500</v>
      </c>
      <c r="B55">
        <v>300</v>
      </c>
      <c r="C55">
        <v>400</v>
      </c>
      <c r="D55">
        <v>15</v>
      </c>
      <c r="E55" t="s">
        <v>3</v>
      </c>
      <c r="F55" t="s">
        <v>34</v>
      </c>
      <c r="G55" t="s">
        <v>14</v>
      </c>
    </row>
    <row r="56" spans="1:13" x14ac:dyDescent="0.25">
      <c r="A56" t="s">
        <v>4</v>
      </c>
      <c r="B56">
        <v>0.6625795116283667</v>
      </c>
      <c r="C56">
        <v>0.64807749721542829</v>
      </c>
      <c r="D56">
        <v>0.64322712360402523</v>
      </c>
      <c r="E56">
        <f t="shared" ref="E56:E70" si="13">AVERAGE(B56:D56)</f>
        <v>0.65129471081594004</v>
      </c>
      <c r="F56">
        <f>E56-E38</f>
        <v>-2.0279404280270974E-2</v>
      </c>
      <c r="G56">
        <f t="shared" ref="G56:G66" si="14">F56*100</f>
        <v>-2.0279404280270974</v>
      </c>
      <c r="H56" t="s">
        <v>16</v>
      </c>
      <c r="I56">
        <f>F56/E38</f>
        <v>-3.019682239742922E-2</v>
      </c>
      <c r="J56">
        <f>I56*100</f>
        <v>-3.0196822397429219</v>
      </c>
      <c r="K56" t="s">
        <v>16</v>
      </c>
    </row>
    <row r="57" spans="1:13" x14ac:dyDescent="0.25">
      <c r="A57" t="s">
        <v>5</v>
      </c>
      <c r="B57">
        <v>0.60582706766917294</v>
      </c>
      <c r="C57">
        <v>0.61578407224958942</v>
      </c>
      <c r="D57">
        <v>0.61219211822660102</v>
      </c>
      <c r="E57">
        <f t="shared" si="13"/>
        <v>0.61126775271512113</v>
      </c>
      <c r="F57">
        <f t="shared" ref="F57:F70" si="15">E57-E39</f>
        <v>-2.8592674214271363E-2</v>
      </c>
      <c r="G57">
        <f t="shared" si="14"/>
        <v>-2.8592674214271363</v>
      </c>
      <c r="H57" t="s">
        <v>16</v>
      </c>
      <c r="I57">
        <f>F57/E39</f>
        <v>-4.4685798669381556E-2</v>
      </c>
      <c r="J57">
        <f t="shared" ref="J57:J70" si="16">I57*100</f>
        <v>-4.468579866938156</v>
      </c>
      <c r="K57" t="s">
        <v>16</v>
      </c>
    </row>
    <row r="58" spans="1:13" x14ac:dyDescent="0.25">
      <c r="A58" t="s">
        <v>6</v>
      </c>
      <c r="B58">
        <v>0.56663043475746333</v>
      </c>
      <c r="C58">
        <v>0.57207854403560543</v>
      </c>
      <c r="D58">
        <v>0.54747584538558658</v>
      </c>
      <c r="E58">
        <f t="shared" si="13"/>
        <v>0.56206160805955174</v>
      </c>
      <c r="F58">
        <f t="shared" si="15"/>
        <v>-1.4155942860537007E-2</v>
      </c>
      <c r="G58">
        <f t="shared" si="14"/>
        <v>-1.4155942860537007</v>
      </c>
      <c r="H58" t="s">
        <v>16</v>
      </c>
      <c r="I58">
        <f t="shared" ref="I58:I70" si="17">F58/E40</f>
        <v>-2.4567010910953993E-2</v>
      </c>
      <c r="J58">
        <f t="shared" si="16"/>
        <v>-2.4567010910953995</v>
      </c>
      <c r="K58" t="s">
        <v>16</v>
      </c>
    </row>
    <row r="59" spans="1:13" x14ac:dyDescent="0.25">
      <c r="A59" t="s">
        <v>7</v>
      </c>
      <c r="B59">
        <v>0.76755236486946565</v>
      </c>
      <c r="C59">
        <v>0.76839145250390339</v>
      </c>
      <c r="D59">
        <v>0.76839145250390339</v>
      </c>
      <c r="E59">
        <f t="shared" si="13"/>
        <v>0.76811175662575748</v>
      </c>
      <c r="F59">
        <f t="shared" si="15"/>
        <v>-4.1184705748558148E-3</v>
      </c>
      <c r="G59">
        <f t="shared" si="14"/>
        <v>-0.41184705748558148</v>
      </c>
      <c r="H59" t="s">
        <v>16</v>
      </c>
      <c r="I59">
        <f t="shared" si="17"/>
        <v>-5.3332159630497091E-3</v>
      </c>
      <c r="J59">
        <f t="shared" si="16"/>
        <v>-0.53332159630497089</v>
      </c>
    </row>
    <row r="60" spans="1:13" x14ac:dyDescent="0.25">
      <c r="A60" t="s">
        <v>8</v>
      </c>
      <c r="B60">
        <v>0.2718283266993396</v>
      </c>
      <c r="C60">
        <v>0.26451832276199488</v>
      </c>
      <c r="D60">
        <v>0.26319944073107238</v>
      </c>
      <c r="E60">
        <f t="shared" si="13"/>
        <v>0.26651536339746895</v>
      </c>
      <c r="F60">
        <f t="shared" si="15"/>
        <v>1.5885208938935413E-2</v>
      </c>
      <c r="G60">
        <f t="shared" si="14"/>
        <v>1.5885208938935413</v>
      </c>
      <c r="H60" t="s">
        <v>17</v>
      </c>
      <c r="I60">
        <f t="shared" si="17"/>
        <v>6.3381076284512297E-2</v>
      </c>
      <c r="J60">
        <f t="shared" si="16"/>
        <v>6.3381076284512297</v>
      </c>
      <c r="K60" t="s">
        <v>17</v>
      </c>
    </row>
    <row r="61" spans="1:13" x14ac:dyDescent="0.25">
      <c r="A61" t="s">
        <v>9</v>
      </c>
      <c r="B61">
        <v>0.58753322753540105</v>
      </c>
      <c r="C61">
        <v>0.62367431878205182</v>
      </c>
      <c r="D61">
        <v>0.6238278043377713</v>
      </c>
      <c r="E61">
        <f t="shared" si="13"/>
        <v>0.61167845021840817</v>
      </c>
      <c r="F61">
        <f t="shared" si="15"/>
        <v>-1.8276115926797454E-2</v>
      </c>
      <c r="G61">
        <f t="shared" si="14"/>
        <v>-1.8276115926797454</v>
      </c>
      <c r="H61" t="s">
        <v>16</v>
      </c>
      <c r="I61">
        <f t="shared" si="17"/>
        <v>-2.9011800070966987E-2</v>
      </c>
      <c r="J61">
        <f t="shared" si="16"/>
        <v>-2.9011800070966984</v>
      </c>
      <c r="K61" t="s">
        <v>16</v>
      </c>
    </row>
    <row r="62" spans="1:13" x14ac:dyDescent="0.25">
      <c r="A62" t="s">
        <v>21</v>
      </c>
      <c r="B62">
        <v>0.2640129029750824</v>
      </c>
      <c r="C62">
        <v>0.26248592138290411</v>
      </c>
      <c r="D62">
        <v>0.26248592138290411</v>
      </c>
      <c r="E62">
        <f t="shared" si="13"/>
        <v>0.2629949152469635</v>
      </c>
      <c r="F62">
        <f t="shared" si="15"/>
        <v>-5.1296253999074115E-3</v>
      </c>
      <c r="G62">
        <f t="shared" si="14"/>
        <v>-0.51296253999074115</v>
      </c>
      <c r="H62" t="s">
        <v>16</v>
      </c>
      <c r="I62">
        <f t="shared" si="17"/>
        <v>-1.9131502799153703E-2</v>
      </c>
      <c r="J62">
        <f t="shared" si="16"/>
        <v>-1.9131502799153703</v>
      </c>
      <c r="K62" t="s">
        <v>16</v>
      </c>
    </row>
    <row r="63" spans="1:13" x14ac:dyDescent="0.25">
      <c r="A63" t="s">
        <v>22</v>
      </c>
      <c r="B63">
        <v>0.2079903185367584</v>
      </c>
      <c r="C63">
        <v>0.20748032629489899</v>
      </c>
      <c r="D63">
        <v>0.20748032629489899</v>
      </c>
      <c r="E63">
        <f t="shared" si="13"/>
        <v>0.20765032370885214</v>
      </c>
      <c r="F63">
        <f t="shared" si="15"/>
        <v>-9.9934488534927368E-3</v>
      </c>
      <c r="G63">
        <f t="shared" si="14"/>
        <v>-0.99934488534927368</v>
      </c>
      <c r="H63" t="s">
        <v>16</v>
      </c>
      <c r="I63">
        <f t="shared" si="17"/>
        <v>-4.5916539379182449E-2</v>
      </c>
      <c r="J63">
        <f t="shared" si="16"/>
        <v>-4.5916539379182453</v>
      </c>
      <c r="K63" t="s">
        <v>16</v>
      </c>
    </row>
    <row r="64" spans="1:13" x14ac:dyDescent="0.25">
      <c r="A64" t="s">
        <v>23</v>
      </c>
      <c r="B64">
        <v>0.32170626521110529</v>
      </c>
      <c r="C64">
        <v>0.31920835375785828</v>
      </c>
      <c r="D64">
        <v>0.31920835375785828</v>
      </c>
      <c r="E64">
        <f t="shared" si="13"/>
        <v>0.32004099090894061</v>
      </c>
      <c r="F64">
        <f t="shared" si="15"/>
        <v>1.6072392463684082E-4</v>
      </c>
      <c r="G64">
        <f t="shared" si="14"/>
        <v>1.6072392463684082E-2</v>
      </c>
      <c r="I64">
        <f t="shared" si="17"/>
        <v>5.0245026413188345E-4</v>
      </c>
      <c r="J64">
        <f t="shared" si="16"/>
        <v>5.0245026413188343E-2</v>
      </c>
    </row>
    <row r="65" spans="1:11" x14ac:dyDescent="0.25">
      <c r="A65" t="s">
        <v>10</v>
      </c>
      <c r="B65">
        <v>0.33649425287356322</v>
      </c>
      <c r="C65">
        <v>0.3350574712643678</v>
      </c>
      <c r="D65">
        <v>0.33362068965517239</v>
      </c>
      <c r="E65">
        <f t="shared" si="13"/>
        <v>0.33505747126436775</v>
      </c>
      <c r="F65">
        <f t="shared" si="15"/>
        <v>-1.2356321839080531E-2</v>
      </c>
      <c r="G65">
        <f t="shared" si="14"/>
        <v>-1.2356321839080531</v>
      </c>
      <c r="H65" t="s">
        <v>16</v>
      </c>
      <c r="I65">
        <f t="shared" si="17"/>
        <v>-3.5566583953680932E-2</v>
      </c>
      <c r="J65">
        <f t="shared" si="16"/>
        <v>-3.556658395368093</v>
      </c>
      <c r="K65" t="s">
        <v>16</v>
      </c>
    </row>
    <row r="66" spans="1:11" x14ac:dyDescent="0.25">
      <c r="A66" t="s">
        <v>11</v>
      </c>
      <c r="B66">
        <v>0.47413793103448282</v>
      </c>
      <c r="C66">
        <v>0.45689655172413801</v>
      </c>
      <c r="D66">
        <v>0.45689655172413801</v>
      </c>
      <c r="E66">
        <f t="shared" si="13"/>
        <v>0.46264367816091961</v>
      </c>
      <c r="F66">
        <f t="shared" si="15"/>
        <v>-3.7356321839080386E-2</v>
      </c>
      <c r="G66">
        <f t="shared" si="14"/>
        <v>-3.7356321839080389</v>
      </c>
      <c r="H66" t="s">
        <v>16</v>
      </c>
      <c r="I66">
        <f t="shared" si="17"/>
        <v>-7.4712643678160773E-2</v>
      </c>
      <c r="J66">
        <f t="shared" si="16"/>
        <v>-7.4712643678160777</v>
      </c>
      <c r="K66" t="s">
        <v>16</v>
      </c>
    </row>
    <row r="67" spans="1:11" x14ac:dyDescent="0.25">
      <c r="A67" t="s">
        <v>12</v>
      </c>
      <c r="B67">
        <v>14.611805288956081</v>
      </c>
      <c r="C67">
        <v>12.736799151733001</v>
      </c>
      <c r="D67">
        <v>11.854698257199651</v>
      </c>
      <c r="E67">
        <f t="shared" si="13"/>
        <v>13.06776756596291</v>
      </c>
      <c r="F67">
        <f t="shared" si="15"/>
        <v>0.16146715345053586</v>
      </c>
      <c r="I67">
        <f t="shared" si="17"/>
        <v>1.2510723312623113E-2</v>
      </c>
      <c r="J67">
        <f t="shared" si="16"/>
        <v>1.2510723312623113</v>
      </c>
      <c r="K67" t="s">
        <v>16</v>
      </c>
    </row>
    <row r="68" spans="1:11" x14ac:dyDescent="0.25">
      <c r="A68" t="s">
        <v>31</v>
      </c>
      <c r="B68">
        <v>2153.344827586207</v>
      </c>
      <c r="C68">
        <v>2101.4827586206902</v>
      </c>
      <c r="D68">
        <v>2129.155172413793</v>
      </c>
      <c r="E68">
        <f t="shared" si="13"/>
        <v>2127.9942528735633</v>
      </c>
      <c r="F68">
        <f t="shared" si="15"/>
        <v>5.03735632183907</v>
      </c>
      <c r="I68">
        <f t="shared" si="17"/>
        <v>2.372801977289857E-3</v>
      </c>
      <c r="J68">
        <f t="shared" si="16"/>
        <v>0.2372801977289857</v>
      </c>
    </row>
    <row r="69" spans="1:11" x14ac:dyDescent="0.25">
      <c r="A69" t="s">
        <v>32</v>
      </c>
      <c r="B69">
        <v>217.27586206896549</v>
      </c>
      <c r="C69">
        <v>209.94827586206901</v>
      </c>
      <c r="D69">
        <v>211.9913793103448</v>
      </c>
      <c r="E69">
        <f t="shared" si="13"/>
        <v>213.07183908045977</v>
      </c>
      <c r="F69">
        <f t="shared" si="15"/>
        <v>-6.4454022988505812</v>
      </c>
      <c r="I69">
        <f t="shared" si="17"/>
        <v>-2.9361713268405098E-2</v>
      </c>
      <c r="J69">
        <f t="shared" si="16"/>
        <v>-2.9361713268405096</v>
      </c>
    </row>
    <row r="70" spans="1:11" x14ac:dyDescent="0.25">
      <c r="A70" t="s">
        <v>33</v>
      </c>
      <c r="B70">
        <v>2370.620689655173</v>
      </c>
      <c r="C70">
        <v>2311.4310344827591</v>
      </c>
      <c r="D70">
        <v>2341.1465517241381</v>
      </c>
      <c r="E70">
        <f t="shared" si="13"/>
        <v>2341.0660919540237</v>
      </c>
      <c r="F70">
        <f t="shared" si="15"/>
        <v>-1.4080459770107154</v>
      </c>
      <c r="I70">
        <f t="shared" si="17"/>
        <v>-6.0109349948015106E-4</v>
      </c>
      <c r="J70">
        <f t="shared" si="16"/>
        <v>-6.0109349948015103E-2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C9B2-7982-4E68-BFBD-856EE95A1DFB}">
  <dimension ref="A1:I34"/>
  <sheetViews>
    <sheetView workbookViewId="0">
      <selection activeCell="F29" sqref="F29"/>
    </sheetView>
  </sheetViews>
  <sheetFormatPr baseColWidth="10" defaultRowHeight="15" x14ac:dyDescent="0.25"/>
  <cols>
    <col min="6" max="6" width="14.42578125" bestFit="1" customWidth="1"/>
  </cols>
  <sheetData>
    <row r="1" spans="1:5" x14ac:dyDescent="0.25">
      <c r="A1">
        <v>1500</v>
      </c>
      <c r="B1">
        <v>300</v>
      </c>
      <c r="C1">
        <v>400</v>
      </c>
      <c r="D1">
        <v>10</v>
      </c>
      <c r="E1" t="s">
        <v>3</v>
      </c>
    </row>
    <row r="2" spans="1:5" x14ac:dyDescent="0.25">
      <c r="A2" t="s">
        <v>4</v>
      </c>
      <c r="B2">
        <v>0.66608340568196645</v>
      </c>
      <c r="C2">
        <v>0.67289235724834096</v>
      </c>
      <c r="D2">
        <v>0.6757465823583263</v>
      </c>
      <c r="E2">
        <f>AVERAGE(B2:D2)</f>
        <v>0.67157411509621123</v>
      </c>
    </row>
    <row r="3" spans="1:5" x14ac:dyDescent="0.25">
      <c r="A3" t="s">
        <v>5</v>
      </c>
      <c r="B3">
        <v>0.6375615763546798</v>
      </c>
      <c r="C3">
        <v>0.64905582922824312</v>
      </c>
      <c r="D3">
        <v>0.62977225672877846</v>
      </c>
      <c r="E3">
        <f t="shared" ref="E3:E16" si="0">AVERAGE(B3:D3)</f>
        <v>0.63879655410390046</v>
      </c>
    </row>
    <row r="4" spans="1:5" x14ac:dyDescent="0.25">
      <c r="A4" t="s">
        <v>6</v>
      </c>
      <c r="B4">
        <v>0.58014132550850128</v>
      </c>
      <c r="C4">
        <v>0.58065134097034976</v>
      </c>
      <c r="D4">
        <v>0.57290469345975048</v>
      </c>
      <c r="E4">
        <f t="shared" si="0"/>
        <v>0.5778991199795338</v>
      </c>
    </row>
    <row r="5" spans="1:5" x14ac:dyDescent="0.25">
      <c r="A5" t="s">
        <v>7</v>
      </c>
      <c r="B5">
        <v>0.77200388366020756</v>
      </c>
      <c r="C5">
        <v>0.77242065608362609</v>
      </c>
      <c r="D5">
        <v>0.77227731199647964</v>
      </c>
      <c r="E5">
        <f t="shared" si="0"/>
        <v>0.77223395058010436</v>
      </c>
    </row>
    <row r="6" spans="1:5" x14ac:dyDescent="0.25">
      <c r="A6" t="s">
        <v>8</v>
      </c>
      <c r="B6">
        <v>0.25068398827134369</v>
      </c>
      <c r="C6">
        <v>0.2589699464168802</v>
      </c>
      <c r="D6">
        <v>0.24660674131854571</v>
      </c>
      <c r="E6">
        <f t="shared" si="0"/>
        <v>0.25208689200225654</v>
      </c>
    </row>
    <row r="7" spans="1:5" x14ac:dyDescent="0.25">
      <c r="A7" t="s">
        <v>9</v>
      </c>
      <c r="B7">
        <v>0.63383611995639388</v>
      </c>
      <c r="C7">
        <v>0.61945160529897847</v>
      </c>
      <c r="D7">
        <v>0.63113424634665838</v>
      </c>
      <c r="E7">
        <f t="shared" si="0"/>
        <v>0.62814065720067702</v>
      </c>
    </row>
    <row r="8" spans="1:5" x14ac:dyDescent="0.25">
      <c r="A8" t="s">
        <v>21</v>
      </c>
      <c r="B8">
        <v>0.2688184380531311</v>
      </c>
      <c r="C8">
        <v>0.26673674583435059</v>
      </c>
      <c r="D8">
        <v>0.2688184380531311</v>
      </c>
      <c r="E8">
        <f t="shared" si="0"/>
        <v>0.26812454064687091</v>
      </c>
    </row>
    <row r="9" spans="1:5" x14ac:dyDescent="0.25">
      <c r="A9" t="s">
        <v>22</v>
      </c>
      <c r="B9">
        <v>0.21860054135322571</v>
      </c>
      <c r="C9">
        <v>0.21573023498058319</v>
      </c>
      <c r="D9">
        <v>0.21860054135322571</v>
      </c>
      <c r="E9">
        <f t="shared" si="0"/>
        <v>0.21764377256234488</v>
      </c>
    </row>
    <row r="10" spans="1:5" x14ac:dyDescent="0.25">
      <c r="A10" t="s">
        <v>23</v>
      </c>
      <c r="B10">
        <v>0.32009601593017578</v>
      </c>
      <c r="C10">
        <v>0.31944876909255981</v>
      </c>
      <c r="D10">
        <v>0.32009601593017578</v>
      </c>
      <c r="E10">
        <f t="shared" si="0"/>
        <v>0.31988026698430377</v>
      </c>
    </row>
    <row r="11" spans="1:5" x14ac:dyDescent="0.25">
      <c r="A11" t="s">
        <v>10</v>
      </c>
      <c r="B11">
        <v>0.33951149425287358</v>
      </c>
      <c r="C11">
        <v>0.35890804597701148</v>
      </c>
      <c r="D11">
        <v>0.34382183908045982</v>
      </c>
      <c r="E11">
        <f t="shared" si="0"/>
        <v>0.34741379310344828</v>
      </c>
    </row>
    <row r="12" spans="1:5" x14ac:dyDescent="0.25">
      <c r="A12" t="s">
        <v>11</v>
      </c>
      <c r="B12">
        <v>0.49137931034482762</v>
      </c>
      <c r="C12">
        <v>0.50862068965517238</v>
      </c>
      <c r="D12">
        <v>0.5</v>
      </c>
      <c r="E12">
        <f t="shared" si="0"/>
        <v>0.5</v>
      </c>
    </row>
    <row r="13" spans="1:5" x14ac:dyDescent="0.25">
      <c r="A13" t="s">
        <v>12</v>
      </c>
      <c r="B13">
        <v>13.242486250811609</v>
      </c>
      <c r="C13">
        <v>13.47277301755445</v>
      </c>
      <c r="D13">
        <v>12.00364196917106</v>
      </c>
      <c r="E13">
        <f t="shared" si="0"/>
        <v>12.906300412512374</v>
      </c>
    </row>
    <row r="14" spans="1:5" x14ac:dyDescent="0.25">
      <c r="A14" t="s">
        <v>31</v>
      </c>
      <c r="B14">
        <v>2070</v>
      </c>
      <c r="C14">
        <v>2168.1810344827591</v>
      </c>
      <c r="D14">
        <v>2130.6896551724139</v>
      </c>
      <c r="E14">
        <f t="shared" si="0"/>
        <v>2122.9568965517242</v>
      </c>
    </row>
    <row r="15" spans="1:5" x14ac:dyDescent="0.25">
      <c r="A15" t="s">
        <v>32</v>
      </c>
      <c r="B15">
        <v>207.47413793103451</v>
      </c>
      <c r="C15">
        <v>232.61206896551721</v>
      </c>
      <c r="D15">
        <v>218.4655172413793</v>
      </c>
      <c r="E15">
        <f t="shared" si="0"/>
        <v>219.51724137931035</v>
      </c>
    </row>
    <row r="16" spans="1:5" x14ac:dyDescent="0.25">
      <c r="A16" t="s">
        <v>33</v>
      </c>
      <c r="B16">
        <v>2277.474137931034</v>
      </c>
      <c r="C16">
        <v>2400.7931034482758</v>
      </c>
      <c r="D16">
        <v>2349.155172413793</v>
      </c>
      <c r="E16">
        <f t="shared" si="0"/>
        <v>2342.4741379310344</v>
      </c>
    </row>
    <row r="19" spans="1:9" x14ac:dyDescent="0.25">
      <c r="A19">
        <v>1500</v>
      </c>
      <c r="B19">
        <v>300</v>
      </c>
      <c r="C19">
        <v>500</v>
      </c>
      <c r="D19">
        <v>10</v>
      </c>
      <c r="E19" t="s">
        <v>3</v>
      </c>
      <c r="F19" t="s">
        <v>36</v>
      </c>
      <c r="G19" t="s">
        <v>14</v>
      </c>
      <c r="H19" t="s">
        <v>37</v>
      </c>
      <c r="I19" t="s">
        <v>14</v>
      </c>
    </row>
    <row r="20" spans="1:9" x14ac:dyDescent="0.25">
      <c r="A20" t="s">
        <v>4</v>
      </c>
      <c r="B20">
        <v>0.6675034440978046</v>
      </c>
      <c r="C20">
        <v>0.60993995928806977</v>
      </c>
      <c r="D20">
        <v>0.60817779738291899</v>
      </c>
      <c r="E20">
        <f>AVERAGE(B20:D20)</f>
        <v>0.62854040025626445</v>
      </c>
      <c r="F20">
        <f>E20-E2</f>
        <v>-4.3033714839946779E-2</v>
      </c>
      <c r="G20">
        <f>F20*100</f>
        <v>-4.3033714839946775</v>
      </c>
      <c r="H20">
        <f>F20/D2</f>
        <v>-6.3683214926165035E-2</v>
      </c>
      <c r="I20">
        <f>H20*100</f>
        <v>-6.3683214926165039</v>
      </c>
    </row>
    <row r="21" spans="1:9" x14ac:dyDescent="0.25">
      <c r="A21" t="s">
        <v>5</v>
      </c>
      <c r="B21">
        <v>0.61594827586206891</v>
      </c>
      <c r="C21">
        <v>0.60818965517241386</v>
      </c>
      <c r="D21">
        <v>0.59704433497536935</v>
      </c>
      <c r="E21">
        <f t="shared" ref="E21:E34" si="1">AVERAGE(B21:D21)</f>
        <v>0.6070607553366173</v>
      </c>
      <c r="F21">
        <f t="shared" ref="F21:F34" si="2">E21-E3</f>
        <v>-3.1735798767283163E-2</v>
      </c>
      <c r="G21">
        <f t="shared" ref="G21:G34" si="3">F21*100</f>
        <v>-3.1735798767283163</v>
      </c>
      <c r="H21">
        <f t="shared" ref="H21:H34" si="4">F21/D3</f>
        <v>-5.0392500508244356E-2</v>
      </c>
      <c r="I21">
        <f t="shared" ref="I21:I34" si="5">H21*100</f>
        <v>-5.0392500508244353</v>
      </c>
    </row>
    <row r="22" spans="1:9" x14ac:dyDescent="0.25">
      <c r="A22" t="s">
        <v>6</v>
      </c>
      <c r="B22">
        <v>0.56676245208104259</v>
      </c>
      <c r="C22">
        <v>0.56691810342246851</v>
      </c>
      <c r="D22">
        <v>0.53101053637449291</v>
      </c>
      <c r="E22">
        <f t="shared" si="1"/>
        <v>0.55489703062600138</v>
      </c>
      <c r="F22">
        <f t="shared" si="2"/>
        <v>-2.3002089353532429E-2</v>
      </c>
      <c r="G22">
        <f t="shared" si="3"/>
        <v>-2.3002089353532429</v>
      </c>
      <c r="H22">
        <f t="shared" si="4"/>
        <v>-4.0149940498171964E-2</v>
      </c>
      <c r="I22">
        <f t="shared" si="5"/>
        <v>-4.0149940498171963</v>
      </c>
    </row>
    <row r="23" spans="1:9" x14ac:dyDescent="0.25">
      <c r="A23" t="s">
        <v>7</v>
      </c>
      <c r="B23">
        <v>0.7663995035274348</v>
      </c>
      <c r="C23">
        <v>0.76984122184410775</v>
      </c>
      <c r="D23">
        <v>0.76984122184410775</v>
      </c>
      <c r="E23">
        <f t="shared" si="1"/>
        <v>0.76869398240521691</v>
      </c>
      <c r="F23">
        <f t="shared" si="2"/>
        <v>-3.5399681748874423E-3</v>
      </c>
      <c r="G23">
        <f t="shared" si="3"/>
        <v>-0.35399681748874423</v>
      </c>
      <c r="H23">
        <f t="shared" si="4"/>
        <v>-4.5838044442040775E-3</v>
      </c>
      <c r="I23">
        <f t="shared" si="5"/>
        <v>-0.45838044442040776</v>
      </c>
    </row>
    <row r="24" spans="1:9" x14ac:dyDescent="0.25">
      <c r="A24" t="s">
        <v>8</v>
      </c>
      <c r="B24">
        <v>0.24171581087833735</v>
      </c>
      <c r="C24">
        <v>0.24591494236498709</v>
      </c>
      <c r="D24">
        <v>0.25045591932652489</v>
      </c>
      <c r="E24">
        <f t="shared" si="1"/>
        <v>0.24602889085661647</v>
      </c>
      <c r="F24">
        <f t="shared" si="2"/>
        <v>-6.0580011456400629E-3</v>
      </c>
      <c r="G24">
        <f t="shared" si="3"/>
        <v>-0.60580011456400629</v>
      </c>
      <c r="H24">
        <f t="shared" si="4"/>
        <v>-2.4565432044758459E-2</v>
      </c>
      <c r="I24">
        <f t="shared" si="5"/>
        <v>-2.456543204475846</v>
      </c>
    </row>
    <row r="25" spans="1:9" x14ac:dyDescent="0.25">
      <c r="A25" t="s">
        <v>9</v>
      </c>
      <c r="B25">
        <v>0.62619452526259045</v>
      </c>
      <c r="C25">
        <v>0.65795237191127709</v>
      </c>
      <c r="D25">
        <v>0.6316738533387205</v>
      </c>
      <c r="E25">
        <f t="shared" si="1"/>
        <v>0.63860691683752935</v>
      </c>
      <c r="F25">
        <f t="shared" si="2"/>
        <v>1.0466259636852326E-2</v>
      </c>
      <c r="G25">
        <f t="shared" si="3"/>
        <v>1.0466259636852326</v>
      </c>
      <c r="H25">
        <f t="shared" si="4"/>
        <v>1.6583254192648583E-2</v>
      </c>
      <c r="I25">
        <f t="shared" si="5"/>
        <v>1.6583254192648584</v>
      </c>
    </row>
    <row r="26" spans="1:9" x14ac:dyDescent="0.25">
      <c r="A26" t="s">
        <v>21</v>
      </c>
      <c r="B26">
        <v>0.25776287913322449</v>
      </c>
      <c r="C26">
        <v>0.26308777928352362</v>
      </c>
      <c r="D26">
        <v>0.26308777928352362</v>
      </c>
      <c r="E26">
        <f t="shared" si="1"/>
        <v>0.2613128125667572</v>
      </c>
      <c r="F26">
        <f t="shared" si="2"/>
        <v>-6.8117280801137103E-3</v>
      </c>
      <c r="G26">
        <f t="shared" si="3"/>
        <v>-0.68117280801137103</v>
      </c>
      <c r="H26">
        <f t="shared" si="4"/>
        <v>-2.5339512160871176E-2</v>
      </c>
      <c r="I26">
        <f t="shared" si="5"/>
        <v>-2.5339512160871176</v>
      </c>
    </row>
    <row r="27" spans="1:9" x14ac:dyDescent="0.25">
      <c r="A27" t="s">
        <v>22</v>
      </c>
      <c r="B27">
        <v>0.20211534202098849</v>
      </c>
      <c r="C27">
        <v>0.21280613541603091</v>
      </c>
      <c r="D27">
        <v>0.21280613541603091</v>
      </c>
      <c r="E27">
        <f t="shared" si="1"/>
        <v>0.20924253761768344</v>
      </c>
      <c r="F27">
        <f t="shared" si="2"/>
        <v>-8.4012349446614398E-3</v>
      </c>
      <c r="G27">
        <f t="shared" si="3"/>
        <v>-0.84012349446614398</v>
      </c>
      <c r="H27">
        <f t="shared" si="4"/>
        <v>-3.8431903657028477E-2</v>
      </c>
      <c r="I27">
        <f t="shared" si="5"/>
        <v>-3.8431903657028474</v>
      </c>
    </row>
    <row r="28" spans="1:9" x14ac:dyDescent="0.25">
      <c r="A28" t="s">
        <v>23</v>
      </c>
      <c r="B28">
        <v>0.31505033373832703</v>
      </c>
      <c r="C28">
        <v>0.31528344750404358</v>
      </c>
      <c r="D28">
        <v>0.31528344750404358</v>
      </c>
      <c r="E28">
        <f t="shared" si="1"/>
        <v>0.31520574291547138</v>
      </c>
      <c r="F28">
        <f t="shared" si="2"/>
        <v>-4.6745240688323975E-3</v>
      </c>
      <c r="G28">
        <f t="shared" si="3"/>
        <v>-0.46745240688323975</v>
      </c>
      <c r="H28">
        <f t="shared" si="4"/>
        <v>-1.4603505936331541E-2</v>
      </c>
      <c r="I28">
        <f t="shared" si="5"/>
        <v>-1.460350593633154</v>
      </c>
    </row>
    <row r="29" spans="1:9" x14ac:dyDescent="0.25">
      <c r="A29" t="s">
        <v>10</v>
      </c>
      <c r="B29">
        <v>0.34511494252873559</v>
      </c>
      <c r="C29">
        <v>0.34683908045977008</v>
      </c>
      <c r="D29">
        <v>0.31810344827586212</v>
      </c>
      <c r="E29">
        <f t="shared" si="1"/>
        <v>0.33668582375478923</v>
      </c>
      <c r="F29">
        <f t="shared" si="2"/>
        <v>-1.072796934865905E-2</v>
      </c>
      <c r="G29">
        <f t="shared" si="3"/>
        <v>-1.072796934865905</v>
      </c>
      <c r="H29">
        <f t="shared" si="4"/>
        <v>-3.1202117286530287E-2</v>
      </c>
      <c r="I29">
        <f t="shared" si="5"/>
        <v>-3.1202117286530289</v>
      </c>
    </row>
    <row r="30" spans="1:9" x14ac:dyDescent="0.25">
      <c r="A30" t="s">
        <v>11</v>
      </c>
      <c r="B30">
        <v>0.49137931034482762</v>
      </c>
      <c r="C30">
        <v>0.49137931034482762</v>
      </c>
      <c r="D30">
        <v>0.45689655172413801</v>
      </c>
      <c r="E30">
        <f t="shared" si="1"/>
        <v>0.47988505747126436</v>
      </c>
      <c r="F30">
        <f t="shared" si="2"/>
        <v>-2.0114942528735635E-2</v>
      </c>
      <c r="G30">
        <f t="shared" si="3"/>
        <v>-2.0114942528735638</v>
      </c>
      <c r="H30">
        <f t="shared" si="4"/>
        <v>-4.0229885057471271E-2</v>
      </c>
      <c r="I30">
        <f t="shared" si="5"/>
        <v>-4.0229885057471275</v>
      </c>
    </row>
    <row r="31" spans="1:9" x14ac:dyDescent="0.25">
      <c r="A31" t="s">
        <v>12</v>
      </c>
      <c r="B31">
        <v>16.085070112655899</v>
      </c>
      <c r="C31">
        <v>11.93192204319198</v>
      </c>
      <c r="D31">
        <v>11.945057914174839</v>
      </c>
      <c r="E31">
        <f t="shared" si="1"/>
        <v>13.320683356674239</v>
      </c>
      <c r="F31">
        <f t="shared" si="2"/>
        <v>0.41438294416186494</v>
      </c>
      <c r="H31">
        <f t="shared" si="4"/>
        <v>3.4521434846701039E-2</v>
      </c>
      <c r="I31">
        <f t="shared" si="5"/>
        <v>3.452143484670104</v>
      </c>
    </row>
    <row r="32" spans="1:9" x14ac:dyDescent="0.25">
      <c r="A32" t="s">
        <v>31</v>
      </c>
      <c r="B32">
        <v>2129.974137931034</v>
      </c>
      <c r="C32">
        <v>2134.620689655173</v>
      </c>
      <c r="D32">
        <v>2027.293103448276</v>
      </c>
      <c r="E32">
        <f t="shared" si="1"/>
        <v>2097.2959770114944</v>
      </c>
      <c r="F32">
        <f t="shared" si="2"/>
        <v>-25.66091954022977</v>
      </c>
      <c r="G32">
        <f t="shared" si="3"/>
        <v>-2566.091954022977</v>
      </c>
      <c r="H32">
        <f t="shared" si="4"/>
        <v>-1.2043480606354804E-2</v>
      </c>
      <c r="I32">
        <f t="shared" si="5"/>
        <v>-1.2043480606354804</v>
      </c>
    </row>
    <row r="33" spans="1:9" x14ac:dyDescent="0.25">
      <c r="A33" t="s">
        <v>32</v>
      </c>
      <c r="B33">
        <v>218.08620689655169</v>
      </c>
      <c r="C33">
        <v>225.38793103448279</v>
      </c>
      <c r="D33">
        <v>201.12068965517241</v>
      </c>
      <c r="E33">
        <f t="shared" si="1"/>
        <v>214.86494252873561</v>
      </c>
      <c r="F33">
        <f t="shared" si="2"/>
        <v>-4.6522988505747378</v>
      </c>
      <c r="G33">
        <f t="shared" si="3"/>
        <v>-465.22988505747378</v>
      </c>
      <c r="H33">
        <f t="shared" si="4"/>
        <v>-2.1295346328887601E-2</v>
      </c>
      <c r="I33">
        <f t="shared" si="5"/>
        <v>-2.1295346328887601</v>
      </c>
    </row>
    <row r="34" spans="1:9" x14ac:dyDescent="0.25">
      <c r="A34" t="s">
        <v>33</v>
      </c>
      <c r="B34">
        <v>2348.0603448275861</v>
      </c>
      <c r="C34">
        <v>2360.0086206896549</v>
      </c>
      <c r="D34">
        <v>2228.4137931034479</v>
      </c>
      <c r="E34">
        <f t="shared" si="1"/>
        <v>2312.1609195402293</v>
      </c>
      <c r="F34">
        <f t="shared" si="2"/>
        <v>-30.313218390805105</v>
      </c>
      <c r="G34">
        <f t="shared" si="3"/>
        <v>-3031.3218390805105</v>
      </c>
      <c r="H34">
        <f t="shared" si="4"/>
        <v>-1.290388082778619E-2</v>
      </c>
      <c r="I34">
        <f t="shared" si="5"/>
        <v>-1.2903880827786189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C34F-9420-42C1-BEB3-292EE08151D3}">
  <dimension ref="A1:P74"/>
  <sheetViews>
    <sheetView topLeftCell="A48" workbookViewId="0">
      <selection activeCell="D48" sqref="D48"/>
    </sheetView>
  </sheetViews>
  <sheetFormatPr baseColWidth="10" defaultRowHeight="15" x14ac:dyDescent="0.25"/>
  <cols>
    <col min="2" max="2" width="11.42578125" customWidth="1"/>
    <col min="6" max="6" width="17.7109375" bestFit="1" customWidth="1"/>
    <col min="12" max="12" width="16.42578125" bestFit="1" customWidth="1"/>
  </cols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40</v>
      </c>
      <c r="D19" t="s">
        <v>49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34</v>
      </c>
      <c r="G20" t="s">
        <v>14</v>
      </c>
      <c r="I20" t="s">
        <v>35</v>
      </c>
    </row>
    <row r="21" spans="1:10" x14ac:dyDescent="0.25">
      <c r="A21" t="s">
        <v>4</v>
      </c>
      <c r="B21">
        <v>0.72093318610841095</v>
      </c>
      <c r="C21">
        <v>0.72920821290496773</v>
      </c>
      <c r="D21">
        <v>0.74600730940974624</v>
      </c>
      <c r="E21">
        <f>AVERAGE(B21:D21)</f>
        <v>0.73204956947437505</v>
      </c>
      <c r="F21">
        <f t="shared" ref="F21:F35" si="1">E21-E3</f>
        <v>6.902871785852227E-2</v>
      </c>
      <c r="G21">
        <f t="shared" ref="G21:G31" si="2">F21*100</f>
        <v>6.902871785852227</v>
      </c>
      <c r="I21">
        <f t="shared" ref="I21:I31" si="3">F21/E3</f>
        <v>0.10411243883249206</v>
      </c>
      <c r="J21">
        <f>I21*100</f>
        <v>10.411243883249206</v>
      </c>
    </row>
    <row r="22" spans="1:10" x14ac:dyDescent="0.25">
      <c r="A22" t="s">
        <v>5</v>
      </c>
      <c r="B22">
        <v>0.80114942528735633</v>
      </c>
      <c r="C22">
        <v>0.79784482758620701</v>
      </c>
      <c r="D22">
        <v>0.80158045977011516</v>
      </c>
      <c r="E22">
        <f t="shared" ref="E22:E35" si="4">AVERAGE(B22:D22)</f>
        <v>0.80019157088122617</v>
      </c>
      <c r="F22">
        <f t="shared" si="1"/>
        <v>0.168897099069513</v>
      </c>
      <c r="G22">
        <f t="shared" si="2"/>
        <v>16.8897099069513</v>
      </c>
      <c r="I22">
        <f t="shared" si="3"/>
        <v>0.26754091253928708</v>
      </c>
      <c r="J22">
        <f t="shared" ref="J22:J31" si="5">I22*100</f>
        <v>26.754091253928706</v>
      </c>
    </row>
    <row r="23" spans="1:10" x14ac:dyDescent="0.25">
      <c r="A23" t="s">
        <v>6</v>
      </c>
      <c r="B23">
        <v>0.82098898464300618</v>
      </c>
      <c r="C23">
        <v>0.82521551720923469</v>
      </c>
      <c r="D23">
        <v>0.81385296931803208</v>
      </c>
      <c r="E23">
        <f t="shared" si="4"/>
        <v>0.82001915705675765</v>
      </c>
      <c r="F23">
        <f t="shared" si="1"/>
        <v>0.1895514048503083</v>
      </c>
      <c r="G23">
        <f t="shared" si="2"/>
        <v>18.955140485030832</v>
      </c>
      <c r="I23">
        <f t="shared" si="3"/>
        <v>0.30065202254506251</v>
      </c>
      <c r="J23">
        <f t="shared" si="5"/>
        <v>30.06520225450625</v>
      </c>
    </row>
    <row r="24" spans="1:10" x14ac:dyDescent="0.25">
      <c r="A24" t="s">
        <v>7</v>
      </c>
      <c r="B24">
        <v>0.77957780726490122</v>
      </c>
      <c r="C24">
        <v>0.77957780726490122</v>
      </c>
      <c r="D24">
        <v>0.77776832922414518</v>
      </c>
      <c r="E24">
        <f t="shared" si="4"/>
        <v>0.77897464791798254</v>
      </c>
      <c r="F24">
        <f t="shared" si="1"/>
        <v>1.8831875244993301E-2</v>
      </c>
      <c r="G24">
        <f t="shared" si="2"/>
        <v>1.8831875244993301</v>
      </c>
      <c r="I24">
        <f t="shared" si="3"/>
        <v>2.4774129179407075E-2</v>
      </c>
      <c r="J24">
        <f t="shared" si="5"/>
        <v>2.4774129179407076</v>
      </c>
    </row>
    <row r="25" spans="1:10" x14ac:dyDescent="0.25">
      <c r="A25" t="s">
        <v>8</v>
      </c>
      <c r="B25">
        <v>0.33484660455304061</v>
      </c>
      <c r="C25">
        <v>0.32623183411420348</v>
      </c>
      <c r="D25">
        <v>0.344758727709434</v>
      </c>
      <c r="E25">
        <f t="shared" si="4"/>
        <v>0.33527905545889269</v>
      </c>
      <c r="F25">
        <f t="shared" si="1"/>
        <v>6.0737289086149948E-2</v>
      </c>
      <c r="G25">
        <f t="shared" si="2"/>
        <v>6.0737289086149948</v>
      </c>
      <c r="I25">
        <f t="shared" si="3"/>
        <v>0.22123150837343819</v>
      </c>
      <c r="J25">
        <f t="shared" si="5"/>
        <v>22.123150837343818</v>
      </c>
    </row>
    <row r="26" spans="1:10" x14ac:dyDescent="0.25">
      <c r="A26" t="s">
        <v>9</v>
      </c>
      <c r="B26">
        <v>0.5978723254348659</v>
      </c>
      <c r="C26">
        <v>0.60885923528497021</v>
      </c>
      <c r="D26">
        <v>0.62617798594169338</v>
      </c>
      <c r="E26">
        <f t="shared" si="4"/>
        <v>0.61096984888717654</v>
      </c>
      <c r="F26">
        <f t="shared" si="1"/>
        <v>2.589426192720623E-3</v>
      </c>
      <c r="G26">
        <f t="shared" si="2"/>
        <v>0.2589426192720623</v>
      </c>
      <c r="I26">
        <f t="shared" si="3"/>
        <v>4.2562615365765947E-3</v>
      </c>
      <c r="J26">
        <f t="shared" si="5"/>
        <v>0.42562615365765949</v>
      </c>
    </row>
    <row r="27" spans="1:10" x14ac:dyDescent="0.25">
      <c r="A27" t="s">
        <v>21</v>
      </c>
      <c r="B27">
        <v>0.26685631275177002</v>
      </c>
      <c r="C27">
        <v>0.26685631275177002</v>
      </c>
      <c r="D27">
        <v>0.27435976266860962</v>
      </c>
      <c r="E27">
        <f t="shared" si="4"/>
        <v>0.26935746272404987</v>
      </c>
      <c r="F27">
        <f t="shared" si="1"/>
        <v>2.6727308829625401E-2</v>
      </c>
      <c r="G27">
        <f t="shared" si="2"/>
        <v>2.67273088296254</v>
      </c>
      <c r="H27" t="s">
        <v>17</v>
      </c>
      <c r="I27">
        <f t="shared" si="3"/>
        <v>0.11015658359288369</v>
      </c>
      <c r="J27">
        <f t="shared" si="5"/>
        <v>11.015658359288368</v>
      </c>
    </row>
    <row r="28" spans="1:10" x14ac:dyDescent="0.25">
      <c r="A28" t="s">
        <v>22</v>
      </c>
      <c r="B28">
        <v>0.21834114193916321</v>
      </c>
      <c r="C28">
        <v>0.21834114193916321</v>
      </c>
      <c r="D28">
        <v>0.2285752147436142</v>
      </c>
      <c r="E28">
        <f t="shared" si="4"/>
        <v>0.22175249954064688</v>
      </c>
      <c r="F28">
        <f t="shared" si="1"/>
        <v>2.8015886743863461E-2</v>
      </c>
      <c r="G28">
        <f t="shared" si="2"/>
        <v>2.8015886743863461</v>
      </c>
      <c r="H28" t="s">
        <v>17</v>
      </c>
      <c r="I28">
        <f t="shared" si="3"/>
        <v>0.14460811686250666</v>
      </c>
      <c r="J28">
        <f t="shared" si="5"/>
        <v>14.460811686250667</v>
      </c>
    </row>
    <row r="29" spans="1:10" x14ac:dyDescent="0.25">
      <c r="A29" t="s">
        <v>23</v>
      </c>
      <c r="B29">
        <v>0.31574171781539923</v>
      </c>
      <c r="C29">
        <v>0.31574171781539923</v>
      </c>
      <c r="D29">
        <v>0.32069301605224609</v>
      </c>
      <c r="E29">
        <f t="shared" si="4"/>
        <v>0.31739215056101483</v>
      </c>
      <c r="F29">
        <f t="shared" si="1"/>
        <v>2.4891237417856871E-2</v>
      </c>
      <c r="G29">
        <f t="shared" si="2"/>
        <v>2.4891237417856873</v>
      </c>
      <c r="H29" t="s">
        <v>17</v>
      </c>
      <c r="I29">
        <f t="shared" si="3"/>
        <v>8.5097981918690349E-2</v>
      </c>
      <c r="J29">
        <f t="shared" si="5"/>
        <v>8.5097981918690344</v>
      </c>
    </row>
    <row r="30" spans="1:10" x14ac:dyDescent="0.25">
      <c r="A30" t="s">
        <v>10</v>
      </c>
      <c r="B30">
        <v>0.50172413793103454</v>
      </c>
      <c r="C30">
        <v>0.50172413793103454</v>
      </c>
      <c r="D30">
        <v>0.50488505747126433</v>
      </c>
      <c r="E30">
        <f t="shared" si="4"/>
        <v>0.50277777777777777</v>
      </c>
      <c r="F30">
        <f t="shared" si="1"/>
        <v>0.15081417624521071</v>
      </c>
      <c r="G30">
        <f t="shared" si="2"/>
        <v>15.081417624521071</v>
      </c>
      <c r="I30">
        <f t="shared" si="3"/>
        <v>0.42849367260851812</v>
      </c>
      <c r="J30">
        <f t="shared" si="5"/>
        <v>42.849367260851814</v>
      </c>
    </row>
    <row r="31" spans="1:10" x14ac:dyDescent="0.25">
      <c r="A31" t="s">
        <v>11</v>
      </c>
      <c r="B31">
        <v>0.65517241379310343</v>
      </c>
      <c r="C31">
        <v>0.65517241379310343</v>
      </c>
      <c r="D31">
        <v>0.65517241379310343</v>
      </c>
      <c r="E31">
        <f t="shared" si="4"/>
        <v>0.65517241379310343</v>
      </c>
      <c r="F31">
        <f t="shared" si="1"/>
        <v>0.13793103448275856</v>
      </c>
      <c r="G31">
        <f t="shared" si="2"/>
        <v>13.793103448275856</v>
      </c>
      <c r="I31">
        <f t="shared" si="3"/>
        <v>0.26666666666666655</v>
      </c>
      <c r="J31">
        <f t="shared" si="5"/>
        <v>26.666666666666654</v>
      </c>
    </row>
    <row r="32" spans="1:10" x14ac:dyDescent="0.25">
      <c r="A32" t="s">
        <v>12</v>
      </c>
      <c r="B32">
        <v>12.24515574553917</v>
      </c>
      <c r="C32">
        <v>11.68563891895886</v>
      </c>
      <c r="D32">
        <v>14.27650121573744</v>
      </c>
      <c r="E32">
        <f t="shared" si="4"/>
        <v>12.735765293411824</v>
      </c>
      <c r="F32">
        <f t="shared" si="1"/>
        <v>-0.17646600734228635</v>
      </c>
    </row>
    <row r="33" spans="1:13" x14ac:dyDescent="0.25">
      <c r="A33" t="s">
        <v>31</v>
      </c>
      <c r="B33">
        <v>2171.879310344827</v>
      </c>
      <c r="C33">
        <v>2179.6465517241381</v>
      </c>
      <c r="D33">
        <v>2216.6637931034479</v>
      </c>
      <c r="E33">
        <f t="shared" si="4"/>
        <v>2189.3965517241377</v>
      </c>
      <c r="F33">
        <f t="shared" si="1"/>
        <v>6.9252873563214052</v>
      </c>
    </row>
    <row r="34" spans="1:13" x14ac:dyDescent="0.25">
      <c r="A34" t="s">
        <v>32</v>
      </c>
      <c r="B34">
        <v>218.43103448275861</v>
      </c>
      <c r="C34">
        <v>218.33620689655169</v>
      </c>
      <c r="D34">
        <v>218.42241379310349</v>
      </c>
      <c r="E34">
        <f t="shared" si="4"/>
        <v>218.39655172413791</v>
      </c>
      <c r="F34">
        <f t="shared" si="1"/>
        <v>-1.4683908045977034</v>
      </c>
    </row>
    <row r="35" spans="1:13" x14ac:dyDescent="0.25">
      <c r="A35" t="s">
        <v>33</v>
      </c>
      <c r="B35">
        <v>2390.3103448275861</v>
      </c>
      <c r="C35">
        <v>2397.9827586206902</v>
      </c>
      <c r="D35">
        <v>2435.0862068965521</v>
      </c>
      <c r="E35">
        <f t="shared" si="4"/>
        <v>2407.7931034482758</v>
      </c>
      <c r="F35">
        <f t="shared" si="1"/>
        <v>5.4568965517237302</v>
      </c>
    </row>
    <row r="36" spans="1:13" x14ac:dyDescent="0.25">
      <c r="A36" t="s">
        <v>44</v>
      </c>
      <c r="B36">
        <v>14413.73275862069</v>
      </c>
      <c r="C36">
        <v>14372.456896551719</v>
      </c>
      <c r="D36">
        <v>14552.26724137931</v>
      </c>
    </row>
    <row r="38" spans="1:13" x14ac:dyDescent="0.25">
      <c r="A38">
        <v>1500</v>
      </c>
      <c r="B38">
        <v>300</v>
      </c>
      <c r="C38">
        <v>40</v>
      </c>
      <c r="D38" t="s">
        <v>50</v>
      </c>
      <c r="E38" t="s">
        <v>3</v>
      </c>
    </row>
    <row r="39" spans="1:13" x14ac:dyDescent="0.25">
      <c r="B39" t="s">
        <v>0</v>
      </c>
      <c r="C39" t="s">
        <v>1</v>
      </c>
      <c r="D39" t="s">
        <v>2</v>
      </c>
      <c r="F39" t="s">
        <v>51</v>
      </c>
      <c r="G39" t="s">
        <v>14</v>
      </c>
      <c r="I39" t="s">
        <v>35</v>
      </c>
      <c r="J39" t="s">
        <v>14</v>
      </c>
      <c r="L39" t="s">
        <v>53</v>
      </c>
      <c r="M39" t="s">
        <v>14</v>
      </c>
    </row>
    <row r="40" spans="1:13" x14ac:dyDescent="0.25">
      <c r="A40" t="s">
        <v>4</v>
      </c>
      <c r="B40">
        <v>0.7527221531956324</v>
      </c>
      <c r="C40">
        <v>0.74935663624044668</v>
      </c>
      <c r="D40">
        <v>0.73632759345429855</v>
      </c>
      <c r="E40">
        <f>AVERAGE(B40:D40)</f>
        <v>0.74613546096345917</v>
      </c>
      <c r="F40">
        <f>E40-E21</f>
        <v>1.4085891489084124E-2</v>
      </c>
      <c r="G40">
        <f t="shared" ref="G40:G50" si="6">F40*100</f>
        <v>1.4085891489084124</v>
      </c>
      <c r="I40">
        <f>F40/E21</f>
        <v>1.9241718151952539E-2</v>
      </c>
      <c r="J40">
        <f>I40*100</f>
        <v>1.9241718151952538</v>
      </c>
      <c r="L40">
        <f>E40-E3</f>
        <v>8.3114609347606394E-2</v>
      </c>
      <c r="M40">
        <f>L40*100</f>
        <v>8.311460934760639</v>
      </c>
    </row>
    <row r="41" spans="1:13" x14ac:dyDescent="0.25">
      <c r="A41" t="s">
        <v>5</v>
      </c>
      <c r="B41">
        <v>0.8010057471264368</v>
      </c>
      <c r="C41">
        <v>0.79683908045977014</v>
      </c>
      <c r="D41">
        <v>0.80402298850574727</v>
      </c>
      <c r="E41">
        <f t="shared" ref="E41:E55" si="7">AVERAGE(B41:D41)</f>
        <v>0.80062260536398477</v>
      </c>
      <c r="F41">
        <f t="shared" ref="F41:F54" si="8">E41-E22</f>
        <v>4.3103448275860767E-4</v>
      </c>
      <c r="G41">
        <f t="shared" si="6"/>
        <v>4.3103448275860767E-2</v>
      </c>
      <c r="I41">
        <f t="shared" ref="I41:I50" si="9">F41/E22</f>
        <v>5.3866411299974422E-4</v>
      </c>
      <c r="J41">
        <f t="shared" ref="J41:J50" si="10">I41*100</f>
        <v>5.3866411299974423E-2</v>
      </c>
      <c r="L41">
        <f t="shared" ref="L41:L51" si="11">E41-E4</f>
        <v>0.16932813355227161</v>
      </c>
      <c r="M41">
        <f t="shared" ref="M41:M50" si="12">L41*100</f>
        <v>16.932813355227161</v>
      </c>
    </row>
    <row r="42" spans="1:13" x14ac:dyDescent="0.25">
      <c r="A42" t="s">
        <v>6</v>
      </c>
      <c r="B42">
        <v>0.81593630265293648</v>
      </c>
      <c r="C42">
        <v>0.82717911874470174</v>
      </c>
      <c r="D42">
        <v>0.83221982755618384</v>
      </c>
      <c r="E42">
        <f t="shared" si="7"/>
        <v>0.8251117496512741</v>
      </c>
      <c r="F42">
        <f t="shared" si="8"/>
        <v>5.092592594516443E-3</v>
      </c>
      <c r="G42">
        <f t="shared" si="6"/>
        <v>0.5092592594516443</v>
      </c>
      <c r="I42">
        <f t="shared" si="9"/>
        <v>6.2103336863433287E-3</v>
      </c>
      <c r="J42">
        <f t="shared" si="10"/>
        <v>0.62103336863433289</v>
      </c>
      <c r="L42">
        <f t="shared" si="11"/>
        <v>0.19464399744482475</v>
      </c>
      <c r="M42">
        <f t="shared" si="12"/>
        <v>19.464399744482474</v>
      </c>
    </row>
    <row r="43" spans="1:13" x14ac:dyDescent="0.25">
      <c r="A43" t="s">
        <v>7</v>
      </c>
      <c r="B43">
        <v>0.77704264688786351</v>
      </c>
      <c r="C43">
        <v>0.77669855081457329</v>
      </c>
      <c r="D43">
        <v>0.77813125577142228</v>
      </c>
      <c r="E43">
        <f t="shared" si="7"/>
        <v>0.77729081782461973</v>
      </c>
      <c r="F43">
        <f t="shared" si="8"/>
        <v>-1.6838300933628148E-3</v>
      </c>
      <c r="G43">
        <f t="shared" si="6"/>
        <v>-0.16838300933628148</v>
      </c>
      <c r="I43">
        <f t="shared" si="9"/>
        <v>-2.1615980672327396E-3</v>
      </c>
      <c r="J43">
        <f t="shared" si="10"/>
        <v>-0.21615980672327395</v>
      </c>
      <c r="L43">
        <f t="shared" si="11"/>
        <v>1.7148045151630487E-2</v>
      </c>
      <c r="M43">
        <f t="shared" si="12"/>
        <v>1.7148045151630487</v>
      </c>
    </row>
    <row r="44" spans="1:13" x14ac:dyDescent="0.25">
      <c r="A44" t="s">
        <v>8</v>
      </c>
      <c r="B44">
        <v>0.31382663800840882</v>
      </c>
      <c r="C44">
        <v>0.32066909378250219</v>
      </c>
      <c r="D44">
        <v>0.32219542352462982</v>
      </c>
      <c r="E44">
        <f t="shared" si="7"/>
        <v>0.31889705177184696</v>
      </c>
      <c r="F44">
        <f t="shared" si="8"/>
        <v>-1.6382003687045732E-2</v>
      </c>
      <c r="G44">
        <f t="shared" si="6"/>
        <v>-1.6382003687045732</v>
      </c>
      <c r="I44">
        <f t="shared" si="9"/>
        <v>-4.8860802428066577E-2</v>
      </c>
      <c r="J44">
        <f t="shared" si="10"/>
        <v>-4.8860802428066581</v>
      </c>
      <c r="L44">
        <f t="shared" si="11"/>
        <v>4.4355285399104216E-2</v>
      </c>
      <c r="M44">
        <f t="shared" si="12"/>
        <v>4.4355285399104218</v>
      </c>
    </row>
    <row r="45" spans="1:13" x14ac:dyDescent="0.25">
      <c r="A45" t="s">
        <v>9</v>
      </c>
      <c r="B45">
        <v>0.64611933547971401</v>
      </c>
      <c r="C45">
        <v>0.66654463818053322</v>
      </c>
      <c r="D45">
        <v>0.64995995203419876</v>
      </c>
      <c r="E45">
        <f t="shared" si="7"/>
        <v>0.654207975231482</v>
      </c>
      <c r="F45">
        <f t="shared" si="8"/>
        <v>4.3238126344305461E-2</v>
      </c>
      <c r="G45">
        <f t="shared" si="6"/>
        <v>4.3238126344305456</v>
      </c>
      <c r="H45" t="s">
        <v>17</v>
      </c>
      <c r="I45">
        <f t="shared" si="9"/>
        <v>7.0769656510971196E-2</v>
      </c>
      <c r="J45">
        <f t="shared" si="10"/>
        <v>7.0769656510971197</v>
      </c>
      <c r="L45">
        <f t="shared" si="11"/>
        <v>4.5827552537026084E-2</v>
      </c>
      <c r="M45">
        <f t="shared" si="12"/>
        <v>4.5827552537026079</v>
      </c>
    </row>
    <row r="46" spans="1:13" x14ac:dyDescent="0.25">
      <c r="A46" t="s">
        <v>21</v>
      </c>
      <c r="B46">
        <v>0.26438930630683899</v>
      </c>
      <c r="C46">
        <v>0.26432475447654719</v>
      </c>
      <c r="D46">
        <v>0.26441484689712519</v>
      </c>
      <c r="E46">
        <f t="shared" si="7"/>
        <v>0.26437630256017047</v>
      </c>
      <c r="F46">
        <f t="shared" si="8"/>
        <v>-4.9811601638793945E-3</v>
      </c>
      <c r="G46">
        <f t="shared" si="6"/>
        <v>-0.49811601638793945</v>
      </c>
      <c r="H46" t="s">
        <v>16</v>
      </c>
      <c r="I46">
        <f t="shared" si="9"/>
        <v>-1.849274979614161E-2</v>
      </c>
      <c r="J46">
        <f t="shared" si="10"/>
        <v>-1.849274979614161</v>
      </c>
      <c r="L46">
        <f t="shared" si="11"/>
        <v>2.1746148665746007E-2</v>
      </c>
      <c r="M46">
        <f t="shared" si="12"/>
        <v>2.1746148665746006</v>
      </c>
    </row>
    <row r="47" spans="1:13" x14ac:dyDescent="0.25">
      <c r="A47" t="s">
        <v>22</v>
      </c>
      <c r="B47">
        <v>0.20395521819591519</v>
      </c>
      <c r="C47">
        <v>0.20416758954524991</v>
      </c>
      <c r="D47">
        <v>0.2034608572721481</v>
      </c>
      <c r="E47">
        <f t="shared" si="7"/>
        <v>0.2038612216711044</v>
      </c>
      <c r="F47">
        <f t="shared" si="8"/>
        <v>-1.7891277869542477E-2</v>
      </c>
      <c r="G47">
        <f t="shared" si="6"/>
        <v>-1.7891277869542477</v>
      </c>
      <c r="H47" t="s">
        <v>16</v>
      </c>
      <c r="I47">
        <f t="shared" si="9"/>
        <v>-8.0681290657844573E-2</v>
      </c>
      <c r="J47">
        <f t="shared" si="10"/>
        <v>-8.0681290657844578</v>
      </c>
      <c r="L47">
        <f t="shared" si="11"/>
        <v>1.0124608874320984E-2</v>
      </c>
      <c r="M47">
        <f t="shared" si="12"/>
        <v>1.0124608874320984</v>
      </c>
    </row>
    <row r="48" spans="1:13" x14ac:dyDescent="0.25">
      <c r="A48" t="s">
        <v>23</v>
      </c>
      <c r="B48">
        <v>0.3255818784236908</v>
      </c>
      <c r="C48">
        <v>0.3251911997795105</v>
      </c>
      <c r="D48">
        <v>0.32618647813797003</v>
      </c>
      <c r="E48">
        <f t="shared" si="7"/>
        <v>0.32565318544705707</v>
      </c>
      <c r="F48">
        <f t="shared" si="8"/>
        <v>8.26103488604224E-3</v>
      </c>
      <c r="G48">
        <f t="shared" si="6"/>
        <v>0.826103488604224</v>
      </c>
      <c r="H48" t="s">
        <v>17</v>
      </c>
      <c r="I48">
        <f t="shared" si="9"/>
        <v>2.6027848739927029E-2</v>
      </c>
      <c r="J48">
        <f t="shared" si="10"/>
        <v>2.6027848739927029</v>
      </c>
      <c r="L48">
        <f t="shared" si="11"/>
        <v>3.3152272303899111E-2</v>
      </c>
      <c r="M48">
        <f t="shared" si="12"/>
        <v>3.3152272303899109</v>
      </c>
    </row>
    <row r="49" spans="1:16" x14ac:dyDescent="0.25">
      <c r="A49" t="s">
        <v>10</v>
      </c>
      <c r="B49">
        <v>0.49928160919540232</v>
      </c>
      <c r="C49">
        <v>0.49928160919540232</v>
      </c>
      <c r="D49">
        <v>0.50359195402298851</v>
      </c>
      <c r="E49">
        <f t="shared" si="7"/>
        <v>0.50071839080459768</v>
      </c>
      <c r="F49">
        <f t="shared" si="8"/>
        <v>-2.0593869731800885E-3</v>
      </c>
      <c r="G49">
        <f t="shared" si="6"/>
        <v>-0.20593869731800885</v>
      </c>
      <c r="H49" t="s">
        <v>16</v>
      </c>
      <c r="I49">
        <f t="shared" si="9"/>
        <v>-4.0960182891979658E-3</v>
      </c>
      <c r="J49">
        <f t="shared" si="10"/>
        <v>-0.40960182891979657</v>
      </c>
      <c r="L49">
        <f t="shared" si="11"/>
        <v>0.14875478927203062</v>
      </c>
      <c r="M49">
        <f t="shared" si="12"/>
        <v>14.875478927203062</v>
      </c>
    </row>
    <row r="50" spans="1:16" x14ac:dyDescent="0.25">
      <c r="A50" t="s">
        <v>11</v>
      </c>
      <c r="B50">
        <v>0.64655172413793105</v>
      </c>
      <c r="C50">
        <v>0.64655172413793105</v>
      </c>
      <c r="D50">
        <v>0.64655172413793105</v>
      </c>
      <c r="E50">
        <f t="shared" si="7"/>
        <v>0.64655172413793105</v>
      </c>
      <c r="F50">
        <f t="shared" si="8"/>
        <v>-8.6206896551723755E-3</v>
      </c>
      <c r="G50">
        <f t="shared" si="6"/>
        <v>-0.86206896551723755</v>
      </c>
      <c r="H50" t="s">
        <v>16</v>
      </c>
      <c r="I50">
        <f t="shared" si="9"/>
        <v>-1.3157894736842047E-2</v>
      </c>
      <c r="J50">
        <f t="shared" si="10"/>
        <v>-1.3157894736842046</v>
      </c>
      <c r="L50">
        <f t="shared" si="11"/>
        <v>0.12931034482758619</v>
      </c>
      <c r="M50">
        <f t="shared" si="12"/>
        <v>12.931034482758619</v>
      </c>
    </row>
    <row r="51" spans="1:16" x14ac:dyDescent="0.25">
      <c r="A51" t="s">
        <v>12</v>
      </c>
      <c r="B51">
        <v>12.802005155333161</v>
      </c>
      <c r="C51">
        <v>12.78595173153384</v>
      </c>
      <c r="D51">
        <v>12.351401511965131</v>
      </c>
      <c r="E51">
        <f t="shared" si="7"/>
        <v>12.646452799610712</v>
      </c>
      <c r="F51">
        <f t="shared" si="8"/>
        <v>-8.9312493801111614E-2</v>
      </c>
      <c r="I51">
        <f t="shared" ref="I51:I54" si="13">F51/E32</f>
        <v>-7.0127308209199431E-3</v>
      </c>
      <c r="J51">
        <f t="shared" ref="J51:J54" si="14">I51*100</f>
        <v>-0.70127308209199435</v>
      </c>
      <c r="L51">
        <f t="shared" si="11"/>
        <v>-0.26577850114339796</v>
      </c>
    </row>
    <row r="52" spans="1:16" x14ac:dyDescent="0.25">
      <c r="A52" t="s">
        <v>31</v>
      </c>
      <c r="B52">
        <v>2176.8189655172409</v>
      </c>
      <c r="C52">
        <v>2157.8017241379312</v>
      </c>
      <c r="D52">
        <v>2187.6724137931028</v>
      </c>
      <c r="E52">
        <f t="shared" si="7"/>
        <v>2174.0977011494251</v>
      </c>
      <c r="F52">
        <f t="shared" si="8"/>
        <v>-15.29885057471256</v>
      </c>
      <c r="I52">
        <f t="shared" si="13"/>
        <v>-6.9877019595489904E-3</v>
      </c>
      <c r="J52">
        <f t="shared" si="14"/>
        <v>-0.69877019595489909</v>
      </c>
    </row>
    <row r="53" spans="1:16" x14ac:dyDescent="0.25">
      <c r="A53" t="s">
        <v>32</v>
      </c>
      <c r="B53">
        <v>226.48275862068971</v>
      </c>
      <c r="C53">
        <v>221.97413793103451</v>
      </c>
      <c r="D53">
        <v>225.02586206896549</v>
      </c>
      <c r="E53">
        <f t="shared" si="7"/>
        <v>224.49425287356323</v>
      </c>
      <c r="F53">
        <f t="shared" si="8"/>
        <v>6.097701149425319</v>
      </c>
      <c r="I53">
        <f t="shared" si="13"/>
        <v>2.792031788637156E-2</v>
      </c>
      <c r="J53">
        <f t="shared" si="14"/>
        <v>2.7920317886371562</v>
      </c>
    </row>
    <row r="54" spans="1:16" x14ac:dyDescent="0.25">
      <c r="A54" t="s">
        <v>33</v>
      </c>
      <c r="B54">
        <v>2403.3017241379312</v>
      </c>
      <c r="C54">
        <v>2379.775862068966</v>
      </c>
      <c r="D54">
        <v>2412.6982758620688</v>
      </c>
      <c r="E54">
        <f t="shared" si="7"/>
        <v>2398.5919540229884</v>
      </c>
      <c r="F54">
        <f t="shared" si="8"/>
        <v>-9.20114942528744</v>
      </c>
      <c r="I54">
        <f t="shared" si="13"/>
        <v>-3.8214036796227159E-3</v>
      </c>
      <c r="J54">
        <f t="shared" si="14"/>
        <v>-0.38214036796227158</v>
      </c>
    </row>
    <row r="55" spans="1:16" x14ac:dyDescent="0.25">
      <c r="A55" t="s">
        <v>44</v>
      </c>
      <c r="B55">
        <v>12596.336206896551</v>
      </c>
      <c r="C55">
        <v>12485.51724137931</v>
      </c>
      <c r="D55">
        <v>12486.37068965517</v>
      </c>
      <c r="E55">
        <f t="shared" si="7"/>
        <v>12522.741379310342</v>
      </c>
    </row>
    <row r="57" spans="1:16" x14ac:dyDescent="0.25">
      <c r="A57">
        <v>1500</v>
      </c>
      <c r="B57">
        <v>300</v>
      </c>
      <c r="C57">
        <v>40</v>
      </c>
      <c r="D57" t="s">
        <v>54</v>
      </c>
    </row>
    <row r="58" spans="1:16" x14ac:dyDescent="0.25">
      <c r="B58" t="s">
        <v>0</v>
      </c>
      <c r="C58" t="s">
        <v>1</v>
      </c>
      <c r="D58" t="s">
        <v>2</v>
      </c>
      <c r="E58" t="s">
        <v>3</v>
      </c>
      <c r="F58" t="s">
        <v>51</v>
      </c>
      <c r="G58" t="s">
        <v>14</v>
      </c>
      <c r="I58" t="s">
        <v>35</v>
      </c>
      <c r="J58" t="s">
        <v>14</v>
      </c>
      <c r="L58" t="s">
        <v>53</v>
      </c>
      <c r="M58" t="s">
        <v>14</v>
      </c>
      <c r="O58" t="s">
        <v>35</v>
      </c>
      <c r="P58" t="s">
        <v>14</v>
      </c>
    </row>
    <row r="59" spans="1:16" x14ac:dyDescent="0.25">
      <c r="A59" t="s">
        <v>4</v>
      </c>
      <c r="B59">
        <v>0.69295409184423717</v>
      </c>
      <c r="C59">
        <v>0.7039750653567054</v>
      </c>
      <c r="D59">
        <v>0.69670087463734243</v>
      </c>
      <c r="E59">
        <f>AVERAGE(B59:D59)</f>
        <v>0.69787667727942837</v>
      </c>
      <c r="F59">
        <f>E59-E21</f>
        <v>-3.417289219494668E-2</v>
      </c>
      <c r="G59">
        <f t="shared" ref="G59:G69" si="15">F59*100</f>
        <v>-3.417289219494668</v>
      </c>
      <c r="I59">
        <f>F59/E21</f>
        <v>-4.6681117809390202E-2</v>
      </c>
      <c r="J59">
        <f>I59*100</f>
        <v>-4.6681117809390198</v>
      </c>
      <c r="L59">
        <f>E59-E3</f>
        <v>3.485582566357559E-2</v>
      </c>
      <c r="M59">
        <f>L59*100</f>
        <v>3.485582566357559</v>
      </c>
      <c r="N59" t="s">
        <v>17</v>
      </c>
      <c r="O59">
        <f>L59/E3</f>
        <v>5.2571236000539368E-2</v>
      </c>
      <c r="P59">
        <f>O59*100</f>
        <v>5.2571236000539372</v>
      </c>
    </row>
    <row r="60" spans="1:16" x14ac:dyDescent="0.25">
      <c r="A60" t="s">
        <v>5</v>
      </c>
      <c r="B60">
        <v>0.69493021346469619</v>
      </c>
      <c r="C60">
        <v>0.70671182266009847</v>
      </c>
      <c r="D60">
        <v>0.7058702791461412</v>
      </c>
      <c r="E60">
        <f t="shared" ref="E60:E74" si="16">AVERAGE(B60:D60)</f>
        <v>0.70250410509031191</v>
      </c>
      <c r="F60">
        <f t="shared" ref="F60:F73" si="17">E60-E22</f>
        <v>-9.7687465790914252E-2</v>
      </c>
      <c r="G60">
        <f t="shared" si="15"/>
        <v>-9.7687465790914256</v>
      </c>
      <c r="I60">
        <f t="shared" ref="I60:I73" si="18">F60/E22</f>
        <v>-0.12208009849858088</v>
      </c>
      <c r="J60">
        <f t="shared" ref="J60:J73" si="19">I60*100</f>
        <v>-12.208009849858088</v>
      </c>
      <c r="L60">
        <f t="shared" ref="L60:L73" si="20">E60-E4</f>
        <v>7.120963327859875E-2</v>
      </c>
      <c r="M60">
        <f t="shared" ref="M60:M69" si="21">L60*100</f>
        <v>7.120963327859875</v>
      </c>
      <c r="N60" t="s">
        <v>17</v>
      </c>
      <c r="O60">
        <f t="shared" ref="O60:O69" si="22">L60/E4</f>
        <v>0.11279939308550985</v>
      </c>
      <c r="P60">
        <f t="shared" ref="P60:P69" si="23">O60*100</f>
        <v>11.279939308550984</v>
      </c>
    </row>
    <row r="61" spans="1:16" x14ac:dyDescent="0.25">
      <c r="A61" t="s">
        <v>6</v>
      </c>
      <c r="B61">
        <v>0.74249281606134732</v>
      </c>
      <c r="C61">
        <v>0.72412595782673139</v>
      </c>
      <c r="D61">
        <v>0.73079501912838796</v>
      </c>
      <c r="E61">
        <f t="shared" si="16"/>
        <v>0.73247126433882226</v>
      </c>
      <c r="F61">
        <f t="shared" si="17"/>
        <v>-8.7547892717935394E-2</v>
      </c>
      <c r="G61">
        <f t="shared" si="15"/>
        <v>-8.7547892717935394</v>
      </c>
      <c r="I61">
        <f t="shared" si="18"/>
        <v>-0.10676322859598238</v>
      </c>
      <c r="J61">
        <f t="shared" si="19"/>
        <v>-10.676322859598237</v>
      </c>
      <c r="L61">
        <f t="shared" si="20"/>
        <v>0.10200351213237291</v>
      </c>
      <c r="M61">
        <f t="shared" si="21"/>
        <v>10.20035121323729</v>
      </c>
      <c r="N61" t="s">
        <v>17</v>
      </c>
      <c r="O61">
        <f t="shared" si="22"/>
        <v>0.16179021333825719</v>
      </c>
      <c r="P61">
        <f t="shared" si="23"/>
        <v>16.17902133382572</v>
      </c>
    </row>
    <row r="62" spans="1:16" x14ac:dyDescent="0.25">
      <c r="A62" t="s">
        <v>7</v>
      </c>
      <c r="B62">
        <v>0.75979131188986693</v>
      </c>
      <c r="C62">
        <v>0.75981472799914451</v>
      </c>
      <c r="D62">
        <v>0.75966711177837487</v>
      </c>
      <c r="E62">
        <f t="shared" si="16"/>
        <v>0.75975771722246199</v>
      </c>
      <c r="F62">
        <f t="shared" si="17"/>
        <v>-1.9216930695520551E-2</v>
      </c>
      <c r="G62">
        <f t="shared" si="15"/>
        <v>-1.9216930695520551</v>
      </c>
      <c r="I62">
        <f t="shared" si="18"/>
        <v>-2.4669520050341717E-2</v>
      </c>
      <c r="J62">
        <f t="shared" si="19"/>
        <v>-2.4669520050341718</v>
      </c>
      <c r="L62">
        <f t="shared" si="20"/>
        <v>-3.8505545052724965E-4</v>
      </c>
      <c r="M62">
        <f t="shared" si="21"/>
        <v>-3.8505545052724965E-2</v>
      </c>
      <c r="O62">
        <f t="shared" si="22"/>
        <v>-5.065567474557824E-4</v>
      </c>
      <c r="P62">
        <f t="shared" si="23"/>
        <v>-5.0655674745578243E-2</v>
      </c>
    </row>
    <row r="63" spans="1:16" x14ac:dyDescent="0.25">
      <c r="A63" t="s">
        <v>8</v>
      </c>
      <c r="B63">
        <v>0.27500302869326754</v>
      </c>
      <c r="C63">
        <v>0.27736364223657373</v>
      </c>
      <c r="D63">
        <v>0.2847078956243792</v>
      </c>
      <c r="E63">
        <f t="shared" si="16"/>
        <v>0.27902485551807349</v>
      </c>
      <c r="F63">
        <f t="shared" si="17"/>
        <v>-5.6254199940819205E-2</v>
      </c>
      <c r="G63">
        <f t="shared" si="15"/>
        <v>-5.6254199940819207</v>
      </c>
      <c r="I63">
        <f t="shared" si="18"/>
        <v>-0.16778322124483652</v>
      </c>
      <c r="J63">
        <f t="shared" si="19"/>
        <v>-16.778322124483651</v>
      </c>
      <c r="L63">
        <f t="shared" si="20"/>
        <v>4.4830891453307431E-3</v>
      </c>
      <c r="M63">
        <f t="shared" si="21"/>
        <v>0.44830891453307431</v>
      </c>
      <c r="O63">
        <f t="shared" si="22"/>
        <v>1.6329352012852193E-2</v>
      </c>
      <c r="P63">
        <f t="shared" si="23"/>
        <v>1.6329352012852194</v>
      </c>
    </row>
    <row r="64" spans="1:16" x14ac:dyDescent="0.25">
      <c r="A64" t="s">
        <v>9</v>
      </c>
      <c r="B64">
        <v>0.62071098065256303</v>
      </c>
      <c r="C64">
        <v>0.62831213269335995</v>
      </c>
      <c r="D64">
        <v>0.62755416778668949</v>
      </c>
      <c r="E64">
        <f t="shared" si="16"/>
        <v>0.62552576037753749</v>
      </c>
      <c r="F64">
        <f t="shared" si="17"/>
        <v>1.4555911490360951E-2</v>
      </c>
      <c r="G64">
        <f t="shared" si="15"/>
        <v>1.4555911490360951</v>
      </c>
      <c r="H64" t="s">
        <v>17</v>
      </c>
      <c r="I64">
        <f t="shared" si="18"/>
        <v>2.3824271388961597E-2</v>
      </c>
      <c r="J64">
        <f t="shared" si="19"/>
        <v>2.3824271388961598</v>
      </c>
      <c r="L64">
        <f t="shared" si="20"/>
        <v>1.7145337683081574E-2</v>
      </c>
      <c r="M64">
        <f t="shared" si="21"/>
        <v>1.7145337683081574</v>
      </c>
      <c r="N64" t="s">
        <v>17</v>
      </c>
      <c r="O64">
        <f t="shared" si="22"/>
        <v>2.8181935255487994E-2</v>
      </c>
      <c r="P64">
        <f t="shared" si="23"/>
        <v>2.8181935255487995</v>
      </c>
    </row>
    <row r="65" spans="1:16" x14ac:dyDescent="0.25">
      <c r="A65" t="s">
        <v>21</v>
      </c>
      <c r="B65">
        <v>0.25869333744049072</v>
      </c>
      <c r="C65">
        <v>0.26110926270484919</v>
      </c>
      <c r="D65">
        <v>0.25927442312240601</v>
      </c>
      <c r="E65">
        <f t="shared" si="16"/>
        <v>0.25969234108924866</v>
      </c>
      <c r="F65">
        <f t="shared" si="17"/>
        <v>-9.6651216348012103E-3</v>
      </c>
      <c r="G65">
        <f t="shared" si="15"/>
        <v>-0.96651216348012103</v>
      </c>
      <c r="H65" t="s">
        <v>16</v>
      </c>
      <c r="I65">
        <f t="shared" si="18"/>
        <v>-3.5882137948050438E-2</v>
      </c>
      <c r="J65">
        <f t="shared" si="19"/>
        <v>-3.5882137948050437</v>
      </c>
      <c r="L65">
        <f t="shared" si="20"/>
        <v>1.7062187194824191E-2</v>
      </c>
      <c r="M65">
        <f t="shared" si="21"/>
        <v>1.7062187194824192</v>
      </c>
      <c r="N65" t="s">
        <v>17</v>
      </c>
      <c r="O65">
        <f t="shared" si="22"/>
        <v>7.0321791916467452E-2</v>
      </c>
      <c r="P65">
        <f t="shared" si="23"/>
        <v>7.0321791916467449</v>
      </c>
    </row>
    <row r="66" spans="1:16" x14ac:dyDescent="0.25">
      <c r="A66" t="s">
        <v>22</v>
      </c>
      <c r="B66">
        <v>0.21211963891983029</v>
      </c>
      <c r="C66">
        <v>0.21490103006362921</v>
      </c>
      <c r="D66">
        <v>0.21314322948455811</v>
      </c>
      <c r="E66">
        <f t="shared" si="16"/>
        <v>0.21338796615600586</v>
      </c>
      <c r="F66">
        <f t="shared" si="17"/>
        <v>-8.3645333846410208E-3</v>
      </c>
      <c r="G66">
        <f t="shared" si="15"/>
        <v>-0.83645333846410208</v>
      </c>
      <c r="H66" t="s">
        <v>16</v>
      </c>
      <c r="I66">
        <f t="shared" si="18"/>
        <v>-3.7720131236256102E-2</v>
      </c>
      <c r="J66">
        <f t="shared" si="19"/>
        <v>-3.77201312362561</v>
      </c>
      <c r="L66">
        <f t="shared" si="20"/>
        <v>1.965135335922244E-2</v>
      </c>
      <c r="M66">
        <f t="shared" si="21"/>
        <v>1.9651353359222439</v>
      </c>
      <c r="N66" t="s">
        <v>17</v>
      </c>
      <c r="O66">
        <f t="shared" si="22"/>
        <v>0.10143334848036896</v>
      </c>
      <c r="P66">
        <f t="shared" si="23"/>
        <v>10.143334848036895</v>
      </c>
    </row>
    <row r="67" spans="1:16" x14ac:dyDescent="0.25">
      <c r="A67" t="s">
        <v>23</v>
      </c>
      <c r="B67">
        <v>0.3059350848197937</v>
      </c>
      <c r="C67">
        <v>0.30802446603775019</v>
      </c>
      <c r="D67">
        <v>0.30612733960151672</v>
      </c>
      <c r="E67">
        <f t="shared" si="16"/>
        <v>0.3066956301530202</v>
      </c>
      <c r="F67">
        <f t="shared" si="17"/>
        <v>-1.0696520407994625E-2</v>
      </c>
      <c r="G67">
        <f t="shared" si="15"/>
        <v>-1.0696520407994625</v>
      </c>
      <c r="I67">
        <f t="shared" si="18"/>
        <v>-3.3701275816329139E-2</v>
      </c>
      <c r="J67">
        <f t="shared" si="19"/>
        <v>-3.3701275816329139</v>
      </c>
      <c r="L67">
        <f t="shared" si="20"/>
        <v>1.4194717009862245E-2</v>
      </c>
      <c r="M67">
        <f t="shared" si="21"/>
        <v>1.4194717009862245</v>
      </c>
      <c r="N67" t="s">
        <v>17</v>
      </c>
      <c r="O67">
        <f t="shared" si="22"/>
        <v>4.8528795542306435E-2</v>
      </c>
      <c r="P67">
        <f t="shared" si="23"/>
        <v>4.8528795542306433</v>
      </c>
    </row>
    <row r="68" spans="1:16" x14ac:dyDescent="0.25">
      <c r="A68" t="s">
        <v>10</v>
      </c>
      <c r="B68">
        <v>0.41695402298850581</v>
      </c>
      <c r="C68">
        <v>0.41839080459770112</v>
      </c>
      <c r="D68">
        <v>0.41839080459770112</v>
      </c>
      <c r="E68">
        <f t="shared" si="16"/>
        <v>0.41791187739463603</v>
      </c>
      <c r="F68">
        <f t="shared" si="17"/>
        <v>-8.4865900383141735E-2</v>
      </c>
      <c r="G68">
        <f t="shared" si="15"/>
        <v>-8.4865900383141728</v>
      </c>
      <c r="H68" t="s">
        <v>16</v>
      </c>
      <c r="I68">
        <f t="shared" si="18"/>
        <v>-0.16879405601066866</v>
      </c>
      <c r="J68">
        <f t="shared" si="19"/>
        <v>-16.879405601066864</v>
      </c>
      <c r="L68">
        <f t="shared" si="20"/>
        <v>6.5948275862068972E-2</v>
      </c>
      <c r="M68">
        <f t="shared" si="21"/>
        <v>6.5948275862068968</v>
      </c>
      <c r="N68" t="s">
        <v>17</v>
      </c>
      <c r="O68">
        <f t="shared" si="22"/>
        <v>0.18737243162335013</v>
      </c>
      <c r="P68">
        <f t="shared" si="23"/>
        <v>18.737243162335012</v>
      </c>
    </row>
    <row r="69" spans="1:16" x14ac:dyDescent="0.25">
      <c r="A69" t="s">
        <v>11</v>
      </c>
      <c r="B69">
        <v>0.58620689655172409</v>
      </c>
      <c r="C69">
        <v>0.58620689655172409</v>
      </c>
      <c r="D69">
        <v>0.58620689655172409</v>
      </c>
      <c r="E69">
        <f t="shared" si="16"/>
        <v>0.58620689655172409</v>
      </c>
      <c r="F69">
        <f t="shared" si="17"/>
        <v>-6.8965517241379337E-2</v>
      </c>
      <c r="G69">
        <f t="shared" si="15"/>
        <v>-6.8965517241379342</v>
      </c>
      <c r="H69" t="s">
        <v>16</v>
      </c>
      <c r="I69">
        <f t="shared" si="18"/>
        <v>-0.10526315789473689</v>
      </c>
      <c r="J69">
        <f t="shared" si="19"/>
        <v>-10.526315789473689</v>
      </c>
      <c r="L69">
        <f t="shared" si="20"/>
        <v>6.8965517241379226E-2</v>
      </c>
      <c r="M69">
        <f t="shared" si="21"/>
        <v>6.8965517241379226</v>
      </c>
      <c r="N69" t="s">
        <v>17</v>
      </c>
      <c r="O69">
        <f t="shared" si="22"/>
        <v>0.13333333333333316</v>
      </c>
      <c r="P69">
        <f t="shared" si="23"/>
        <v>13.333333333333316</v>
      </c>
    </row>
    <row r="70" spans="1:16" x14ac:dyDescent="0.25">
      <c r="A70" t="s">
        <v>12</v>
      </c>
      <c r="B70">
        <v>12.352691654501291</v>
      </c>
      <c r="C70">
        <v>12.22340401082203</v>
      </c>
      <c r="D70">
        <v>11.93172659545109</v>
      </c>
      <c r="E70">
        <f t="shared" si="16"/>
        <v>12.169274086924803</v>
      </c>
      <c r="F70">
        <f t="shared" si="17"/>
        <v>-0.56649120648702045</v>
      </c>
      <c r="I70">
        <f t="shared" si="18"/>
        <v>-4.4480342832641927E-2</v>
      </c>
      <c r="J70">
        <f t="shared" si="19"/>
        <v>-4.4480342832641924</v>
      </c>
      <c r="L70">
        <f t="shared" si="20"/>
        <v>-0.7429572138293068</v>
      </c>
    </row>
    <row r="71" spans="1:16" x14ac:dyDescent="0.25">
      <c r="A71" t="s">
        <v>31</v>
      </c>
      <c r="B71">
        <v>2182.2931034482758</v>
      </c>
      <c r="C71">
        <v>2170.7068965517242</v>
      </c>
      <c r="D71">
        <v>2206.0172413793098</v>
      </c>
      <c r="E71">
        <f t="shared" si="16"/>
        <v>2186.3390804597698</v>
      </c>
      <c r="F71">
        <f t="shared" si="17"/>
        <v>-3.057471264367905</v>
      </c>
      <c r="I71">
        <f t="shared" si="18"/>
        <v>-1.3964903991285466E-3</v>
      </c>
      <c r="J71">
        <f t="shared" si="19"/>
        <v>-0.13964903991285466</v>
      </c>
      <c r="L71">
        <f t="shared" si="20"/>
        <v>3.8678160919535003</v>
      </c>
    </row>
    <row r="72" spans="1:16" x14ac:dyDescent="0.25">
      <c r="A72" t="s">
        <v>32</v>
      </c>
      <c r="B72">
        <v>210.67241379310349</v>
      </c>
      <c r="C72">
        <v>208.9913793103448</v>
      </c>
      <c r="D72">
        <v>211.77586206896549</v>
      </c>
      <c r="E72">
        <f t="shared" si="16"/>
        <v>210.47988505747125</v>
      </c>
      <c r="F72">
        <f t="shared" si="17"/>
        <v>-7.9166666666666572</v>
      </c>
      <c r="I72">
        <f t="shared" si="18"/>
        <v>-3.6249046077734756E-2</v>
      </c>
      <c r="J72">
        <f t="shared" si="19"/>
        <v>-3.6249046077734755</v>
      </c>
      <c r="L72">
        <f t="shared" si="20"/>
        <v>-9.3850574712643606</v>
      </c>
    </row>
    <row r="73" spans="1:16" x14ac:dyDescent="0.25">
      <c r="A73" t="s">
        <v>33</v>
      </c>
      <c r="B73">
        <v>2392.96551724138</v>
      </c>
      <c r="C73">
        <v>2379.6982758620688</v>
      </c>
      <c r="D73">
        <v>2417.7931034482758</v>
      </c>
      <c r="E73">
        <f t="shared" si="16"/>
        <v>2396.8189655172414</v>
      </c>
      <c r="F73">
        <f t="shared" si="17"/>
        <v>-10.97413793103442</v>
      </c>
      <c r="I73">
        <f t="shared" si="18"/>
        <v>-4.5577578552401425E-3</v>
      </c>
      <c r="J73">
        <f t="shared" si="19"/>
        <v>-0.45577578552401427</v>
      </c>
      <c r="L73">
        <f t="shared" si="20"/>
        <v>-5.5172413793106898</v>
      </c>
    </row>
    <row r="74" spans="1:16" x14ac:dyDescent="0.25">
      <c r="A74" t="s">
        <v>44</v>
      </c>
      <c r="B74">
        <v>12594.8275862069</v>
      </c>
      <c r="C74">
        <v>12596.09482758621</v>
      </c>
      <c r="D74">
        <v>12604.25</v>
      </c>
      <c r="E74">
        <f t="shared" si="16"/>
        <v>12598.390804597702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25D9-88D4-42ED-91DF-C5BF6D665D73}">
  <dimension ref="A1:P74"/>
  <sheetViews>
    <sheetView topLeftCell="A40" workbookViewId="0">
      <selection activeCell="M73" sqref="M73"/>
    </sheetView>
  </sheetViews>
  <sheetFormatPr baseColWidth="10" defaultRowHeight="15" x14ac:dyDescent="0.25"/>
  <cols>
    <col min="6" max="6" width="16.7109375" bestFit="1" customWidth="1"/>
    <col min="12" max="12" width="16.42578125" bestFit="1" customWidth="1"/>
  </cols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80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34</v>
      </c>
      <c r="G20" t="s">
        <v>14</v>
      </c>
      <c r="I20" t="s">
        <v>37</v>
      </c>
      <c r="J20" t="s">
        <v>14</v>
      </c>
    </row>
    <row r="21" spans="1:10" x14ac:dyDescent="0.25">
      <c r="A21" t="s">
        <v>4</v>
      </c>
      <c r="B21">
        <v>0.66296101196349411</v>
      </c>
      <c r="C21">
        <v>0.68535420352277387</v>
      </c>
      <c r="D21">
        <v>0.69497089561965197</v>
      </c>
      <c r="E21">
        <f>AVERAGE(B21:D21)</f>
        <v>0.68109537036863987</v>
      </c>
      <c r="F21">
        <f t="shared" ref="F21:F35" si="1">E21-E3</f>
        <v>1.8074518752787094E-2</v>
      </c>
      <c r="G21">
        <f t="shared" ref="G21:G31" si="2">F21*100</f>
        <v>1.8074518752787094</v>
      </c>
      <c r="I21">
        <f>F21/E3</f>
        <v>2.7260860210862988E-2</v>
      </c>
      <c r="J21">
        <f>I21*100</f>
        <v>2.7260860210862989</v>
      </c>
    </row>
    <row r="22" spans="1:10" x14ac:dyDescent="0.25">
      <c r="A22" t="s">
        <v>5</v>
      </c>
      <c r="B22">
        <v>0.67200328407224952</v>
      </c>
      <c r="C22">
        <v>0.71496305418719197</v>
      </c>
      <c r="D22">
        <v>0.72128489326765188</v>
      </c>
      <c r="E22">
        <f t="shared" ref="E22:E35" si="3">AVERAGE(B22:D22)</f>
        <v>0.7027504105090312</v>
      </c>
      <c r="F22">
        <f t="shared" si="1"/>
        <v>7.1455938697318033E-2</v>
      </c>
      <c r="G22">
        <f t="shared" si="2"/>
        <v>7.1455938697318029</v>
      </c>
      <c r="I22">
        <f t="shared" ref="I22:I32" si="4">F22/E4</f>
        <v>0.11318955240056361</v>
      </c>
      <c r="J22">
        <f t="shared" ref="J22:J32" si="5">I22*100</f>
        <v>11.318955240056361</v>
      </c>
    </row>
    <row r="23" spans="1:10" x14ac:dyDescent="0.25">
      <c r="A23" t="s">
        <v>6</v>
      </c>
      <c r="B23">
        <v>0.62192289269050349</v>
      </c>
      <c r="C23">
        <v>0.66002155169228616</v>
      </c>
      <c r="D23">
        <v>0.64667145590775643</v>
      </c>
      <c r="E23">
        <f t="shared" si="3"/>
        <v>0.64287196676351532</v>
      </c>
      <c r="F23">
        <f t="shared" si="1"/>
        <v>1.2404214557065973E-2</v>
      </c>
      <c r="G23">
        <f t="shared" si="2"/>
        <v>1.2404214557065973</v>
      </c>
      <c r="I23">
        <f t="shared" si="4"/>
        <v>1.9674621760835374E-2</v>
      </c>
      <c r="J23">
        <f t="shared" si="5"/>
        <v>1.9674621760835374</v>
      </c>
    </row>
    <row r="24" spans="1:10" x14ac:dyDescent="0.25">
      <c r="A24" t="s">
        <v>7</v>
      </c>
      <c r="B24">
        <v>0.76326030955478241</v>
      </c>
      <c r="C24">
        <v>0.76272324345134546</v>
      </c>
      <c r="D24">
        <v>0.76272324345134579</v>
      </c>
      <c r="E24">
        <f t="shared" si="3"/>
        <v>0.76290226548582452</v>
      </c>
      <c r="F24">
        <f t="shared" si="1"/>
        <v>2.7594928128352736E-3</v>
      </c>
      <c r="G24">
        <f t="shared" si="2"/>
        <v>0.27594928128352736</v>
      </c>
      <c r="I24">
        <f t="shared" si="4"/>
        <v>3.6302296253264486E-3</v>
      </c>
      <c r="J24">
        <f t="shared" si="5"/>
        <v>0.36302296253264488</v>
      </c>
    </row>
    <row r="25" spans="1:10" x14ac:dyDescent="0.25">
      <c r="A25" t="s">
        <v>8</v>
      </c>
      <c r="B25">
        <v>0.26186387769522529</v>
      </c>
      <c r="C25">
        <v>0.2535635863574382</v>
      </c>
      <c r="D25">
        <v>0.28649151867386019</v>
      </c>
      <c r="E25">
        <f t="shared" si="3"/>
        <v>0.26730632757550787</v>
      </c>
      <c r="F25">
        <f t="shared" si="1"/>
        <v>-7.2354387972348722E-3</v>
      </c>
      <c r="G25">
        <f t="shared" si="2"/>
        <v>-0.72354387972348722</v>
      </c>
      <c r="I25">
        <f t="shared" si="4"/>
        <v>-2.6354601315602324E-2</v>
      </c>
      <c r="J25">
        <f t="shared" si="5"/>
        <v>-2.6354601315602322</v>
      </c>
    </row>
    <row r="26" spans="1:10" x14ac:dyDescent="0.25">
      <c r="A26" t="s">
        <v>9</v>
      </c>
      <c r="B26">
        <v>0.61482378886988531</v>
      </c>
      <c r="C26">
        <v>0.60777094237731566</v>
      </c>
      <c r="D26">
        <v>0.62309261623814405</v>
      </c>
      <c r="E26">
        <f t="shared" si="3"/>
        <v>0.6152291158284483</v>
      </c>
      <c r="F26">
        <f t="shared" si="1"/>
        <v>6.8486931339923895E-3</v>
      </c>
      <c r="G26">
        <f t="shared" si="2"/>
        <v>0.68486931339923895</v>
      </c>
      <c r="I26">
        <f t="shared" si="4"/>
        <v>1.1257254307527212E-2</v>
      </c>
      <c r="J26">
        <f t="shared" si="5"/>
        <v>1.1257254307527211</v>
      </c>
    </row>
    <row r="27" spans="1:10" x14ac:dyDescent="0.25">
      <c r="A27" t="s">
        <v>21</v>
      </c>
      <c r="B27">
        <v>0.24222221970558169</v>
      </c>
      <c r="C27">
        <v>0.24149493873119349</v>
      </c>
      <c r="D27">
        <v>0.24149493873119349</v>
      </c>
      <c r="E27">
        <f t="shared" si="3"/>
        <v>0.24173736572265625</v>
      </c>
      <c r="F27">
        <f t="shared" si="1"/>
        <v>-8.9278817176821623E-4</v>
      </c>
      <c r="G27">
        <f t="shared" si="2"/>
        <v>-8.9278817176821623E-2</v>
      </c>
      <c r="I27">
        <f t="shared" si="4"/>
        <v>-3.6796257902745868E-3</v>
      </c>
      <c r="J27">
        <f t="shared" si="5"/>
        <v>-0.36796257902745866</v>
      </c>
    </row>
    <row r="28" spans="1:10" x14ac:dyDescent="0.25">
      <c r="A28" t="s">
        <v>22</v>
      </c>
      <c r="B28">
        <v>0.19139668345451349</v>
      </c>
      <c r="C28">
        <v>0.1901719123125076</v>
      </c>
      <c r="D28">
        <v>0.1901719123125076</v>
      </c>
      <c r="E28">
        <f t="shared" si="3"/>
        <v>0.1905801693598429</v>
      </c>
      <c r="F28">
        <f t="shared" si="1"/>
        <v>-3.1564434369405203E-3</v>
      </c>
      <c r="G28">
        <f t="shared" si="2"/>
        <v>-0.31564434369405203</v>
      </c>
      <c r="I28">
        <f t="shared" si="4"/>
        <v>-1.6292446695408139E-2</v>
      </c>
      <c r="J28">
        <f t="shared" si="5"/>
        <v>-1.629244669540814</v>
      </c>
    </row>
    <row r="29" spans="1:10" x14ac:dyDescent="0.25">
      <c r="A29" t="s">
        <v>23</v>
      </c>
      <c r="B29">
        <v>0.29410138726234442</v>
      </c>
      <c r="C29">
        <v>0.29395169019699102</v>
      </c>
      <c r="D29">
        <v>0.29395169019699102</v>
      </c>
      <c r="E29">
        <f t="shared" si="3"/>
        <v>0.29400158921877551</v>
      </c>
      <c r="F29">
        <f t="shared" si="1"/>
        <v>1.5006760756175463E-3</v>
      </c>
      <c r="G29">
        <f t="shared" si="2"/>
        <v>0.15006760756175463</v>
      </c>
      <c r="I29">
        <f t="shared" si="4"/>
        <v>5.13050048114918E-3</v>
      </c>
      <c r="J29">
        <f t="shared" si="5"/>
        <v>0.51305004811491806</v>
      </c>
    </row>
    <row r="30" spans="1:10" x14ac:dyDescent="0.25">
      <c r="A30" t="s">
        <v>10</v>
      </c>
      <c r="B30">
        <v>0.36235632183908051</v>
      </c>
      <c r="C30">
        <v>0.37198275862068958</v>
      </c>
      <c r="D30">
        <v>0.37485632183908052</v>
      </c>
      <c r="E30">
        <f t="shared" si="3"/>
        <v>0.36973180076628354</v>
      </c>
      <c r="F30">
        <f t="shared" si="1"/>
        <v>1.7768199233716475E-2</v>
      </c>
      <c r="G30">
        <f t="shared" si="2"/>
        <v>1.7768199233716475</v>
      </c>
      <c r="I30">
        <f t="shared" si="4"/>
        <v>5.0483058919580895E-2</v>
      </c>
      <c r="J30">
        <f t="shared" si="5"/>
        <v>5.0483058919580897</v>
      </c>
    </row>
    <row r="31" spans="1:10" x14ac:dyDescent="0.25">
      <c r="A31" t="s">
        <v>11</v>
      </c>
      <c r="B31">
        <v>0.50862068965517238</v>
      </c>
      <c r="C31">
        <v>0.52586206896551724</v>
      </c>
      <c r="D31">
        <v>0.53448275862068961</v>
      </c>
      <c r="E31">
        <f t="shared" si="3"/>
        <v>0.5229885057471263</v>
      </c>
      <c r="F31">
        <f t="shared" si="1"/>
        <v>5.7471264367814356E-3</v>
      </c>
      <c r="G31">
        <f t="shared" si="2"/>
        <v>0.57471264367814356</v>
      </c>
      <c r="I31">
        <f t="shared" si="4"/>
        <v>1.1111111111110775E-2</v>
      </c>
      <c r="J31">
        <f t="shared" si="5"/>
        <v>1.1111111111110774</v>
      </c>
    </row>
    <row r="32" spans="1:10" x14ac:dyDescent="0.25">
      <c r="A32" t="s">
        <v>12</v>
      </c>
      <c r="B32">
        <v>11.834295817490281</v>
      </c>
      <c r="C32">
        <v>11.336146831512449</v>
      </c>
      <c r="D32">
        <v>12.05678646317844</v>
      </c>
      <c r="E32">
        <f t="shared" si="3"/>
        <v>11.742409704060391</v>
      </c>
      <c r="F32">
        <f t="shared" si="1"/>
        <v>-1.1698215966937191</v>
      </c>
      <c r="I32">
        <f t="shared" si="4"/>
        <v>-9.0597943101081088E-2</v>
      </c>
      <c r="J32">
        <f t="shared" si="5"/>
        <v>-9.0597943101081082</v>
      </c>
    </row>
    <row r="33" spans="1:10" x14ac:dyDescent="0.25">
      <c r="A33" t="s">
        <v>31</v>
      </c>
      <c r="B33">
        <v>2096.75</v>
      </c>
      <c r="C33">
        <v>2069.0689655172409</v>
      </c>
      <c r="D33">
        <v>2159.71551724138</v>
      </c>
      <c r="E33">
        <f t="shared" si="3"/>
        <v>2108.5114942528739</v>
      </c>
      <c r="F33">
        <f t="shared" si="1"/>
        <v>-73.95977011494233</v>
      </c>
    </row>
    <row r="34" spans="1:10" x14ac:dyDescent="0.25">
      <c r="A34" t="s">
        <v>32</v>
      </c>
      <c r="B34">
        <v>211.37068965517241</v>
      </c>
      <c r="C34">
        <v>209.94827586206901</v>
      </c>
      <c r="D34">
        <v>219.11206896551721</v>
      </c>
      <c r="E34">
        <f t="shared" si="3"/>
        <v>213.47701149425288</v>
      </c>
      <c r="F34">
        <f t="shared" si="1"/>
        <v>-6.3879310344827331</v>
      </c>
    </row>
    <row r="35" spans="1:10" x14ac:dyDescent="0.25">
      <c r="A35" t="s">
        <v>33</v>
      </c>
      <c r="B35">
        <v>2308.120689655173</v>
      </c>
      <c r="C35">
        <v>2279.0172413793098</v>
      </c>
      <c r="D35">
        <v>2378.8275862068972</v>
      </c>
      <c r="E35">
        <f t="shared" si="3"/>
        <v>2321.988505747127</v>
      </c>
      <c r="F35">
        <f t="shared" si="1"/>
        <v>-80.34770114942512</v>
      </c>
    </row>
    <row r="36" spans="1:10" x14ac:dyDescent="0.25">
      <c r="B36">
        <v>0</v>
      </c>
      <c r="C36">
        <v>0</v>
      </c>
      <c r="D36">
        <v>0</v>
      </c>
    </row>
    <row r="38" spans="1:10" x14ac:dyDescent="0.25">
      <c r="A38">
        <v>1500</v>
      </c>
      <c r="B38">
        <v>300</v>
      </c>
      <c r="C38">
        <v>70</v>
      </c>
    </row>
    <row r="39" spans="1:10" x14ac:dyDescent="0.25">
      <c r="B39" t="s">
        <v>0</v>
      </c>
      <c r="C39" t="s">
        <v>1</v>
      </c>
      <c r="D39" t="s">
        <v>2</v>
      </c>
      <c r="E39" t="s">
        <v>3</v>
      </c>
      <c r="F39" t="s">
        <v>52</v>
      </c>
      <c r="G39" t="s">
        <v>14</v>
      </c>
      <c r="I39" t="s">
        <v>37</v>
      </c>
      <c r="J39" t="s">
        <v>14</v>
      </c>
    </row>
    <row r="40" spans="1:10" x14ac:dyDescent="0.25">
      <c r="A40" t="s">
        <v>4</v>
      </c>
      <c r="B40">
        <v>0.69234182090509078</v>
      </c>
      <c r="C40">
        <v>0.69297008264827464</v>
      </c>
      <c r="D40">
        <v>0.7040365801016889</v>
      </c>
      <c r="E40">
        <f>AVERAGE(B40:D40)</f>
        <v>0.69644949455168481</v>
      </c>
      <c r="F40">
        <f>E40-E21</f>
        <v>1.5354124183044937E-2</v>
      </c>
      <c r="G40">
        <f t="shared" ref="G40:G50" si="6">F40*100</f>
        <v>1.5354124183044937</v>
      </c>
      <c r="I40">
        <f>F40/E21</f>
        <v>2.2543280795954589E-2</v>
      </c>
      <c r="J40">
        <f>I40*100</f>
        <v>2.2543280795954588</v>
      </c>
    </row>
    <row r="41" spans="1:10" x14ac:dyDescent="0.25">
      <c r="A41" t="s">
        <v>5</v>
      </c>
      <c r="B41">
        <v>0.70160098522167491</v>
      </c>
      <c r="C41">
        <v>0.73076765188834147</v>
      </c>
      <c r="D41">
        <v>0.72875615763546786</v>
      </c>
      <c r="E41">
        <f t="shared" ref="E41:E54" si="7">AVERAGE(B41:D41)</f>
        <v>0.72037493158182808</v>
      </c>
      <c r="F41">
        <f t="shared" ref="F41:F54" si="8">E41-E22</f>
        <v>1.7624521072796884E-2</v>
      </c>
      <c r="G41">
        <f t="shared" si="6"/>
        <v>1.7624521072796884</v>
      </c>
      <c r="I41">
        <f t="shared" ref="I41:I51" si="9">F41/E22</f>
        <v>2.5079346535038967E-2</v>
      </c>
      <c r="J41">
        <f t="shared" ref="J41:J51" si="10">I41*100</f>
        <v>2.5079346535038969</v>
      </c>
    </row>
    <row r="42" spans="1:10" x14ac:dyDescent="0.25">
      <c r="A42" t="s">
        <v>6</v>
      </c>
      <c r="B42">
        <v>0.61617576624973713</v>
      </c>
      <c r="C42">
        <v>0.64743773942732374</v>
      </c>
      <c r="D42">
        <v>0.63238745207179137</v>
      </c>
      <c r="E42">
        <f t="shared" si="7"/>
        <v>0.63200031924961741</v>
      </c>
      <c r="F42">
        <f t="shared" si="8"/>
        <v>-1.0871647513897909E-2</v>
      </c>
      <c r="G42">
        <f t="shared" si="6"/>
        <v>-1.0871647513897909</v>
      </c>
      <c r="I42">
        <f t="shared" si="9"/>
        <v>-1.6911061729181161E-2</v>
      </c>
      <c r="J42">
        <f t="shared" si="10"/>
        <v>-1.691106172918116</v>
      </c>
    </row>
    <row r="43" spans="1:10" x14ac:dyDescent="0.25">
      <c r="A43" t="s">
        <v>7</v>
      </c>
      <c r="B43">
        <v>0.76154323348416741</v>
      </c>
      <c r="C43">
        <v>0.76188387257379897</v>
      </c>
      <c r="D43">
        <v>0.76219051093976931</v>
      </c>
      <c r="E43">
        <f t="shared" si="7"/>
        <v>0.76187253899924523</v>
      </c>
      <c r="F43">
        <f t="shared" si="8"/>
        <v>-1.0297264865792854E-3</v>
      </c>
      <c r="G43">
        <f t="shared" si="6"/>
        <v>-0.10297264865792854</v>
      </c>
      <c r="I43">
        <f t="shared" si="9"/>
        <v>-1.349748890735754E-3</v>
      </c>
      <c r="J43">
        <f t="shared" si="10"/>
        <v>-0.13497488907357541</v>
      </c>
    </row>
    <row r="44" spans="1:10" x14ac:dyDescent="0.25">
      <c r="A44" t="s">
        <v>8</v>
      </c>
      <c r="B44">
        <v>0.2522307332830136</v>
      </c>
      <c r="C44">
        <v>0.26724627678281809</v>
      </c>
      <c r="D44">
        <v>0.25923710178345821</v>
      </c>
      <c r="E44">
        <f t="shared" si="7"/>
        <v>0.25957137061642999</v>
      </c>
      <c r="F44">
        <f t="shared" si="8"/>
        <v>-7.7349569590778877E-3</v>
      </c>
      <c r="G44">
        <f t="shared" si="6"/>
        <v>-0.77349569590778877</v>
      </c>
      <c r="I44">
        <f t="shared" si="9"/>
        <v>-2.8936677366505442E-2</v>
      </c>
      <c r="J44">
        <f t="shared" si="10"/>
        <v>-2.8936677366505443</v>
      </c>
    </row>
    <row r="45" spans="1:10" x14ac:dyDescent="0.25">
      <c r="A45" t="s">
        <v>9</v>
      </c>
      <c r="B45">
        <v>0.63464173716840855</v>
      </c>
      <c r="C45">
        <v>0.6108207608182612</v>
      </c>
      <c r="D45">
        <v>0.61334503145505004</v>
      </c>
      <c r="E45">
        <f t="shared" si="7"/>
        <v>0.61960250981390663</v>
      </c>
      <c r="F45">
        <f t="shared" si="8"/>
        <v>4.3733939854583292E-3</v>
      </c>
      <c r="G45">
        <f t="shared" si="6"/>
        <v>0.43733939854583292</v>
      </c>
      <c r="I45">
        <f t="shared" si="9"/>
        <v>7.1085614658682947E-3</v>
      </c>
      <c r="J45">
        <f t="shared" si="10"/>
        <v>0.7108561465868295</v>
      </c>
    </row>
    <row r="46" spans="1:10" x14ac:dyDescent="0.25">
      <c r="A46" t="s">
        <v>21</v>
      </c>
      <c r="B46">
        <v>0.24536243081092829</v>
      </c>
      <c r="C46">
        <v>0.24725706875324249</v>
      </c>
      <c r="D46">
        <v>0.2463075369596481</v>
      </c>
      <c r="E46">
        <f t="shared" si="7"/>
        <v>0.2463090121746063</v>
      </c>
      <c r="F46">
        <f t="shared" si="8"/>
        <v>4.5716464519500455E-3</v>
      </c>
      <c r="G46">
        <f t="shared" si="6"/>
        <v>0.45716464519500455</v>
      </c>
      <c r="I46">
        <f t="shared" si="9"/>
        <v>1.8911625177528684E-2</v>
      </c>
      <c r="J46">
        <f t="shared" si="10"/>
        <v>1.8911625177528684</v>
      </c>
    </row>
    <row r="47" spans="1:10" x14ac:dyDescent="0.25">
      <c r="A47" t="s">
        <v>22</v>
      </c>
      <c r="B47">
        <v>0.19256450235843661</v>
      </c>
      <c r="C47">
        <v>0.19546101987361911</v>
      </c>
      <c r="D47">
        <v>0.1942291855812073</v>
      </c>
      <c r="E47">
        <f t="shared" si="7"/>
        <v>0.19408490260442102</v>
      </c>
      <c r="F47">
        <f t="shared" si="8"/>
        <v>3.5047332445781176E-3</v>
      </c>
      <c r="G47">
        <f t="shared" si="6"/>
        <v>0.35047332445781176</v>
      </c>
      <c r="I47">
        <f t="shared" si="9"/>
        <v>1.8389810736082802E-2</v>
      </c>
      <c r="J47">
        <f t="shared" si="10"/>
        <v>1.8389810736082801</v>
      </c>
    </row>
    <row r="48" spans="1:10" x14ac:dyDescent="0.25">
      <c r="A48" t="s">
        <v>23</v>
      </c>
      <c r="B48">
        <v>0.29943501949310303</v>
      </c>
      <c r="C48">
        <v>0.30023884773254389</v>
      </c>
      <c r="D48">
        <v>0.29958906769752502</v>
      </c>
      <c r="E48">
        <f t="shared" si="7"/>
        <v>0.29975431164105731</v>
      </c>
      <c r="F48">
        <f t="shared" si="8"/>
        <v>5.7527224222818085E-3</v>
      </c>
      <c r="G48">
        <f t="shared" si="6"/>
        <v>0.57527224222818085</v>
      </c>
      <c r="I48">
        <f t="shared" si="9"/>
        <v>1.9566977299571783E-2</v>
      </c>
      <c r="J48">
        <f t="shared" si="10"/>
        <v>1.9566977299571784</v>
      </c>
    </row>
    <row r="49" spans="1:16" x14ac:dyDescent="0.25">
      <c r="A49" t="s">
        <v>10</v>
      </c>
      <c r="B49">
        <v>0.35416666666666669</v>
      </c>
      <c r="C49">
        <v>0.34554597701149431</v>
      </c>
      <c r="D49">
        <v>0.35416666666666657</v>
      </c>
      <c r="E49">
        <f t="shared" si="7"/>
        <v>0.35129310344827586</v>
      </c>
      <c r="F49">
        <f t="shared" si="8"/>
        <v>-1.843869731800768E-2</v>
      </c>
      <c r="G49">
        <f t="shared" si="6"/>
        <v>-1.843869731800768</v>
      </c>
      <c r="I49">
        <f t="shared" si="9"/>
        <v>-4.9870466321243569E-2</v>
      </c>
      <c r="J49">
        <f t="shared" si="10"/>
        <v>-4.9870466321243567</v>
      </c>
    </row>
    <row r="50" spans="1:16" x14ac:dyDescent="0.25">
      <c r="A50" t="s">
        <v>11</v>
      </c>
      <c r="B50">
        <v>0.48275862068965519</v>
      </c>
      <c r="C50">
        <v>0.47413793103448282</v>
      </c>
      <c r="D50">
        <v>0.48275862068965519</v>
      </c>
      <c r="E50">
        <f t="shared" si="7"/>
        <v>0.47988505747126436</v>
      </c>
      <c r="F50">
        <f t="shared" si="8"/>
        <v>-4.3103448275861933E-2</v>
      </c>
      <c r="G50">
        <f t="shared" si="6"/>
        <v>-4.3103448275861931</v>
      </c>
      <c r="I50">
        <f t="shared" si="9"/>
        <v>-8.241758241758218E-2</v>
      </c>
      <c r="J50">
        <f t="shared" si="10"/>
        <v>-8.2417582417582178</v>
      </c>
    </row>
    <row r="51" spans="1:16" x14ac:dyDescent="0.25">
      <c r="A51" t="s">
        <v>12</v>
      </c>
      <c r="B51">
        <v>12.474823587927331</v>
      </c>
      <c r="C51">
        <v>12.37058089724902</v>
      </c>
      <c r="D51">
        <v>12.342808752224361</v>
      </c>
      <c r="E51">
        <f t="shared" si="7"/>
        <v>12.396071079133572</v>
      </c>
      <c r="F51">
        <f t="shared" si="8"/>
        <v>0.65366137507318101</v>
      </c>
      <c r="I51">
        <f t="shared" si="9"/>
        <v>5.5666715056548605E-2</v>
      </c>
      <c r="J51">
        <f t="shared" si="10"/>
        <v>5.5666715056548606</v>
      </c>
    </row>
    <row r="52" spans="1:16" x14ac:dyDescent="0.25">
      <c r="A52" t="s">
        <v>31</v>
      </c>
      <c r="B52">
        <v>2126.525862068966</v>
      </c>
      <c r="C52">
        <v>2132.1120689655172</v>
      </c>
      <c r="D52">
        <v>2161.0086206896549</v>
      </c>
      <c r="E52">
        <f t="shared" si="7"/>
        <v>2139.882183908046</v>
      </c>
      <c r="F52">
        <f t="shared" si="8"/>
        <v>31.3706896551721</v>
      </c>
    </row>
    <row r="53" spans="1:16" x14ac:dyDescent="0.25">
      <c r="A53" t="s">
        <v>32</v>
      </c>
      <c r="B53">
        <v>218.4568965517241</v>
      </c>
      <c r="C53">
        <v>218.17241379310349</v>
      </c>
      <c r="D53">
        <v>222.5086206896552</v>
      </c>
      <c r="E53">
        <f t="shared" si="7"/>
        <v>219.71264367816093</v>
      </c>
      <c r="F53">
        <f t="shared" si="8"/>
        <v>6.2356321839080522</v>
      </c>
    </row>
    <row r="54" spans="1:16" x14ac:dyDescent="0.25">
      <c r="A54" t="s">
        <v>33</v>
      </c>
      <c r="B54">
        <v>2344.9827586206902</v>
      </c>
      <c r="C54">
        <v>2350.28448275862</v>
      </c>
      <c r="D54">
        <v>2383.5172413793098</v>
      </c>
      <c r="E54">
        <f t="shared" si="7"/>
        <v>2359.5948275862065</v>
      </c>
      <c r="F54">
        <f t="shared" si="8"/>
        <v>37.606321839079556</v>
      </c>
    </row>
    <row r="55" spans="1:16" x14ac:dyDescent="0.25">
      <c r="B55">
        <v>0</v>
      </c>
      <c r="C55">
        <v>0</v>
      </c>
      <c r="D55">
        <v>0</v>
      </c>
    </row>
    <row r="57" spans="1:16" x14ac:dyDescent="0.25">
      <c r="A57">
        <v>1500</v>
      </c>
      <c r="B57">
        <v>300</v>
      </c>
      <c r="C57">
        <v>90</v>
      </c>
    </row>
    <row r="58" spans="1:16" x14ac:dyDescent="0.25">
      <c r="B58" t="s">
        <v>0</v>
      </c>
      <c r="C58" t="s">
        <v>1</v>
      </c>
      <c r="D58" t="s">
        <v>2</v>
      </c>
      <c r="E58" t="s">
        <v>3</v>
      </c>
      <c r="F58" t="s">
        <v>52</v>
      </c>
      <c r="G58" t="s">
        <v>14</v>
      </c>
      <c r="I58" t="s">
        <v>37</v>
      </c>
      <c r="J58" t="s">
        <v>14</v>
      </c>
      <c r="L58" t="s">
        <v>53</v>
      </c>
      <c r="M58" t="s">
        <v>14</v>
      </c>
      <c r="O58" t="s">
        <v>37</v>
      </c>
      <c r="P58" t="s">
        <v>14</v>
      </c>
    </row>
    <row r="59" spans="1:16" x14ac:dyDescent="0.25">
      <c r="A59" t="s">
        <v>4</v>
      </c>
      <c r="B59">
        <v>0.70802801755614808</v>
      </c>
      <c r="C59">
        <v>0.70524267588128742</v>
      </c>
      <c r="D59">
        <v>0.71448495256744948</v>
      </c>
      <c r="E59">
        <f>AVERAGE(B59:D59)</f>
        <v>0.70925188200162825</v>
      </c>
      <c r="F59">
        <f>E59-E21</f>
        <v>2.8156511632988379E-2</v>
      </c>
      <c r="G59">
        <f t="shared" ref="G59:G69" si="11">F59*100</f>
        <v>2.8156511632988379</v>
      </c>
      <c r="I59">
        <f>F59/E21</f>
        <v>4.1340042610697514E-2</v>
      </c>
      <c r="J59">
        <f>I59*100</f>
        <v>4.1340042610697516</v>
      </c>
      <c r="L59">
        <f>E59-E3</f>
        <v>4.6231030385775473E-2</v>
      </c>
      <c r="M59">
        <f t="shared" ref="M59:M69" si="12">L59*100</f>
        <v>4.6231030385775469</v>
      </c>
      <c r="N59" t="s">
        <v>17</v>
      </c>
      <c r="O59">
        <f>L59/E3</f>
        <v>6.9727867944281846E-2</v>
      </c>
      <c r="P59">
        <f>O59*100</f>
        <v>6.9727867944281847</v>
      </c>
    </row>
    <row r="60" spans="1:16" x14ac:dyDescent="0.25">
      <c r="A60" t="s">
        <v>5</v>
      </c>
      <c r="B60">
        <v>0.68938834154351392</v>
      </c>
      <c r="C60">
        <v>0.71525041050903115</v>
      </c>
      <c r="D60">
        <v>0.70734811165845657</v>
      </c>
      <c r="E60">
        <f t="shared" ref="E60:E73" si="13">AVERAGE(B60:D60)</f>
        <v>0.70399562123700044</v>
      </c>
      <c r="F60">
        <f t="shared" ref="F60:F73" si="14">E60-E22</f>
        <v>1.245210727969237E-3</v>
      </c>
      <c r="G60">
        <f t="shared" si="11"/>
        <v>0.1245210727969237</v>
      </c>
      <c r="I60">
        <f t="shared" ref="I60:I70" si="15">F60/E22</f>
        <v>1.7719103530189038E-3</v>
      </c>
      <c r="J60">
        <f t="shared" ref="J60:J70" si="16">I60*100</f>
        <v>0.1771910353018904</v>
      </c>
      <c r="L60">
        <f t="shared" ref="L60:L73" si="17">E60-E4</f>
        <v>7.270114942528727E-2</v>
      </c>
      <c r="M60">
        <f t="shared" si="12"/>
        <v>7.2701149425287266</v>
      </c>
      <c r="N60" t="s">
        <v>17</v>
      </c>
      <c r="O60">
        <f t="shared" ref="O60:O70" si="18">L60/E4</f>
        <v>0.11516202449333465</v>
      </c>
      <c r="P60">
        <f t="shared" ref="P60:P70" si="19">O60*100</f>
        <v>11.516202449333464</v>
      </c>
    </row>
    <row r="61" spans="1:16" x14ac:dyDescent="0.25">
      <c r="A61" t="s">
        <v>6</v>
      </c>
      <c r="B61">
        <v>0.64442049805463231</v>
      </c>
      <c r="C61">
        <v>0.64482758617875247</v>
      </c>
      <c r="D61">
        <v>0.6576388888590361</v>
      </c>
      <c r="E61">
        <f t="shared" si="13"/>
        <v>0.64896232436414036</v>
      </c>
      <c r="F61">
        <f t="shared" si="14"/>
        <v>6.0903576006250404E-3</v>
      </c>
      <c r="G61">
        <f t="shared" si="11"/>
        <v>0.60903576006250404</v>
      </c>
      <c r="I61">
        <f t="shared" si="15"/>
        <v>9.4736711437060032E-3</v>
      </c>
      <c r="J61">
        <f t="shared" si="16"/>
        <v>0.94736711437060028</v>
      </c>
      <c r="L61">
        <f t="shared" si="17"/>
        <v>1.8494572157691014E-2</v>
      </c>
      <c r="M61">
        <f t="shared" si="12"/>
        <v>1.8494572157691014</v>
      </c>
      <c r="N61" t="s">
        <v>17</v>
      </c>
      <c r="O61">
        <f t="shared" si="18"/>
        <v>2.9334683800980334E-2</v>
      </c>
      <c r="P61">
        <f t="shared" si="19"/>
        <v>2.9334683800980335</v>
      </c>
    </row>
    <row r="62" spans="1:16" x14ac:dyDescent="0.25">
      <c r="A62" t="s">
        <v>7</v>
      </c>
      <c r="B62">
        <v>0.76839407941235316</v>
      </c>
      <c r="C62">
        <v>0.76822370480494151</v>
      </c>
      <c r="D62">
        <v>0.76830911562571125</v>
      </c>
      <c r="E62">
        <f t="shared" si="13"/>
        <v>0.76830896661433534</v>
      </c>
      <c r="F62">
        <f t="shared" si="14"/>
        <v>5.4067011285108268E-3</v>
      </c>
      <c r="G62">
        <f t="shared" si="11"/>
        <v>0.54067011285108268</v>
      </c>
      <c r="I62">
        <f t="shared" si="15"/>
        <v>7.0870167426594025E-3</v>
      </c>
      <c r="J62">
        <f t="shared" si="16"/>
        <v>0.70870167426594022</v>
      </c>
      <c r="L62">
        <f t="shared" si="17"/>
        <v>8.1661939413461004E-3</v>
      </c>
      <c r="M62">
        <f t="shared" si="12"/>
        <v>0.81661939413461004</v>
      </c>
      <c r="O62">
        <f t="shared" si="18"/>
        <v>1.0742973866120237E-2</v>
      </c>
      <c r="P62">
        <f t="shared" si="19"/>
        <v>1.0742973866120238</v>
      </c>
    </row>
    <row r="63" spans="1:16" x14ac:dyDescent="0.25">
      <c r="A63" t="s">
        <v>8</v>
      </c>
      <c r="B63">
        <v>0.2594407936328641</v>
      </c>
      <c r="C63">
        <v>0.2734073913222671</v>
      </c>
      <c r="D63">
        <v>0.26583844576506888</v>
      </c>
      <c r="E63">
        <f t="shared" si="13"/>
        <v>0.26622887690673336</v>
      </c>
      <c r="F63">
        <f t="shared" si="14"/>
        <v>-1.0774506687745156E-3</v>
      </c>
      <c r="G63">
        <f t="shared" si="11"/>
        <v>-0.10774506687745156</v>
      </c>
      <c r="I63">
        <f t="shared" si="15"/>
        <v>-4.0307712823227527E-3</v>
      </c>
      <c r="J63">
        <f t="shared" si="16"/>
        <v>-0.40307712823227526</v>
      </c>
      <c r="L63">
        <f t="shared" si="17"/>
        <v>-8.3128894660093877E-3</v>
      </c>
      <c r="M63">
        <f t="shared" si="12"/>
        <v>-0.83128894660093877</v>
      </c>
      <c r="O63">
        <f t="shared" si="18"/>
        <v>-3.0279143227785084E-2</v>
      </c>
      <c r="P63">
        <f t="shared" si="19"/>
        <v>-3.0279143227785084</v>
      </c>
    </row>
    <row r="64" spans="1:16" x14ac:dyDescent="0.25">
      <c r="A64" t="s">
        <v>9</v>
      </c>
      <c r="B64">
        <v>0.60142369164960252</v>
      </c>
      <c r="C64">
        <v>0.58586967868335948</v>
      </c>
      <c r="D64">
        <v>0.60068877308179858</v>
      </c>
      <c r="E64">
        <f t="shared" si="13"/>
        <v>0.59599404780492016</v>
      </c>
      <c r="F64">
        <f t="shared" si="14"/>
        <v>-1.9235068023528146E-2</v>
      </c>
      <c r="G64">
        <f t="shared" si="11"/>
        <v>-1.9235068023528146</v>
      </c>
      <c r="I64">
        <f t="shared" si="15"/>
        <v>-3.1264885761504969E-2</v>
      </c>
      <c r="J64">
        <f t="shared" si="16"/>
        <v>-3.1264885761504968</v>
      </c>
      <c r="L64">
        <f t="shared" si="17"/>
        <v>-1.2386374889535756E-2</v>
      </c>
      <c r="M64">
        <f t="shared" si="12"/>
        <v>-1.2386374889535756</v>
      </c>
      <c r="O64">
        <f t="shared" si="18"/>
        <v>-2.0359588223890807E-2</v>
      </c>
      <c r="P64">
        <f t="shared" si="19"/>
        <v>-2.0359588223890808</v>
      </c>
    </row>
    <row r="65" spans="1:16" x14ac:dyDescent="0.25">
      <c r="A65" t="s">
        <v>21</v>
      </c>
      <c r="B65">
        <v>0.2471890598535538</v>
      </c>
      <c r="C65">
        <v>0.2462644279003143</v>
      </c>
      <c r="D65">
        <v>0.24598552286624911</v>
      </c>
      <c r="E65">
        <f t="shared" si="13"/>
        <v>0.24647967020670572</v>
      </c>
      <c r="F65">
        <f t="shared" si="14"/>
        <v>4.7423044840494699E-3</v>
      </c>
      <c r="G65">
        <f t="shared" si="11"/>
        <v>0.47423044840494699</v>
      </c>
      <c r="I65">
        <f t="shared" si="15"/>
        <v>1.9617589816422032E-2</v>
      </c>
      <c r="J65">
        <f t="shared" si="16"/>
        <v>1.9617589816422032</v>
      </c>
      <c r="L65">
        <f t="shared" si="17"/>
        <v>3.8495163122812537E-3</v>
      </c>
      <c r="M65">
        <f t="shared" si="12"/>
        <v>0.38495163122812537</v>
      </c>
      <c r="N65" t="s">
        <v>17</v>
      </c>
      <c r="O65">
        <f t="shared" si="18"/>
        <v>1.5865778636715913E-2</v>
      </c>
      <c r="P65">
        <f t="shared" si="19"/>
        <v>1.5865778636715913</v>
      </c>
    </row>
    <row r="66" spans="1:16" x14ac:dyDescent="0.25">
      <c r="A66" t="s">
        <v>22</v>
      </c>
      <c r="B66">
        <v>0.19579163193702701</v>
      </c>
      <c r="C66">
        <v>0.19459360837936401</v>
      </c>
      <c r="D66">
        <v>0.19496990740299219</v>
      </c>
      <c r="E66">
        <f t="shared" si="13"/>
        <v>0.19511838257312775</v>
      </c>
      <c r="F66">
        <f t="shared" si="14"/>
        <v>4.5382132132848474E-3</v>
      </c>
      <c r="G66">
        <f t="shared" si="11"/>
        <v>0.45382132132848474</v>
      </c>
      <c r="I66">
        <f t="shared" si="15"/>
        <v>2.3812620318938039E-2</v>
      </c>
      <c r="J66">
        <f t="shared" si="16"/>
        <v>2.381262031893804</v>
      </c>
      <c r="L66">
        <f t="shared" si="17"/>
        <v>1.3817697763443271E-3</v>
      </c>
      <c r="M66">
        <f t="shared" si="12"/>
        <v>0.13817697763443271</v>
      </c>
      <c r="O66">
        <f t="shared" si="18"/>
        <v>7.1322077763056073E-3</v>
      </c>
      <c r="P66">
        <f t="shared" si="19"/>
        <v>0.71322077763056069</v>
      </c>
    </row>
    <row r="67" spans="1:16" x14ac:dyDescent="0.25">
      <c r="A67" t="s">
        <v>23</v>
      </c>
      <c r="B67">
        <v>0.29986965656280518</v>
      </c>
      <c r="C67">
        <v>0.29922115802764893</v>
      </c>
      <c r="D67">
        <v>0.29830452799797058</v>
      </c>
      <c r="E67">
        <f t="shared" si="13"/>
        <v>0.29913178086280823</v>
      </c>
      <c r="F67">
        <f t="shared" si="14"/>
        <v>5.1301916440327222E-3</v>
      </c>
      <c r="G67">
        <f t="shared" si="11"/>
        <v>0.51301916440327222</v>
      </c>
      <c r="I67">
        <f t="shared" si="15"/>
        <v>1.7449537118709897E-2</v>
      </c>
      <c r="J67">
        <f t="shared" si="16"/>
        <v>1.7449537118709897</v>
      </c>
      <c r="L67">
        <f t="shared" si="17"/>
        <v>6.6308677196502686E-3</v>
      </c>
      <c r="M67">
        <f t="shared" si="12"/>
        <v>0.66308677196502686</v>
      </c>
      <c r="N67" t="s">
        <v>17</v>
      </c>
      <c r="O67">
        <f t="shared" si="18"/>
        <v>2.2669562458442448E-2</v>
      </c>
      <c r="P67">
        <f t="shared" si="19"/>
        <v>2.2669562458442449</v>
      </c>
    </row>
    <row r="68" spans="1:16" x14ac:dyDescent="0.25">
      <c r="A68" t="s">
        <v>10</v>
      </c>
      <c r="B68">
        <v>0.38793103448275862</v>
      </c>
      <c r="C68">
        <v>0.37931034482758619</v>
      </c>
      <c r="D68">
        <v>0.38793103448275862</v>
      </c>
      <c r="E68">
        <f t="shared" si="13"/>
        <v>0.38505747126436779</v>
      </c>
      <c r="F68">
        <f t="shared" si="14"/>
        <v>1.5325670498084254E-2</v>
      </c>
      <c r="G68">
        <f t="shared" si="11"/>
        <v>1.5325670498084254</v>
      </c>
      <c r="I68">
        <f t="shared" si="15"/>
        <v>4.1450777202072436E-2</v>
      </c>
      <c r="J68">
        <f t="shared" si="16"/>
        <v>4.1450777202072437</v>
      </c>
      <c r="L68">
        <f t="shared" si="17"/>
        <v>3.3093869731800729E-2</v>
      </c>
      <c r="M68">
        <f t="shared" si="12"/>
        <v>3.3093869731800729</v>
      </c>
      <c r="N68" t="s">
        <v>17</v>
      </c>
      <c r="O68">
        <f t="shared" si="18"/>
        <v>9.4026398149407969E-2</v>
      </c>
      <c r="P68">
        <f t="shared" si="19"/>
        <v>9.4026398149407964</v>
      </c>
    </row>
    <row r="69" spans="1:16" x14ac:dyDescent="0.25">
      <c r="A69" t="s">
        <v>11</v>
      </c>
      <c r="B69">
        <v>0.55172413793103448</v>
      </c>
      <c r="C69">
        <v>0.5431034482758621</v>
      </c>
      <c r="D69">
        <v>0.55172413793103448</v>
      </c>
      <c r="E69">
        <f t="shared" si="13"/>
        <v>0.54885057471264365</v>
      </c>
      <c r="F69">
        <f t="shared" si="14"/>
        <v>2.5862068965517349E-2</v>
      </c>
      <c r="G69">
        <f t="shared" si="11"/>
        <v>2.5862068965517349</v>
      </c>
      <c r="I69">
        <f t="shared" si="15"/>
        <v>4.945054945054967E-2</v>
      </c>
      <c r="J69">
        <f t="shared" si="16"/>
        <v>4.9450549450549675</v>
      </c>
      <c r="L69">
        <f t="shared" si="17"/>
        <v>3.1609195402298784E-2</v>
      </c>
      <c r="M69">
        <f t="shared" si="12"/>
        <v>3.1609195402298784</v>
      </c>
      <c r="N69" t="s">
        <v>17</v>
      </c>
      <c r="O69">
        <f t="shared" si="18"/>
        <v>6.1111111111110977E-2</v>
      </c>
      <c r="P69">
        <f t="shared" si="19"/>
        <v>6.1111111111110974</v>
      </c>
    </row>
    <row r="70" spans="1:16" x14ac:dyDescent="0.25">
      <c r="A70" t="s">
        <v>12</v>
      </c>
      <c r="B70">
        <v>12.689482707401799</v>
      </c>
      <c r="C70">
        <v>12.172790508845759</v>
      </c>
      <c r="D70">
        <v>11.79797921920645</v>
      </c>
      <c r="E70">
        <f t="shared" si="13"/>
        <v>12.220084145151338</v>
      </c>
      <c r="F70">
        <f t="shared" si="14"/>
        <v>0.47767444109094725</v>
      </c>
      <c r="I70">
        <f t="shared" si="15"/>
        <v>4.0679422122852082E-2</v>
      </c>
      <c r="J70">
        <f t="shared" si="16"/>
        <v>4.0679422122852085</v>
      </c>
      <c r="L70">
        <f t="shared" si="17"/>
        <v>-0.69214715560277185</v>
      </c>
      <c r="O70">
        <f t="shared" si="18"/>
        <v>-5.3603992949100017E-2</v>
      </c>
      <c r="P70">
        <f t="shared" si="19"/>
        <v>-5.3603992949100014</v>
      </c>
    </row>
    <row r="71" spans="1:16" x14ac:dyDescent="0.25">
      <c r="A71" t="s">
        <v>31</v>
      </c>
      <c r="B71">
        <v>2176.155172413793</v>
      </c>
      <c r="C71">
        <v>2168.9482758620688</v>
      </c>
      <c r="D71">
        <v>2169.2931034482758</v>
      </c>
      <c r="E71">
        <f t="shared" si="13"/>
        <v>2171.4655172413791</v>
      </c>
      <c r="F71">
        <f t="shared" si="14"/>
        <v>62.95402298850513</v>
      </c>
      <c r="L71">
        <f t="shared" si="17"/>
        <v>-11.0057471264372</v>
      </c>
    </row>
    <row r="72" spans="1:16" x14ac:dyDescent="0.25">
      <c r="A72" t="s">
        <v>32</v>
      </c>
      <c r="B72">
        <v>221.30172413793099</v>
      </c>
      <c r="C72">
        <v>220.19827586206901</v>
      </c>
      <c r="D72">
        <v>219.7586206896552</v>
      </c>
      <c r="E72">
        <f t="shared" si="13"/>
        <v>220.41954022988509</v>
      </c>
      <c r="F72">
        <f t="shared" si="14"/>
        <v>6.9425287356322087</v>
      </c>
      <c r="L72">
        <f t="shared" si="17"/>
        <v>0.5545977011494756</v>
      </c>
    </row>
    <row r="73" spans="1:16" x14ac:dyDescent="0.25">
      <c r="A73" t="s">
        <v>33</v>
      </c>
      <c r="B73">
        <v>2397.4568965517242</v>
      </c>
      <c r="C73">
        <v>2389.1465517241381</v>
      </c>
      <c r="D73">
        <v>2389.0517241379312</v>
      </c>
      <c r="E73">
        <f t="shared" si="13"/>
        <v>2391.8850574712646</v>
      </c>
      <c r="F73">
        <f t="shared" si="14"/>
        <v>69.89655172413768</v>
      </c>
      <c r="L73">
        <f t="shared" si="17"/>
        <v>-10.45114942528744</v>
      </c>
    </row>
    <row r="74" spans="1:16" x14ac:dyDescent="0.25">
      <c r="B74">
        <v>0</v>
      </c>
      <c r="C74">
        <v>0</v>
      </c>
      <c r="D74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15EA-5EF8-412C-8EEE-FD0C07472D44}">
  <dimension ref="A1:K54"/>
  <sheetViews>
    <sheetView workbookViewId="0">
      <selection activeCell="H40" sqref="H40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  <c r="C1" t="s">
        <v>18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 t="s">
        <v>46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39</v>
      </c>
      <c r="G20" t="s">
        <v>14</v>
      </c>
      <c r="I20" t="s">
        <v>47</v>
      </c>
      <c r="J20" t="s">
        <v>14</v>
      </c>
    </row>
    <row r="21" spans="1:10" x14ac:dyDescent="0.25">
      <c r="A21" t="s">
        <v>4</v>
      </c>
      <c r="B21">
        <v>0.52283510352262363</v>
      </c>
      <c r="C21">
        <v>0.52471646449140574</v>
      </c>
      <c r="D21">
        <v>0.52529780728587183</v>
      </c>
      <c r="E21">
        <f>AVERAGE(B21:D21)</f>
        <v>0.52428312509996711</v>
      </c>
      <c r="F21">
        <f>E21-E3</f>
        <v>-0.13873772651588567</v>
      </c>
      <c r="G21">
        <f t="shared" ref="G21:G31" si="1">F21*100</f>
        <v>-13.873772651588567</v>
      </c>
      <c r="H21" t="s">
        <v>16</v>
      </c>
      <c r="I21">
        <f t="shared" ref="I21:I35" si="2">F21/E3</f>
        <v>-0.20925092503164416</v>
      </c>
      <c r="J21">
        <f>I21*100</f>
        <v>-20.925092503164418</v>
      </c>
    </row>
    <row r="22" spans="1:10" x14ac:dyDescent="0.25">
      <c r="A22" t="s">
        <v>5</v>
      </c>
      <c r="B22">
        <v>0.55933908045977021</v>
      </c>
      <c r="C22">
        <v>0.56052442528735624</v>
      </c>
      <c r="D22">
        <v>0.54594109195402307</v>
      </c>
      <c r="E22">
        <f t="shared" ref="E22:E35" si="3">AVERAGE(B22:D22)</f>
        <v>0.55526819923371651</v>
      </c>
      <c r="F22">
        <f t="shared" ref="F22:F35" si="4">E22-E4</f>
        <v>-7.6026272577996656E-2</v>
      </c>
      <c r="G22">
        <f t="shared" si="1"/>
        <v>-7.6026272577996661</v>
      </c>
      <c r="H22" t="s">
        <v>16</v>
      </c>
      <c r="I22">
        <f t="shared" si="2"/>
        <v>-0.12042917524655893</v>
      </c>
      <c r="J22">
        <f t="shared" ref="J22:J35" si="5">I22*100</f>
        <v>-12.042917524655893</v>
      </c>
    </row>
    <row r="23" spans="1:10" x14ac:dyDescent="0.25">
      <c r="A23" t="s">
        <v>6</v>
      </c>
      <c r="B23">
        <v>0.55090996165588857</v>
      </c>
      <c r="C23">
        <v>0.55160440610092654</v>
      </c>
      <c r="D23">
        <v>0.57474856318713874</v>
      </c>
      <c r="E23">
        <f t="shared" si="3"/>
        <v>0.55908764364798458</v>
      </c>
      <c r="F23">
        <f t="shared" si="4"/>
        <v>-7.1380108558464772E-2</v>
      </c>
      <c r="G23">
        <f t="shared" si="1"/>
        <v>-7.1380108558464777</v>
      </c>
      <c r="H23" t="s">
        <v>16</v>
      </c>
      <c r="I23">
        <f t="shared" si="2"/>
        <v>-0.11321769957092279</v>
      </c>
      <c r="J23">
        <f t="shared" si="5"/>
        <v>-11.321769957092279</v>
      </c>
    </row>
    <row r="24" spans="1:10" x14ac:dyDescent="0.25">
      <c r="A24" t="s">
        <v>7</v>
      </c>
      <c r="B24">
        <v>0.74342144656128539</v>
      </c>
      <c r="C24">
        <v>0.74342144656128539</v>
      </c>
      <c r="D24">
        <v>0.74342144656128539</v>
      </c>
      <c r="E24">
        <f t="shared" si="3"/>
        <v>0.74342144656128539</v>
      </c>
      <c r="F24">
        <f t="shared" si="4"/>
        <v>-1.6721326111703849E-2</v>
      </c>
      <c r="G24">
        <f t="shared" si="1"/>
        <v>-1.6721326111703849</v>
      </c>
      <c r="H24" t="s">
        <v>16</v>
      </c>
      <c r="I24">
        <f t="shared" si="2"/>
        <v>-2.199761243917964E-2</v>
      </c>
      <c r="J24">
        <f t="shared" si="5"/>
        <v>-2.1997612439179641</v>
      </c>
    </row>
    <row r="25" spans="1:10" x14ac:dyDescent="0.25">
      <c r="A25" t="s">
        <v>8</v>
      </c>
      <c r="B25">
        <v>0.24572307648522612</v>
      </c>
      <c r="C25">
        <v>0.25228870030779971</v>
      </c>
      <c r="D25">
        <v>0.24491687415278174</v>
      </c>
      <c r="E25">
        <f t="shared" si="3"/>
        <v>0.24764288364860251</v>
      </c>
      <c r="F25">
        <f t="shared" si="4"/>
        <v>-2.6898882724140233E-2</v>
      </c>
      <c r="G25">
        <f t="shared" si="1"/>
        <v>-2.6898882724140232</v>
      </c>
      <c r="H25" t="s">
        <v>16</v>
      </c>
      <c r="I25">
        <f t="shared" si="2"/>
        <v>-9.7977379105297496E-2</v>
      </c>
      <c r="J25">
        <f t="shared" si="5"/>
        <v>-9.7977379105297491</v>
      </c>
    </row>
    <row r="26" spans="1:10" x14ac:dyDescent="0.25">
      <c r="A26" t="s">
        <v>9</v>
      </c>
      <c r="B26">
        <v>0.57743571789653814</v>
      </c>
      <c r="C26">
        <v>0.55832017220472518</v>
      </c>
      <c r="D26">
        <v>0.56984613418915242</v>
      </c>
      <c r="E26">
        <f t="shared" si="3"/>
        <v>0.56853400809680521</v>
      </c>
      <c r="F26">
        <f t="shared" si="4"/>
        <v>-3.9846414597650703E-2</v>
      </c>
      <c r="G26">
        <f t="shared" si="1"/>
        <v>-3.9846414597650703</v>
      </c>
      <c r="H26" t="s">
        <v>16</v>
      </c>
      <c r="I26">
        <f t="shared" si="2"/>
        <v>-6.5495885651900052E-2</v>
      </c>
      <c r="J26">
        <f t="shared" si="5"/>
        <v>-6.549588565190005</v>
      </c>
    </row>
    <row r="27" spans="1:10" x14ac:dyDescent="0.25">
      <c r="A27" t="s">
        <v>21</v>
      </c>
      <c r="B27">
        <v>0.22423397577347651</v>
      </c>
      <c r="C27">
        <v>0.22423397577347651</v>
      </c>
      <c r="D27">
        <v>0.22423397577347651</v>
      </c>
      <c r="E27">
        <f t="shared" si="3"/>
        <v>0.22423397577347651</v>
      </c>
      <c r="F27">
        <f t="shared" si="4"/>
        <v>-1.8396178120947959E-2</v>
      </c>
      <c r="G27">
        <f t="shared" si="1"/>
        <v>-1.8396178120947959</v>
      </c>
      <c r="H27" t="s">
        <v>16</v>
      </c>
      <c r="I27">
        <f t="shared" si="2"/>
        <v>-7.5819834532820179E-2</v>
      </c>
      <c r="J27">
        <f t="shared" si="5"/>
        <v>-7.5819834532820183</v>
      </c>
    </row>
    <row r="28" spans="1:10" x14ac:dyDescent="0.25">
      <c r="A28" t="s">
        <v>22</v>
      </c>
      <c r="B28">
        <v>0.17056612701632951</v>
      </c>
      <c r="C28">
        <v>0.17056612701632951</v>
      </c>
      <c r="D28">
        <v>0.17056612701632951</v>
      </c>
      <c r="E28">
        <f t="shared" si="3"/>
        <v>0.17056612701632953</v>
      </c>
      <c r="F28">
        <f t="shared" si="4"/>
        <v>-2.3170485780453887E-2</v>
      </c>
      <c r="G28">
        <f t="shared" si="1"/>
        <v>-2.3170485780453887</v>
      </c>
      <c r="H28" t="s">
        <v>16</v>
      </c>
      <c r="I28">
        <f t="shared" si="2"/>
        <v>-0.11959786767180737</v>
      </c>
      <c r="J28">
        <f t="shared" si="5"/>
        <v>-11.959786767180738</v>
      </c>
    </row>
    <row r="29" spans="1:10" x14ac:dyDescent="0.25">
      <c r="A29" t="s">
        <v>23</v>
      </c>
      <c r="B29">
        <v>0.27831901447719026</v>
      </c>
      <c r="C29">
        <v>0.27831901447719026</v>
      </c>
      <c r="D29">
        <v>0.27831901447719026</v>
      </c>
      <c r="E29">
        <f t="shared" si="3"/>
        <v>0.27831901447719026</v>
      </c>
      <c r="F29">
        <f t="shared" si="4"/>
        <v>-1.4181898665967696E-2</v>
      </c>
      <c r="G29">
        <f t="shared" si="1"/>
        <v>-1.4181898665967696</v>
      </c>
      <c r="H29" t="s">
        <v>16</v>
      </c>
      <c r="I29">
        <f t="shared" si="2"/>
        <v>-4.8484972281186305E-2</v>
      </c>
      <c r="J29">
        <f t="shared" si="5"/>
        <v>-4.8484972281186307</v>
      </c>
    </row>
    <row r="30" spans="1:10" x14ac:dyDescent="0.25">
      <c r="A30" t="s">
        <v>10</v>
      </c>
      <c r="B30">
        <v>0.31393678160919536</v>
      </c>
      <c r="C30">
        <v>0.31393678160919536</v>
      </c>
      <c r="D30">
        <v>0.31393678160919536</v>
      </c>
      <c r="E30">
        <f t="shared" si="3"/>
        <v>0.31393678160919536</v>
      </c>
      <c r="F30">
        <f t="shared" si="4"/>
        <v>-3.8026819923371702E-2</v>
      </c>
      <c r="G30">
        <f t="shared" si="1"/>
        <v>-3.8026819923371704</v>
      </c>
      <c r="H30" t="s">
        <v>16</v>
      </c>
      <c r="I30">
        <f t="shared" si="2"/>
        <v>-0.10804191046400886</v>
      </c>
      <c r="J30">
        <f t="shared" si="5"/>
        <v>-10.804191046400886</v>
      </c>
    </row>
    <row r="31" spans="1:10" x14ac:dyDescent="0.25">
      <c r="A31" t="s">
        <v>11</v>
      </c>
      <c r="B31">
        <v>0.43965517241379309</v>
      </c>
      <c r="C31">
        <v>0.43965517241379309</v>
      </c>
      <c r="D31">
        <v>0.43965517241379309</v>
      </c>
      <c r="E31">
        <f t="shared" si="3"/>
        <v>0.43965517241379309</v>
      </c>
      <c r="F31">
        <f t="shared" si="4"/>
        <v>-7.7586206896551768E-2</v>
      </c>
      <c r="G31">
        <f t="shared" si="1"/>
        <v>-7.758620689655177</v>
      </c>
      <c r="H31" t="s">
        <v>16</v>
      </c>
      <c r="I31">
        <f t="shared" si="2"/>
        <v>-0.15000000000000008</v>
      </c>
      <c r="J31">
        <f t="shared" si="5"/>
        <v>-15.000000000000007</v>
      </c>
    </row>
    <row r="32" spans="1:10" x14ac:dyDescent="0.25">
      <c r="A32" t="s">
        <v>12</v>
      </c>
      <c r="B32">
        <v>12.638382619824903</v>
      </c>
      <c r="C32" s="1">
        <v>12.492075996152286</v>
      </c>
      <c r="D32">
        <v>12.345935655051264</v>
      </c>
      <c r="E32">
        <f t="shared" si="3"/>
        <v>12.492131423676151</v>
      </c>
      <c r="F32">
        <f t="shared" si="4"/>
        <v>-0.42009987707795915</v>
      </c>
      <c r="I32">
        <f t="shared" si="2"/>
        <v>-3.253503343402965E-2</v>
      </c>
      <c r="J32">
        <f t="shared" si="5"/>
        <v>-3.253503343402965</v>
      </c>
    </row>
    <row r="33" spans="1:11" x14ac:dyDescent="0.25">
      <c r="A33" t="s">
        <v>25</v>
      </c>
      <c r="B33">
        <v>2249.8362068965521</v>
      </c>
      <c r="C33" s="1">
        <v>2249.8362068965516</v>
      </c>
      <c r="D33">
        <v>2249.8362068965516</v>
      </c>
      <c r="E33">
        <f t="shared" si="3"/>
        <v>2249.8362068965516</v>
      </c>
      <c r="F33">
        <f t="shared" si="4"/>
        <v>67.364942528735355</v>
      </c>
      <c r="I33">
        <f t="shared" si="2"/>
        <v>3.0866359447004478E-2</v>
      </c>
      <c r="J33">
        <f t="shared" si="5"/>
        <v>3.0866359447004479</v>
      </c>
    </row>
    <row r="34" spans="1:11" x14ac:dyDescent="0.25">
      <c r="A34" t="s">
        <v>26</v>
      </c>
      <c r="B34">
        <v>220.86206896551721</v>
      </c>
      <c r="C34" s="1">
        <v>220.86206896551724</v>
      </c>
      <c r="D34">
        <v>220.86206896551724</v>
      </c>
      <c r="E34">
        <f t="shared" si="3"/>
        <v>220.86206896551721</v>
      </c>
      <c r="F34">
        <f t="shared" si="4"/>
        <v>0.99712643678159907</v>
      </c>
      <c r="I34">
        <f t="shared" si="2"/>
        <v>4.5351770287401687E-3</v>
      </c>
      <c r="J34">
        <f t="shared" si="5"/>
        <v>0.45351770287401688</v>
      </c>
    </row>
    <row r="35" spans="1:11" x14ac:dyDescent="0.25">
      <c r="A35" t="s">
        <v>24</v>
      </c>
      <c r="B35">
        <v>2470.6982758620688</v>
      </c>
      <c r="C35" s="1">
        <v>2470.6982758620688</v>
      </c>
      <c r="D35">
        <v>2470.6982758620688</v>
      </c>
      <c r="E35">
        <f t="shared" si="3"/>
        <v>2470.6982758620688</v>
      </c>
      <c r="F35">
        <f t="shared" si="4"/>
        <v>68.362068965516755</v>
      </c>
      <c r="I35">
        <f t="shared" si="2"/>
        <v>2.8456495293733265E-2</v>
      </c>
      <c r="J35">
        <f t="shared" si="5"/>
        <v>2.8456495293733264</v>
      </c>
    </row>
    <row r="36" spans="1:11" x14ac:dyDescent="0.25">
      <c r="C36">
        <v>0</v>
      </c>
      <c r="D36">
        <v>0</v>
      </c>
    </row>
    <row r="37" spans="1:11" x14ac:dyDescent="0.25">
      <c r="A37">
        <v>1500</v>
      </c>
      <c r="B37">
        <v>300</v>
      </c>
      <c r="C37" t="s">
        <v>48</v>
      </c>
    </row>
    <row r="38" spans="1:11" x14ac:dyDescent="0.25">
      <c r="B38" t="s">
        <v>0</v>
      </c>
      <c r="C38" t="s">
        <v>1</v>
      </c>
      <c r="D38" t="s">
        <v>2</v>
      </c>
      <c r="E38" t="s">
        <v>3</v>
      </c>
      <c r="F38" t="s">
        <v>39</v>
      </c>
      <c r="G38" t="s">
        <v>14</v>
      </c>
      <c r="I38" t="s">
        <v>47</v>
      </c>
      <c r="J38" t="s">
        <v>14</v>
      </c>
    </row>
    <row r="39" spans="1:11" x14ac:dyDescent="0.25">
      <c r="A39" t="s">
        <v>4</v>
      </c>
      <c r="B39">
        <v>0.64156978671898079</v>
      </c>
      <c r="C39">
        <v>0.65991761107760094</v>
      </c>
      <c r="D39">
        <v>0.63211653182094607</v>
      </c>
      <c r="E39">
        <f>AVERAGE(B39:D39)</f>
        <v>0.64453464320584264</v>
      </c>
      <c r="F39">
        <f>E39-E3</f>
        <v>-1.8486208410010141E-2</v>
      </c>
      <c r="G39">
        <f t="shared" ref="G39:G49" si="6">F39*100</f>
        <v>-1.8486208410010141</v>
      </c>
      <c r="H39" t="s">
        <v>16</v>
      </c>
      <c r="I39">
        <f t="shared" ref="I39:I53" si="7">F39/E3</f>
        <v>-2.7881790391595183E-2</v>
      </c>
      <c r="J39">
        <f>I39*100</f>
        <v>-2.7881790391595183</v>
      </c>
      <c r="K39" t="s">
        <v>16</v>
      </c>
    </row>
    <row r="40" spans="1:11" x14ac:dyDescent="0.25">
      <c r="A40" t="s">
        <v>5</v>
      </c>
      <c r="B40">
        <v>0.68049568965517238</v>
      </c>
      <c r="C40">
        <v>0.67011494252873549</v>
      </c>
      <c r="D40">
        <v>0.66497844827586206</v>
      </c>
      <c r="E40">
        <f t="shared" ref="E40:E53" si="8">AVERAGE(B40:D40)</f>
        <v>0.67186302681992327</v>
      </c>
      <c r="F40">
        <f t="shared" ref="F40:F53" si="9">E40-E4</f>
        <v>4.0568555008210105E-2</v>
      </c>
      <c r="G40">
        <f t="shared" si="6"/>
        <v>4.0568555008210101</v>
      </c>
      <c r="H40" t="s">
        <v>17</v>
      </c>
      <c r="I40">
        <f t="shared" si="7"/>
        <v>6.4262490516960979E-2</v>
      </c>
      <c r="J40">
        <f t="shared" ref="J40:J53" si="10">I40*100</f>
        <v>6.4262490516960984</v>
      </c>
      <c r="K40" t="s">
        <v>17</v>
      </c>
    </row>
    <row r="41" spans="1:11" x14ac:dyDescent="0.25">
      <c r="A41" t="s">
        <v>6</v>
      </c>
      <c r="B41">
        <v>0.61819923368830443</v>
      </c>
      <c r="C41">
        <v>0.62188697315122865</v>
      </c>
      <c r="D41">
        <v>0.63939176242366613</v>
      </c>
      <c r="E41">
        <f t="shared" si="8"/>
        <v>0.62649265642106633</v>
      </c>
      <c r="F41">
        <f t="shared" si="9"/>
        <v>-3.9750957853830204E-3</v>
      </c>
      <c r="G41">
        <f t="shared" si="6"/>
        <v>-0.39750957853830204</v>
      </c>
      <c r="I41">
        <f t="shared" si="7"/>
        <v>-6.3049946194256076E-3</v>
      </c>
      <c r="J41">
        <f t="shared" si="10"/>
        <v>-0.63049946194256079</v>
      </c>
    </row>
    <row r="42" spans="1:11" x14ac:dyDescent="0.25">
      <c r="A42" t="s">
        <v>7</v>
      </c>
      <c r="B42">
        <v>0.75019071244802116</v>
      </c>
      <c r="C42">
        <v>0.75108438440625158</v>
      </c>
      <c r="D42">
        <v>0.75045523110845136</v>
      </c>
      <c r="E42">
        <f t="shared" si="8"/>
        <v>0.75057677598757466</v>
      </c>
      <c r="F42">
        <f t="shared" si="9"/>
        <v>-9.5659966854145795E-3</v>
      </c>
      <c r="G42">
        <f t="shared" si="6"/>
        <v>-0.95659966854145795</v>
      </c>
      <c r="I42">
        <f t="shared" si="7"/>
        <v>-1.2584473640098447E-2</v>
      </c>
      <c r="J42">
        <f t="shared" si="10"/>
        <v>-1.2584473640098448</v>
      </c>
    </row>
    <row r="43" spans="1:11" x14ac:dyDescent="0.25">
      <c r="A43" t="s">
        <v>8</v>
      </c>
      <c r="B43">
        <v>0.30374617215475302</v>
      </c>
      <c r="C43">
        <v>0.2885430935676857</v>
      </c>
      <c r="D43">
        <v>0.29335765558362398</v>
      </c>
      <c r="E43">
        <f t="shared" si="8"/>
        <v>0.29521564043535425</v>
      </c>
      <c r="F43">
        <f t="shared" si="9"/>
        <v>2.0673874062611508E-2</v>
      </c>
      <c r="G43">
        <f t="shared" si="6"/>
        <v>2.067387406261151</v>
      </c>
      <c r="H43" t="s">
        <v>17</v>
      </c>
      <c r="I43">
        <f t="shared" si="7"/>
        <v>7.5303201898041211E-2</v>
      </c>
      <c r="J43">
        <f t="shared" si="10"/>
        <v>7.5303201898041214</v>
      </c>
      <c r="K43" t="s">
        <v>17</v>
      </c>
    </row>
    <row r="44" spans="1:11" x14ac:dyDescent="0.25">
      <c r="A44" t="s">
        <v>9</v>
      </c>
      <c r="B44">
        <v>0.56128288942623106</v>
      </c>
      <c r="C44">
        <v>0.54727809576058351</v>
      </c>
      <c r="D44">
        <v>0.56451631836000116</v>
      </c>
      <c r="E44">
        <f t="shared" si="8"/>
        <v>0.55769243451560524</v>
      </c>
      <c r="F44">
        <f t="shared" si="9"/>
        <v>-5.0687988178850674E-2</v>
      </c>
      <c r="G44">
        <f t="shared" si="6"/>
        <v>-5.0687988178850674</v>
      </c>
      <c r="H44" t="s">
        <v>16</v>
      </c>
      <c r="I44">
        <f t="shared" si="7"/>
        <v>-8.3316271017332633E-2</v>
      </c>
      <c r="J44">
        <f t="shared" si="10"/>
        <v>-8.3316271017332628</v>
      </c>
      <c r="K44" t="s">
        <v>16</v>
      </c>
    </row>
    <row r="45" spans="1:11" x14ac:dyDescent="0.25">
      <c r="A45" t="s">
        <v>21</v>
      </c>
      <c r="B45">
        <v>0.2424762696027756</v>
      </c>
      <c r="C45">
        <v>0.24348671734333041</v>
      </c>
      <c r="D45">
        <v>0.24253652708861848</v>
      </c>
      <c r="E45">
        <f t="shared" si="8"/>
        <v>0.24283317134490814</v>
      </c>
      <c r="F45">
        <f t="shared" si="9"/>
        <v>2.0301745048367792E-4</v>
      </c>
      <c r="G45">
        <f t="shared" si="6"/>
        <v>2.0301745048367792E-2</v>
      </c>
      <c r="I45">
        <f t="shared" si="7"/>
        <v>8.3673627216185504E-4</v>
      </c>
      <c r="J45">
        <f t="shared" si="10"/>
        <v>8.36736272161855E-2</v>
      </c>
    </row>
    <row r="46" spans="1:11" x14ac:dyDescent="0.25">
      <c r="A46" t="s">
        <v>22</v>
      </c>
      <c r="B46">
        <v>0.19239237904548651</v>
      </c>
      <c r="C46">
        <v>0.19516707956790921</v>
      </c>
      <c r="D46">
        <v>0.19350583292142456</v>
      </c>
      <c r="E46">
        <f t="shared" si="8"/>
        <v>0.19368843051160675</v>
      </c>
      <c r="F46">
        <f t="shared" si="9"/>
        <v>-4.8182285176667783E-5</v>
      </c>
      <c r="G46">
        <f t="shared" si="6"/>
        <v>-4.8182285176667783E-3</v>
      </c>
      <c r="I46">
        <f t="shared" si="7"/>
        <v>-2.4869994618522485E-4</v>
      </c>
      <c r="J46">
        <f t="shared" si="10"/>
        <v>-2.4869994618522486E-2</v>
      </c>
    </row>
    <row r="47" spans="1:11" x14ac:dyDescent="0.25">
      <c r="A47" t="s">
        <v>23</v>
      </c>
      <c r="B47">
        <v>0.29329568147659302</v>
      </c>
      <c r="C47">
        <v>0.29241302609443659</v>
      </c>
      <c r="D47">
        <v>0.29250681530363087</v>
      </c>
      <c r="E47">
        <f t="shared" si="8"/>
        <v>0.29273850762488685</v>
      </c>
      <c r="F47">
        <f t="shared" si="9"/>
        <v>2.3759448172888664E-4</v>
      </c>
      <c r="G47">
        <f t="shared" si="6"/>
        <v>2.3759448172888664E-2</v>
      </c>
      <c r="I47">
        <f t="shared" si="7"/>
        <v>8.1228629058194225E-4</v>
      </c>
      <c r="J47">
        <f t="shared" si="10"/>
        <v>8.1228629058194224E-2</v>
      </c>
    </row>
    <row r="48" spans="1:11" x14ac:dyDescent="0.25">
      <c r="A48" t="s">
        <v>10</v>
      </c>
      <c r="B48">
        <v>0.3708333333333334</v>
      </c>
      <c r="C48">
        <v>0.37227011494252882</v>
      </c>
      <c r="D48">
        <v>0.37514367816091959</v>
      </c>
      <c r="E48">
        <f t="shared" si="8"/>
        <v>0.37274904214559396</v>
      </c>
      <c r="F48">
        <f t="shared" si="9"/>
        <v>2.0785440613026895E-2</v>
      </c>
      <c r="G48">
        <f t="shared" si="6"/>
        <v>2.0785440613026895</v>
      </c>
      <c r="I48">
        <f t="shared" si="7"/>
        <v>5.9055653830453338E-2</v>
      </c>
      <c r="J48">
        <f t="shared" si="10"/>
        <v>5.9055653830453334</v>
      </c>
    </row>
    <row r="49" spans="1:10" x14ac:dyDescent="0.25">
      <c r="A49" t="s">
        <v>11</v>
      </c>
      <c r="B49">
        <v>0.51724137931034486</v>
      </c>
      <c r="C49">
        <v>0.51724137931034486</v>
      </c>
      <c r="D49">
        <v>0.51724137931034486</v>
      </c>
      <c r="E49">
        <f t="shared" si="8"/>
        <v>0.51724137931034486</v>
      </c>
      <c r="F49">
        <f t="shared" si="9"/>
        <v>0</v>
      </c>
      <c r="G49">
        <f t="shared" si="6"/>
        <v>0</v>
      </c>
      <c r="I49">
        <f t="shared" si="7"/>
        <v>0</v>
      </c>
      <c r="J49">
        <f t="shared" si="10"/>
        <v>0</v>
      </c>
    </row>
    <row r="50" spans="1:10" x14ac:dyDescent="0.25">
      <c r="A50" t="s">
        <v>12</v>
      </c>
      <c r="B50">
        <v>13.728148696751431</v>
      </c>
      <c r="C50" s="1">
        <v>12.935442318176399</v>
      </c>
      <c r="D50">
        <v>17.643617911585444</v>
      </c>
      <c r="E50">
        <f t="shared" si="8"/>
        <v>14.769069642171091</v>
      </c>
      <c r="F50">
        <f t="shared" si="9"/>
        <v>1.8568383414169816</v>
      </c>
      <c r="I50">
        <f t="shared" si="7"/>
        <v>0.1438046065135572</v>
      </c>
      <c r="J50">
        <f t="shared" si="10"/>
        <v>14.380460651355719</v>
      </c>
    </row>
    <row r="51" spans="1:10" x14ac:dyDescent="0.25">
      <c r="A51" t="s">
        <v>25</v>
      </c>
      <c r="B51">
        <v>2231.53448275862</v>
      </c>
      <c r="C51" s="1">
        <v>2231.3879310344828</v>
      </c>
      <c r="D51">
        <v>2232</v>
      </c>
      <c r="E51">
        <f t="shared" si="8"/>
        <v>2231.6408045977009</v>
      </c>
      <c r="F51">
        <f t="shared" si="9"/>
        <v>49.16954022988466</v>
      </c>
      <c r="I51">
        <f t="shared" si="7"/>
        <v>2.252929558920324E-2</v>
      </c>
      <c r="J51">
        <f t="shared" si="10"/>
        <v>2.2529295589203238</v>
      </c>
    </row>
    <row r="52" spans="1:10" x14ac:dyDescent="0.25">
      <c r="A52" t="s">
        <v>26</v>
      </c>
      <c r="B52">
        <v>220.43103448275861</v>
      </c>
      <c r="C52" s="1">
        <v>218.83620689655169</v>
      </c>
      <c r="D52">
        <v>217.83620689655172</v>
      </c>
      <c r="E52">
        <f t="shared" si="8"/>
        <v>219.03448275862067</v>
      </c>
      <c r="F52">
        <f t="shared" si="9"/>
        <v>-0.83045977011494188</v>
      </c>
      <c r="I52">
        <f t="shared" si="7"/>
        <v>-3.7771359115444407E-3</v>
      </c>
      <c r="J52">
        <f t="shared" si="10"/>
        <v>-0.37771359115444408</v>
      </c>
    </row>
    <row r="53" spans="1:10" x14ac:dyDescent="0.25">
      <c r="A53" t="s">
        <v>24</v>
      </c>
      <c r="B53">
        <v>2451.96551724138</v>
      </c>
      <c r="C53" s="1">
        <v>2450.224137931034</v>
      </c>
      <c r="D53">
        <v>2449.8362068965516</v>
      </c>
      <c r="E53">
        <f t="shared" si="8"/>
        <v>2450.6752873563219</v>
      </c>
      <c r="F53">
        <f t="shared" si="9"/>
        <v>48.339080459769775</v>
      </c>
      <c r="I53">
        <f t="shared" si="7"/>
        <v>2.0121696672180792E-2</v>
      </c>
      <c r="J53">
        <f t="shared" si="10"/>
        <v>2.0121696672180791</v>
      </c>
    </row>
    <row r="54" spans="1:10" x14ac:dyDescent="0.25">
      <c r="D54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7A0F-6036-4D6A-B205-837E8F6ACABC}">
  <dimension ref="A1:G35"/>
  <sheetViews>
    <sheetView workbookViewId="0">
      <selection activeCell="B3" sqref="B3:D8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  <c r="C1">
        <v>14500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7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7" x14ac:dyDescent="0.25">
      <c r="A19">
        <v>1500</v>
      </c>
      <c r="B19">
        <v>300</v>
      </c>
      <c r="C19">
        <v>12000</v>
      </c>
      <c r="E19" t="s">
        <v>3</v>
      </c>
      <c r="F19" t="s">
        <v>20</v>
      </c>
      <c r="G19" t="s">
        <v>14</v>
      </c>
    </row>
    <row r="20" spans="1:7" x14ac:dyDescent="0.25">
      <c r="A20" t="s">
        <v>4</v>
      </c>
      <c r="B20">
        <v>0.69154517402349103</v>
      </c>
      <c r="C20">
        <v>0.68394468091591343</v>
      </c>
      <c r="E20">
        <f>AVERAGE(B20:D20)</f>
        <v>0.68774492746970228</v>
      </c>
      <c r="F20">
        <f>E20-E3</f>
        <v>2.4724075853849503E-2</v>
      </c>
      <c r="G20">
        <f>F20*100</f>
        <v>2.4724075853849503</v>
      </c>
    </row>
    <row r="21" spans="1:7" x14ac:dyDescent="0.25">
      <c r="A21" t="s">
        <v>5</v>
      </c>
      <c r="B21">
        <v>0.66410098522167493</v>
      </c>
      <c r="C21">
        <v>0.66754926108374379</v>
      </c>
      <c r="E21">
        <f t="shared" ref="E21:E34" si="1">AVERAGE(B21:D21)</f>
        <v>0.66582512315270936</v>
      </c>
      <c r="F21">
        <f t="shared" ref="F21:F35" si="2">E21-E4</f>
        <v>3.4530651340996199E-2</v>
      </c>
      <c r="G21">
        <f t="shared" ref="G21:G30" si="3">F21*100</f>
        <v>3.4530651340996199</v>
      </c>
    </row>
    <row r="22" spans="1:7" x14ac:dyDescent="0.25">
      <c r="A22" t="s">
        <v>6</v>
      </c>
      <c r="B22">
        <v>0.62844202895728596</v>
      </c>
      <c r="C22">
        <v>0.63815852487591662</v>
      </c>
      <c r="E22">
        <f t="shared" si="1"/>
        <v>0.63330027691660129</v>
      </c>
      <c r="F22">
        <f t="shared" si="2"/>
        <v>2.8325247101519402E-3</v>
      </c>
      <c r="G22">
        <f t="shared" si="3"/>
        <v>0.28325247101519402</v>
      </c>
    </row>
    <row r="23" spans="1:7" x14ac:dyDescent="0.25">
      <c r="A23" t="s">
        <v>7</v>
      </c>
      <c r="B23">
        <v>0.77213952201220271</v>
      </c>
      <c r="C23">
        <v>0.77176462023101633</v>
      </c>
      <c r="E23">
        <f t="shared" si="1"/>
        <v>0.77195207112160946</v>
      </c>
      <c r="F23">
        <f t="shared" si="2"/>
        <v>1.180929844862022E-2</v>
      </c>
      <c r="G23">
        <f t="shared" si="3"/>
        <v>1.180929844862022</v>
      </c>
    </row>
    <row r="24" spans="1:7" x14ac:dyDescent="0.25">
      <c r="A24" t="s">
        <v>8</v>
      </c>
      <c r="B24">
        <v>0.26381468168866112</v>
      </c>
      <c r="C24">
        <v>0.25228253438771331</v>
      </c>
      <c r="E24">
        <f t="shared" si="1"/>
        <v>0.25804860803818719</v>
      </c>
      <c r="F24">
        <f t="shared" si="2"/>
        <v>-1.6493158334555558E-2</v>
      </c>
      <c r="G24">
        <f t="shared" si="3"/>
        <v>-1.6493158334555558</v>
      </c>
    </row>
    <row r="25" spans="1:7" x14ac:dyDescent="0.25">
      <c r="A25" t="s">
        <v>9</v>
      </c>
      <c r="B25">
        <v>0.65579037100831161</v>
      </c>
      <c r="C25">
        <v>0.64898178704259213</v>
      </c>
      <c r="E25">
        <f t="shared" si="1"/>
        <v>0.65238607902545187</v>
      </c>
      <c r="F25">
        <f t="shared" si="2"/>
        <v>4.4005656330995957E-2</v>
      </c>
      <c r="G25">
        <f t="shared" si="3"/>
        <v>4.4005656330995961</v>
      </c>
    </row>
    <row r="26" spans="1:7" x14ac:dyDescent="0.25">
      <c r="A26" t="s">
        <v>21</v>
      </c>
      <c r="B26">
        <v>0.25899752974510187</v>
      </c>
      <c r="C26">
        <v>0.25899752974510187</v>
      </c>
      <c r="E26">
        <f t="shared" si="1"/>
        <v>0.25899752974510187</v>
      </c>
      <c r="F26">
        <f t="shared" si="2"/>
        <v>1.6367375850677407E-2</v>
      </c>
      <c r="G26">
        <f t="shared" si="3"/>
        <v>1.6367375850677406</v>
      </c>
    </row>
    <row r="27" spans="1:7" x14ac:dyDescent="0.25">
      <c r="A27" t="s">
        <v>22</v>
      </c>
      <c r="B27">
        <v>0.21115680038928991</v>
      </c>
      <c r="C27">
        <v>0.21115680038928991</v>
      </c>
      <c r="E27">
        <f t="shared" si="1"/>
        <v>0.21115680038928991</v>
      </c>
      <c r="F27">
        <f t="shared" si="2"/>
        <v>1.7420187592506492E-2</v>
      </c>
      <c r="G27">
        <f t="shared" si="3"/>
        <v>1.7420187592506493</v>
      </c>
    </row>
    <row r="28" spans="1:7" x14ac:dyDescent="0.25">
      <c r="A28" t="s">
        <v>23</v>
      </c>
      <c r="B28">
        <v>0.30776923894882202</v>
      </c>
      <c r="C28">
        <v>0.30776923894882202</v>
      </c>
      <c r="E28">
        <f t="shared" si="1"/>
        <v>0.30776923894882202</v>
      </c>
      <c r="F28">
        <f t="shared" si="2"/>
        <v>1.5268325805664063E-2</v>
      </c>
      <c r="G28">
        <f t="shared" si="3"/>
        <v>1.5268325805664063</v>
      </c>
    </row>
    <row r="29" spans="1:7" x14ac:dyDescent="0.25">
      <c r="A29" t="s">
        <v>10</v>
      </c>
      <c r="B29">
        <v>0.37327586206896562</v>
      </c>
      <c r="C29">
        <v>0.38017241379310351</v>
      </c>
      <c r="E29">
        <f t="shared" si="1"/>
        <v>0.37672413793103454</v>
      </c>
      <c r="F29">
        <f t="shared" si="2"/>
        <v>2.4760536398467481E-2</v>
      </c>
      <c r="G29">
        <f t="shared" si="3"/>
        <v>2.4760536398467483</v>
      </c>
    </row>
    <row r="30" spans="1:7" x14ac:dyDescent="0.25">
      <c r="A30" t="s">
        <v>11</v>
      </c>
      <c r="B30">
        <v>0.52586206896551724</v>
      </c>
      <c r="C30">
        <v>0.52586206896551724</v>
      </c>
      <c r="E30">
        <f t="shared" si="1"/>
        <v>0.52586206896551724</v>
      </c>
      <c r="F30">
        <f t="shared" si="2"/>
        <v>8.6206896551723755E-3</v>
      </c>
      <c r="G30">
        <f t="shared" si="3"/>
        <v>0.86206896551723755</v>
      </c>
    </row>
    <row r="31" spans="1:7" x14ac:dyDescent="0.25">
      <c r="A31" t="s">
        <v>12</v>
      </c>
      <c r="B31">
        <v>8.4803802782091608</v>
      </c>
      <c r="C31">
        <v>8.4082502763846829</v>
      </c>
      <c r="E31">
        <f t="shared" si="1"/>
        <v>8.4443152772969228</v>
      </c>
      <c r="F31">
        <f t="shared" si="2"/>
        <v>-4.4679160234571871</v>
      </c>
    </row>
    <row r="32" spans="1:7" x14ac:dyDescent="0.25">
      <c r="A32" t="s">
        <v>31</v>
      </c>
      <c r="B32">
        <v>2187.1724137931028</v>
      </c>
      <c r="C32">
        <v>2172.8965517241381</v>
      </c>
      <c r="E32">
        <f t="shared" si="1"/>
        <v>2180.0344827586205</v>
      </c>
      <c r="F32">
        <f t="shared" si="2"/>
        <v>-2.4367816091958048</v>
      </c>
    </row>
    <row r="33" spans="1:6" x14ac:dyDescent="0.25">
      <c r="A33" t="s">
        <v>32</v>
      </c>
      <c r="B33">
        <v>217.0431034482759</v>
      </c>
      <c r="C33">
        <v>217.89655172413791</v>
      </c>
      <c r="E33">
        <f t="shared" si="1"/>
        <v>217.46982758620692</v>
      </c>
      <c r="F33">
        <f t="shared" si="2"/>
        <v>-2.3951149425286928</v>
      </c>
    </row>
    <row r="34" spans="1:6" x14ac:dyDescent="0.25">
      <c r="A34" t="s">
        <v>33</v>
      </c>
      <c r="B34">
        <v>2404.21551724138</v>
      </c>
      <c r="C34">
        <v>2390.7931034482758</v>
      </c>
      <c r="E34">
        <f t="shared" si="1"/>
        <v>2397.5043103448279</v>
      </c>
      <c r="F34">
        <f t="shared" si="2"/>
        <v>-4.831896551724185</v>
      </c>
    </row>
    <row r="35" spans="1:6" x14ac:dyDescent="0.25">
      <c r="A35" t="s">
        <v>45</v>
      </c>
      <c r="B35">
        <v>0</v>
      </c>
      <c r="C35">
        <v>0</v>
      </c>
      <c r="E35">
        <f t="shared" ref="E35" si="4">AVERAGE(B35:D35)</f>
        <v>0</v>
      </c>
      <c r="F35">
        <f t="shared" si="2"/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A2DF-85D3-4BDC-853C-A5CEF64DC535}">
  <dimension ref="A1:S55"/>
  <sheetViews>
    <sheetView topLeftCell="A8" workbookViewId="0">
      <selection activeCell="H14" sqref="H14"/>
    </sheetView>
  </sheetViews>
  <sheetFormatPr baseColWidth="10" defaultRowHeight="15" x14ac:dyDescent="0.25"/>
  <cols>
    <col min="11" max="11" width="16.28515625" bestFit="1" customWidth="1"/>
    <col min="17" max="17" width="27.7109375" bestFit="1" customWidth="1"/>
  </cols>
  <sheetData>
    <row r="1" spans="1:5" x14ac:dyDescent="0.25">
      <c r="A1" t="s">
        <v>18</v>
      </c>
      <c r="B1">
        <v>1500</v>
      </c>
      <c r="C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20" spans="1:10" x14ac:dyDescent="0.25">
      <c r="A20" t="s">
        <v>38</v>
      </c>
      <c r="B20">
        <v>1500</v>
      </c>
      <c r="C20">
        <v>300</v>
      </c>
      <c r="D20">
        <v>90</v>
      </c>
    </row>
    <row r="21" spans="1:10" x14ac:dyDescent="0.25">
      <c r="B21" t="s">
        <v>0</v>
      </c>
      <c r="C21" t="s">
        <v>1</v>
      </c>
      <c r="D21" t="s">
        <v>2</v>
      </c>
      <c r="E21" t="s">
        <v>3</v>
      </c>
      <c r="F21" t="s">
        <v>39</v>
      </c>
      <c r="G21" t="s">
        <v>14</v>
      </c>
      <c r="H21" t="s">
        <v>37</v>
      </c>
      <c r="I21" t="s">
        <v>14</v>
      </c>
    </row>
    <row r="22" spans="1:10" x14ac:dyDescent="0.25">
      <c r="A22" t="s">
        <v>4</v>
      </c>
      <c r="B22">
        <v>0.66936233067698581</v>
      </c>
      <c r="C22">
        <v>0.68063699126568411</v>
      </c>
      <c r="D22">
        <v>0.66953370890997643</v>
      </c>
      <c r="E22">
        <f>AVERAGE(B22:D22)</f>
        <v>0.67317767695088204</v>
      </c>
      <c r="F22">
        <f>E22-E3</f>
        <v>1.0156825335029263E-2</v>
      </c>
      <c r="G22">
        <f>F22*100</f>
        <v>1.0156825335029263</v>
      </c>
      <c r="H22">
        <f>F22/E3</f>
        <v>1.5319013437173193E-2</v>
      </c>
      <c r="I22">
        <f>H22*100</f>
        <v>1.5319013437173192</v>
      </c>
      <c r="J22" t="s">
        <v>17</v>
      </c>
    </row>
    <row r="23" spans="1:10" x14ac:dyDescent="0.25">
      <c r="A23" t="s">
        <v>5</v>
      </c>
      <c r="B23">
        <v>0.65504926108374384</v>
      </c>
      <c r="C23">
        <v>0.69139983579638753</v>
      </c>
      <c r="D23">
        <v>0.68263546798029551</v>
      </c>
      <c r="E23">
        <f t="shared" ref="E23:E36" si="1">AVERAGE(B23:D23)</f>
        <v>0.67636152162014229</v>
      </c>
      <c r="F23">
        <f t="shared" ref="F23:F36" si="2">E23-E4</f>
        <v>4.5067049808429127E-2</v>
      </c>
      <c r="G23">
        <f t="shared" ref="G23:G32" si="3">F23*100</f>
        <v>4.5067049808429127</v>
      </c>
      <c r="H23">
        <f t="shared" ref="H23:H36" si="4">F23/E4</f>
        <v>7.1388316896065909E-2</v>
      </c>
      <c r="I23">
        <f t="shared" ref="I23:I36" si="5">H23*100</f>
        <v>7.1388316896065911</v>
      </c>
      <c r="J23" t="s">
        <v>17</v>
      </c>
    </row>
    <row r="24" spans="1:10" x14ac:dyDescent="0.25">
      <c r="A24" t="s">
        <v>6</v>
      </c>
      <c r="B24">
        <v>0.60202346740651802</v>
      </c>
      <c r="C24">
        <v>0.6386254788984419</v>
      </c>
      <c r="D24">
        <v>0.62209051721330666</v>
      </c>
      <c r="E24">
        <f t="shared" si="1"/>
        <v>0.62091315450608886</v>
      </c>
      <c r="F24">
        <f t="shared" si="2"/>
        <v>-9.5545977003604898E-3</v>
      </c>
      <c r="G24">
        <f t="shared" si="3"/>
        <v>-0.95545977003604898</v>
      </c>
      <c r="H24">
        <f t="shared" si="4"/>
        <v>-1.5154776222768323E-2</v>
      </c>
      <c r="I24">
        <f t="shared" si="5"/>
        <v>-1.5154776222768322</v>
      </c>
      <c r="J24" t="s">
        <v>16</v>
      </c>
    </row>
    <row r="25" spans="1:10" x14ac:dyDescent="0.25">
      <c r="A25" t="s">
        <v>7</v>
      </c>
      <c r="B25">
        <v>0.77266715225317173</v>
      </c>
      <c r="C25">
        <v>0.7718400016546183</v>
      </c>
      <c r="D25">
        <v>0.77266715225317173</v>
      </c>
      <c r="E25">
        <f t="shared" si="1"/>
        <v>0.77239143538698718</v>
      </c>
      <c r="F25">
        <f t="shared" si="2"/>
        <v>1.2248662713997938E-2</v>
      </c>
      <c r="G25">
        <f t="shared" si="3"/>
        <v>1.2248662713997938</v>
      </c>
      <c r="H25">
        <f t="shared" si="4"/>
        <v>1.6113634378087115E-2</v>
      </c>
      <c r="I25">
        <f t="shared" si="5"/>
        <v>1.6113634378087116</v>
      </c>
      <c r="J25" t="s">
        <v>16</v>
      </c>
    </row>
    <row r="26" spans="1:10" x14ac:dyDescent="0.25">
      <c r="A26" t="s">
        <v>8</v>
      </c>
      <c r="B26">
        <v>0.26607588900293039</v>
      </c>
      <c r="C26">
        <v>0.28443775453858866</v>
      </c>
      <c r="D26">
        <v>0.27108085669633059</v>
      </c>
      <c r="E26">
        <f t="shared" si="1"/>
        <v>0.27386483341261653</v>
      </c>
      <c r="F26">
        <f t="shared" si="2"/>
        <v>-6.7693296012621973E-4</v>
      </c>
      <c r="G26">
        <f t="shared" si="3"/>
        <v>-6.7693296012621973E-2</v>
      </c>
      <c r="H26">
        <f t="shared" si="4"/>
        <v>-2.4656829781125335E-3</v>
      </c>
      <c r="I26">
        <f t="shared" si="5"/>
        <v>-0.24656829781125336</v>
      </c>
    </row>
    <row r="27" spans="1:10" x14ac:dyDescent="0.25">
      <c r="A27" t="s">
        <v>9</v>
      </c>
      <c r="B27">
        <v>0.65048744930491142</v>
      </c>
      <c r="C27">
        <v>0.64297500096890225</v>
      </c>
      <c r="D27">
        <v>0.63472925617675646</v>
      </c>
      <c r="E27">
        <f t="shared" si="1"/>
        <v>0.64273056881685664</v>
      </c>
      <c r="F27">
        <f t="shared" si="2"/>
        <v>3.4350146122400727E-2</v>
      </c>
      <c r="G27">
        <f t="shared" si="3"/>
        <v>3.4350146122400727</v>
      </c>
      <c r="H27">
        <f t="shared" si="4"/>
        <v>5.6461623091465324E-2</v>
      </c>
      <c r="I27">
        <f t="shared" si="5"/>
        <v>5.6461623091465327</v>
      </c>
      <c r="J27" t="s">
        <v>17</v>
      </c>
    </row>
    <row r="28" spans="1:10" x14ac:dyDescent="0.25">
      <c r="A28" t="s">
        <v>21</v>
      </c>
      <c r="B28">
        <v>0.25812369585037231</v>
      </c>
      <c r="C28">
        <v>0.25993400812149048</v>
      </c>
      <c r="D28">
        <v>0.25812369585037231</v>
      </c>
      <c r="E28">
        <f t="shared" si="1"/>
        <v>0.25872713327407837</v>
      </c>
      <c r="F28">
        <f t="shared" si="2"/>
        <v>1.6096979379653903E-2</v>
      </c>
      <c r="G28">
        <f t="shared" si="3"/>
        <v>1.6096979379653904</v>
      </c>
      <c r="H28">
        <f t="shared" si="4"/>
        <v>6.634368861942104E-2</v>
      </c>
      <c r="I28">
        <f t="shared" si="5"/>
        <v>6.6343688619421037</v>
      </c>
      <c r="J28" t="s">
        <v>17</v>
      </c>
    </row>
    <row r="29" spans="1:10" x14ac:dyDescent="0.25">
      <c r="A29" t="s">
        <v>22</v>
      </c>
      <c r="B29">
        <v>0.2025190740823746</v>
      </c>
      <c r="C29">
        <v>0.2086227685213089</v>
      </c>
      <c r="D29">
        <v>0.2025190740823746</v>
      </c>
      <c r="E29">
        <f t="shared" si="1"/>
        <v>0.20455363889535269</v>
      </c>
      <c r="F29">
        <f t="shared" si="2"/>
        <v>1.0817026098569271E-2</v>
      </c>
      <c r="G29">
        <f t="shared" si="3"/>
        <v>1.0817026098569271</v>
      </c>
      <c r="H29">
        <f t="shared" si="4"/>
        <v>5.5833669962608454E-2</v>
      </c>
      <c r="I29">
        <f t="shared" si="5"/>
        <v>5.5833669962608452</v>
      </c>
      <c r="J29" t="s">
        <v>17</v>
      </c>
    </row>
    <row r="30" spans="1:10" x14ac:dyDescent="0.25">
      <c r="A30" t="s">
        <v>23</v>
      </c>
      <c r="B30">
        <v>0.31497648358345032</v>
      </c>
      <c r="C30">
        <v>0.31207436323165888</v>
      </c>
      <c r="D30">
        <v>0.31497648358345032</v>
      </c>
      <c r="E30">
        <f t="shared" si="1"/>
        <v>0.31400911013285321</v>
      </c>
      <c r="F30">
        <f t="shared" si="2"/>
        <v>2.150819698969525E-2</v>
      </c>
      <c r="G30">
        <f t="shared" si="3"/>
        <v>2.1508196989695252</v>
      </c>
      <c r="H30">
        <f t="shared" si="4"/>
        <v>7.3532067844070459E-2</v>
      </c>
      <c r="I30">
        <f t="shared" si="5"/>
        <v>7.3532067844070461</v>
      </c>
      <c r="J30" t="s">
        <v>17</v>
      </c>
    </row>
    <row r="31" spans="1:10" x14ac:dyDescent="0.25">
      <c r="A31" t="s">
        <v>10</v>
      </c>
      <c r="B31">
        <v>0.3718390804597701</v>
      </c>
      <c r="C31">
        <v>0.39224137931034481</v>
      </c>
      <c r="D31">
        <v>0.37902298850574712</v>
      </c>
      <c r="E31">
        <f t="shared" si="1"/>
        <v>0.38103448275862073</v>
      </c>
      <c r="F31">
        <f t="shared" si="2"/>
        <v>2.9070881226053669E-2</v>
      </c>
      <c r="G31">
        <f t="shared" si="3"/>
        <v>2.9070881226053666</v>
      </c>
      <c r="H31">
        <f t="shared" si="4"/>
        <v>8.2596271601578522E-2</v>
      </c>
      <c r="I31">
        <f t="shared" si="5"/>
        <v>8.2596271601578515</v>
      </c>
      <c r="J31" t="s">
        <v>17</v>
      </c>
    </row>
    <row r="32" spans="1:10" x14ac:dyDescent="0.25">
      <c r="A32" t="s">
        <v>11</v>
      </c>
      <c r="B32">
        <v>0.50862068965517238</v>
      </c>
      <c r="C32">
        <v>0.55172413793103448</v>
      </c>
      <c r="D32">
        <v>0.52586206896551724</v>
      </c>
      <c r="E32">
        <f t="shared" si="1"/>
        <v>0.52873563218390807</v>
      </c>
      <c r="F32">
        <f t="shared" si="2"/>
        <v>1.1494252873563204E-2</v>
      </c>
      <c r="G32">
        <f t="shared" si="3"/>
        <v>1.1494252873563204</v>
      </c>
      <c r="H32">
        <f t="shared" si="4"/>
        <v>2.2222222222222195E-2</v>
      </c>
      <c r="I32">
        <f t="shared" si="5"/>
        <v>2.2222222222222197</v>
      </c>
      <c r="J32" t="s">
        <v>17</v>
      </c>
    </row>
    <row r="33" spans="1:19" x14ac:dyDescent="0.25">
      <c r="A33" t="s">
        <v>12</v>
      </c>
      <c r="B33">
        <v>11.864161242698801</v>
      </c>
      <c r="C33" s="1">
        <v>22.19195630015998</v>
      </c>
      <c r="D33">
        <v>11.639251984398941</v>
      </c>
      <c r="E33">
        <f t="shared" si="1"/>
        <v>15.231789842419239</v>
      </c>
      <c r="F33">
        <f t="shared" si="2"/>
        <v>2.3195585416651294</v>
      </c>
      <c r="H33">
        <f t="shared" si="4"/>
        <v>0.17964041129976202</v>
      </c>
      <c r="I33">
        <f t="shared" si="5"/>
        <v>17.964041129976202</v>
      </c>
    </row>
    <row r="34" spans="1:19" x14ac:dyDescent="0.25">
      <c r="A34" t="s">
        <v>25</v>
      </c>
      <c r="B34">
        <v>2108.3362068965521</v>
      </c>
      <c r="C34" s="1">
        <v>2194.120689655173</v>
      </c>
      <c r="D34">
        <v>2194.0517241379312</v>
      </c>
      <c r="E34">
        <f t="shared" si="1"/>
        <v>2165.5028735632186</v>
      </c>
      <c r="F34">
        <f t="shared" si="2"/>
        <v>-16.968390804597675</v>
      </c>
      <c r="H34">
        <f t="shared" si="4"/>
        <v>-7.7748518762343517E-3</v>
      </c>
      <c r="I34">
        <f t="shared" si="5"/>
        <v>-0.77748518762343521</v>
      </c>
    </row>
    <row r="35" spans="1:19" x14ac:dyDescent="0.25">
      <c r="A35" t="s">
        <v>26</v>
      </c>
      <c r="B35">
        <v>209.72413793103451</v>
      </c>
      <c r="C35" s="1">
        <v>218.9568965517241</v>
      </c>
      <c r="D35">
        <v>218.56034482758619</v>
      </c>
      <c r="E35">
        <f t="shared" si="1"/>
        <v>215.7471264367816</v>
      </c>
      <c r="F35">
        <f t="shared" si="2"/>
        <v>-4.1178160919540119</v>
      </c>
      <c r="H35">
        <f t="shared" si="4"/>
        <v>-1.8728843464509249E-2</v>
      </c>
      <c r="I35">
        <f t="shared" si="5"/>
        <v>-1.8728843464509248</v>
      </c>
    </row>
    <row r="36" spans="1:19" x14ac:dyDescent="0.25">
      <c r="A36" t="s">
        <v>24</v>
      </c>
      <c r="B36">
        <v>2318.0603448275861</v>
      </c>
      <c r="C36" s="1">
        <v>2413.0775862068972</v>
      </c>
      <c r="D36">
        <v>2412.6120689655172</v>
      </c>
      <c r="E36">
        <f t="shared" si="1"/>
        <v>2381.2500000000005</v>
      </c>
      <c r="F36">
        <f t="shared" si="2"/>
        <v>-21.08620689655163</v>
      </c>
      <c r="H36">
        <f t="shared" si="4"/>
        <v>-8.7773754714340155E-3</v>
      </c>
      <c r="I36">
        <f t="shared" si="5"/>
        <v>-0.87773754714340158</v>
      </c>
    </row>
    <row r="39" spans="1:19" x14ac:dyDescent="0.25">
      <c r="A39" t="s">
        <v>38</v>
      </c>
      <c r="B39">
        <v>1500</v>
      </c>
      <c r="C39">
        <v>300</v>
      </c>
      <c r="D39">
        <v>95</v>
      </c>
    </row>
    <row r="40" spans="1:19" x14ac:dyDescent="0.25">
      <c r="B40" t="s">
        <v>0</v>
      </c>
      <c r="C40" t="s">
        <v>1</v>
      </c>
      <c r="D40" t="s">
        <v>2</v>
      </c>
      <c r="E40" t="s">
        <v>3</v>
      </c>
      <c r="F40" t="s">
        <v>40</v>
      </c>
      <c r="G40" t="s">
        <v>14</v>
      </c>
      <c r="H40" t="s">
        <v>37</v>
      </c>
      <c r="I40" t="s">
        <v>14</v>
      </c>
      <c r="K40" t="s">
        <v>39</v>
      </c>
      <c r="L40" t="s">
        <v>14</v>
      </c>
      <c r="N40" t="s">
        <v>37</v>
      </c>
      <c r="O40" t="s">
        <v>14</v>
      </c>
      <c r="Q40" t="s">
        <v>41</v>
      </c>
      <c r="R40" t="s">
        <v>14</v>
      </c>
    </row>
    <row r="41" spans="1:19" x14ac:dyDescent="0.25">
      <c r="A41" t="s">
        <v>4</v>
      </c>
      <c r="B41">
        <v>0.6868490093298828</v>
      </c>
      <c r="C41">
        <v>0.68491820075704957</v>
      </c>
      <c r="D41">
        <v>0.69751278580264786</v>
      </c>
      <c r="E41">
        <f>AVERAGE(B41:D41)</f>
        <v>0.68975999862986015</v>
      </c>
      <c r="F41">
        <f>E41-E22</f>
        <v>1.6582321678978107E-2</v>
      </c>
      <c r="G41">
        <f>F41*100</f>
        <v>1.6582321678978107</v>
      </c>
      <c r="H41">
        <f>F41/E22</f>
        <v>2.4632904873029569E-2</v>
      </c>
      <c r="I41">
        <f>H41*100</f>
        <v>2.4632904873029569</v>
      </c>
      <c r="J41" t="s">
        <v>17</v>
      </c>
      <c r="K41">
        <f>E41-E3</f>
        <v>2.6739147014007369E-2</v>
      </c>
      <c r="L41">
        <f>K41*100</f>
        <v>2.6739147014007369</v>
      </c>
      <c r="M41" t="s">
        <v>17</v>
      </c>
      <c r="N41">
        <f>K41/E3</f>
        <v>4.0329270110949313E-2</v>
      </c>
      <c r="O41">
        <f>N41*100</f>
        <v>4.0329270110949311</v>
      </c>
      <c r="Q41">
        <f>K41-F22</f>
        <v>1.6582321678978107E-2</v>
      </c>
      <c r="R41">
        <f>Q41*100</f>
        <v>1.6582321678978107</v>
      </c>
      <c r="S41" t="s">
        <v>17</v>
      </c>
    </row>
    <row r="42" spans="1:19" x14ac:dyDescent="0.25">
      <c r="A42" t="s">
        <v>5</v>
      </c>
      <c r="B42">
        <v>0.6865147783251232</v>
      </c>
      <c r="C42">
        <v>0.68234811165845666</v>
      </c>
      <c r="D42">
        <v>0.68953201970443367</v>
      </c>
      <c r="E42">
        <f t="shared" ref="E42:E55" si="6">AVERAGE(B42:D42)</f>
        <v>0.68613163656267118</v>
      </c>
      <c r="F42">
        <f t="shared" ref="F42:F55" si="7">E42-E23</f>
        <v>9.7701149425288847E-3</v>
      </c>
      <c r="G42">
        <f t="shared" ref="G42:G51" si="8">F42*100</f>
        <v>0.97701149425288847</v>
      </c>
      <c r="H42">
        <f t="shared" ref="H42:H55" si="9">F42/E23</f>
        <v>1.4445107579635451E-2</v>
      </c>
      <c r="I42">
        <f t="shared" ref="I42:I55" si="10">H42*100</f>
        <v>1.4445107579635452</v>
      </c>
      <c r="J42" t="s">
        <v>17</v>
      </c>
      <c r="K42">
        <f t="shared" ref="K42:K55" si="11">E42-E4</f>
        <v>5.4837164750958012E-2</v>
      </c>
      <c r="L42">
        <f t="shared" ref="L42:L55" si="12">K42*100</f>
        <v>5.4837164750958012</v>
      </c>
      <c r="M42" t="s">
        <v>17</v>
      </c>
      <c r="N42">
        <f t="shared" ref="N42:N55" si="13">K42/E4</f>
        <v>8.6864636393194139E-2</v>
      </c>
      <c r="O42">
        <f t="shared" ref="O42:O55" si="14">N42*100</f>
        <v>8.6864636393194132</v>
      </c>
      <c r="Q42">
        <f t="shared" ref="Q42:Q55" si="15">K42-F23</f>
        <v>9.7701149425288847E-3</v>
      </c>
      <c r="R42">
        <f t="shared" ref="R42:R51" si="16">Q42*100</f>
        <v>0.97701149425288847</v>
      </c>
      <c r="S42" t="s">
        <v>17</v>
      </c>
    </row>
    <row r="43" spans="1:19" x14ac:dyDescent="0.25">
      <c r="A43" t="s">
        <v>6</v>
      </c>
      <c r="B43">
        <v>0.65322078541218342</v>
      </c>
      <c r="C43">
        <v>0.64402538311379298</v>
      </c>
      <c r="D43">
        <v>0.64779693483577749</v>
      </c>
      <c r="E43">
        <f t="shared" si="6"/>
        <v>0.6483477011205846</v>
      </c>
      <c r="F43">
        <f t="shared" si="7"/>
        <v>2.7434546614495736E-2</v>
      </c>
      <c r="G43">
        <f t="shared" si="8"/>
        <v>2.7434546614495736</v>
      </c>
      <c r="H43">
        <f t="shared" si="9"/>
        <v>4.4184192934869936E-2</v>
      </c>
      <c r="I43">
        <f t="shared" si="10"/>
        <v>4.4184192934869939</v>
      </c>
      <c r="J43" t="s">
        <v>17</v>
      </c>
      <c r="K43">
        <f t="shared" si="11"/>
        <v>1.7879948914135246E-2</v>
      </c>
      <c r="L43">
        <f t="shared" si="12"/>
        <v>1.7879948914135246</v>
      </c>
      <c r="M43" t="s">
        <v>17</v>
      </c>
      <c r="N43">
        <f t="shared" si="13"/>
        <v>2.8359815155590037E-2</v>
      </c>
      <c r="O43">
        <f t="shared" si="14"/>
        <v>2.8359815155590038</v>
      </c>
      <c r="Q43">
        <f t="shared" si="15"/>
        <v>2.7434546614495736E-2</v>
      </c>
      <c r="R43">
        <f t="shared" si="16"/>
        <v>2.7434546614495736</v>
      </c>
      <c r="S43" t="s">
        <v>17</v>
      </c>
    </row>
    <row r="44" spans="1:19" x14ac:dyDescent="0.25">
      <c r="A44" t="s">
        <v>7</v>
      </c>
      <c r="B44">
        <v>0.76517439604726856</v>
      </c>
      <c r="C44">
        <v>0.76517439604726856</v>
      </c>
      <c r="D44">
        <v>0.76329997721084319</v>
      </c>
      <c r="E44">
        <f t="shared" si="6"/>
        <v>0.7645495897684601</v>
      </c>
      <c r="F44">
        <f t="shared" si="7"/>
        <v>-7.8418456185270768E-3</v>
      </c>
      <c r="G44">
        <f t="shared" si="8"/>
        <v>-0.78418456185270768</v>
      </c>
      <c r="H44">
        <f t="shared" si="9"/>
        <v>-1.0152683288879451E-2</v>
      </c>
      <c r="I44">
        <f t="shared" si="10"/>
        <v>-1.0152683288879452</v>
      </c>
      <c r="J44" t="s">
        <v>16</v>
      </c>
      <c r="K44">
        <f t="shared" si="11"/>
        <v>4.4068170954708608E-3</v>
      </c>
      <c r="L44">
        <f t="shared" si="12"/>
        <v>0.44068170954708608</v>
      </c>
      <c r="N44">
        <f t="shared" si="13"/>
        <v>5.7973544627341446E-3</v>
      </c>
      <c r="O44">
        <f t="shared" si="14"/>
        <v>0.57973544627341445</v>
      </c>
      <c r="Q44">
        <f t="shared" si="15"/>
        <v>-7.8418456185270768E-3</v>
      </c>
      <c r="R44">
        <f t="shared" si="16"/>
        <v>-0.78418456185270768</v>
      </c>
      <c r="S44" t="s">
        <v>17</v>
      </c>
    </row>
    <row r="45" spans="1:19" x14ac:dyDescent="0.25">
      <c r="A45" t="s">
        <v>8</v>
      </c>
      <c r="B45">
        <v>0.28547206855217883</v>
      </c>
      <c r="C45">
        <v>0.275969370927722</v>
      </c>
      <c r="D45">
        <v>0.27153211220545442</v>
      </c>
      <c r="E45">
        <f t="shared" si="6"/>
        <v>0.27765785056178505</v>
      </c>
      <c r="F45">
        <f t="shared" si="7"/>
        <v>3.7930171491685205E-3</v>
      </c>
      <c r="G45">
        <f t="shared" si="8"/>
        <v>0.37930171491685205</v>
      </c>
      <c r="H45">
        <f t="shared" si="9"/>
        <v>1.3849960587870724E-2</v>
      </c>
      <c r="I45">
        <f t="shared" si="10"/>
        <v>1.3849960587870724</v>
      </c>
      <c r="J45" t="s">
        <v>17</v>
      </c>
      <c r="K45">
        <f t="shared" si="11"/>
        <v>3.1160841890423008E-3</v>
      </c>
      <c r="L45">
        <f t="shared" si="12"/>
        <v>0.31160841890423008</v>
      </c>
      <c r="N45">
        <f t="shared" si="13"/>
        <v>1.135012799768915E-2</v>
      </c>
      <c r="O45">
        <f t="shared" si="14"/>
        <v>1.135012799768915</v>
      </c>
      <c r="Q45">
        <f t="shared" si="15"/>
        <v>3.7930171491685205E-3</v>
      </c>
      <c r="R45">
        <f t="shared" si="16"/>
        <v>0.37930171491685205</v>
      </c>
      <c r="S45" t="s">
        <v>17</v>
      </c>
    </row>
    <row r="46" spans="1:19" x14ac:dyDescent="0.25">
      <c r="A46" t="s">
        <v>9</v>
      </c>
      <c r="B46">
        <v>0.62594688999224379</v>
      </c>
      <c r="C46">
        <v>0.61328754229201532</v>
      </c>
      <c r="D46">
        <v>0.58175417037513144</v>
      </c>
      <c r="E46">
        <f t="shared" si="6"/>
        <v>0.60699620088646355</v>
      </c>
      <c r="F46">
        <f t="shared" si="7"/>
        <v>-3.5734367930393085E-2</v>
      </c>
      <c r="G46">
        <f t="shared" si="8"/>
        <v>-3.5734367930393085</v>
      </c>
      <c r="H46">
        <f t="shared" si="9"/>
        <v>-5.559774136178583E-2</v>
      </c>
      <c r="I46">
        <f t="shared" si="10"/>
        <v>-5.5597741361785831</v>
      </c>
      <c r="J46" t="s">
        <v>16</v>
      </c>
      <c r="K46">
        <f t="shared" si="11"/>
        <v>-1.3842218079923585E-3</v>
      </c>
      <c r="L46">
        <f t="shared" si="12"/>
        <v>-0.13842218079923585</v>
      </c>
      <c r="N46">
        <f t="shared" si="13"/>
        <v>-2.2752569878264307E-3</v>
      </c>
      <c r="O46">
        <f t="shared" si="14"/>
        <v>-0.22752569878264306</v>
      </c>
      <c r="Q46">
        <f t="shared" si="15"/>
        <v>-3.5734367930393085E-2</v>
      </c>
      <c r="R46">
        <f t="shared" si="16"/>
        <v>-3.5734367930393085</v>
      </c>
      <c r="S46" t="s">
        <v>16</v>
      </c>
    </row>
    <row r="47" spans="1:19" x14ac:dyDescent="0.25">
      <c r="A47" t="s">
        <v>21</v>
      </c>
      <c r="B47">
        <v>0.25269949436187739</v>
      </c>
      <c r="C47">
        <v>0.25269949436187739</v>
      </c>
      <c r="D47">
        <v>0.24523772299289701</v>
      </c>
      <c r="E47">
        <f t="shared" si="6"/>
        <v>0.25021223723888392</v>
      </c>
      <c r="F47">
        <f t="shared" si="7"/>
        <v>-8.5148960351944525E-3</v>
      </c>
      <c r="G47">
        <f t="shared" si="8"/>
        <v>-0.85148960351944525</v>
      </c>
      <c r="H47">
        <f t="shared" si="9"/>
        <v>-3.2910719210011638E-2</v>
      </c>
      <c r="I47">
        <f t="shared" si="10"/>
        <v>-3.2910719210011639</v>
      </c>
      <c r="J47" t="s">
        <v>16</v>
      </c>
      <c r="K47">
        <f t="shared" si="11"/>
        <v>7.5820833444594504E-3</v>
      </c>
      <c r="L47">
        <f t="shared" si="12"/>
        <v>0.75820833444594504</v>
      </c>
      <c r="M47" t="s">
        <v>17</v>
      </c>
      <c r="N47">
        <f t="shared" si="13"/>
        <v>3.1249550901899185E-2</v>
      </c>
      <c r="O47">
        <f t="shared" si="14"/>
        <v>3.1249550901899186</v>
      </c>
      <c r="Q47">
        <f t="shared" si="15"/>
        <v>-8.5148960351944525E-3</v>
      </c>
      <c r="R47">
        <f t="shared" si="16"/>
        <v>-0.85148960351944525</v>
      </c>
      <c r="S47" t="s">
        <v>16</v>
      </c>
    </row>
    <row r="48" spans="1:19" x14ac:dyDescent="0.25">
      <c r="A48" t="s">
        <v>22</v>
      </c>
      <c r="B48">
        <v>0.20241676270961759</v>
      </c>
      <c r="C48">
        <v>0.20241676270961759</v>
      </c>
      <c r="D48">
        <v>0.192460373044014</v>
      </c>
      <c r="E48">
        <f t="shared" si="6"/>
        <v>0.19909796615441641</v>
      </c>
      <c r="F48">
        <f t="shared" si="7"/>
        <v>-5.4556727409362793E-3</v>
      </c>
      <c r="G48">
        <f t="shared" si="8"/>
        <v>-0.54556727409362793</v>
      </c>
      <c r="H48">
        <f t="shared" si="9"/>
        <v>-2.6671110670034765E-2</v>
      </c>
      <c r="I48">
        <f t="shared" si="10"/>
        <v>-2.6671110670034763</v>
      </c>
      <c r="J48" t="s">
        <v>16</v>
      </c>
      <c r="K48">
        <f t="shared" si="11"/>
        <v>5.3613533576329919E-3</v>
      </c>
      <c r="L48">
        <f t="shared" si="12"/>
        <v>0.53613533576329919</v>
      </c>
      <c r="M48" t="s">
        <v>17</v>
      </c>
      <c r="N48">
        <f t="shared" si="13"/>
        <v>2.7673413301886766E-2</v>
      </c>
      <c r="O48">
        <f t="shared" si="14"/>
        <v>2.7673413301886765</v>
      </c>
      <c r="Q48">
        <f t="shared" si="15"/>
        <v>-5.4556727409362793E-3</v>
      </c>
      <c r="R48">
        <f t="shared" si="16"/>
        <v>-0.54556727409362793</v>
      </c>
      <c r="S48" t="s">
        <v>16</v>
      </c>
    </row>
    <row r="49" spans="1:19" x14ac:dyDescent="0.25">
      <c r="A49" t="s">
        <v>23</v>
      </c>
      <c r="B49">
        <v>0.30402669310569758</v>
      </c>
      <c r="C49">
        <v>0.30402669310569758</v>
      </c>
      <c r="D49">
        <v>0.29907062649726868</v>
      </c>
      <c r="E49">
        <f t="shared" si="6"/>
        <v>0.30237467090288794</v>
      </c>
      <c r="F49">
        <f t="shared" si="7"/>
        <v>-1.1634439229965265E-2</v>
      </c>
      <c r="G49">
        <f t="shared" si="8"/>
        <v>-1.1634439229965265</v>
      </c>
      <c r="H49">
        <f t="shared" si="9"/>
        <v>-3.7051279260792415E-2</v>
      </c>
      <c r="I49">
        <f t="shared" si="10"/>
        <v>-3.7051279260792414</v>
      </c>
      <c r="J49" t="s">
        <v>16</v>
      </c>
      <c r="K49">
        <f t="shared" si="11"/>
        <v>9.8737577597299842E-3</v>
      </c>
      <c r="L49">
        <f t="shared" si="12"/>
        <v>0.98737577597299842</v>
      </c>
      <c r="M49" t="s">
        <v>17</v>
      </c>
      <c r="N49">
        <f t="shared" si="13"/>
        <v>3.375633140296385E-2</v>
      </c>
      <c r="O49">
        <f t="shared" si="14"/>
        <v>3.3756331402963848</v>
      </c>
      <c r="Q49">
        <f t="shared" si="15"/>
        <v>-1.1634439229965265E-2</v>
      </c>
      <c r="R49">
        <f t="shared" si="16"/>
        <v>-1.1634439229965265</v>
      </c>
      <c r="S49" t="s">
        <v>16</v>
      </c>
    </row>
    <row r="50" spans="1:19" x14ac:dyDescent="0.25">
      <c r="A50" t="s">
        <v>10</v>
      </c>
      <c r="B50">
        <v>0.38045977011494247</v>
      </c>
      <c r="C50">
        <v>0.38045977011494247</v>
      </c>
      <c r="D50">
        <v>0.37543103448275861</v>
      </c>
      <c r="E50">
        <f t="shared" si="6"/>
        <v>0.37878352490421446</v>
      </c>
      <c r="F50">
        <f t="shared" si="7"/>
        <v>-2.2509578544062658E-3</v>
      </c>
      <c r="G50">
        <f t="shared" si="8"/>
        <v>-0.22509578544062658</v>
      </c>
      <c r="H50">
        <f t="shared" si="9"/>
        <v>-5.9074912016092041E-3</v>
      </c>
      <c r="I50">
        <f t="shared" si="10"/>
        <v>-0.5907491201609204</v>
      </c>
      <c r="J50" t="s">
        <v>16</v>
      </c>
      <c r="K50">
        <f t="shared" si="11"/>
        <v>2.6819923371647403E-2</v>
      </c>
      <c r="L50">
        <f t="shared" si="12"/>
        <v>2.6819923371647403</v>
      </c>
      <c r="M50" t="s">
        <v>17</v>
      </c>
      <c r="N50">
        <f t="shared" si="13"/>
        <v>7.6200843652197273E-2</v>
      </c>
      <c r="O50">
        <f t="shared" si="14"/>
        <v>7.6200843652197277</v>
      </c>
      <c r="Q50">
        <f t="shared" si="15"/>
        <v>-2.2509578544062658E-3</v>
      </c>
      <c r="R50">
        <f t="shared" si="16"/>
        <v>-0.22509578544062658</v>
      </c>
    </row>
    <row r="51" spans="1:19" x14ac:dyDescent="0.25">
      <c r="A51" t="s">
        <v>11</v>
      </c>
      <c r="B51">
        <v>0.53448275862068961</v>
      </c>
      <c r="C51">
        <v>0.53448275862068961</v>
      </c>
      <c r="D51">
        <v>0.53448275862068961</v>
      </c>
      <c r="E51">
        <f t="shared" si="6"/>
        <v>0.53448275862068961</v>
      </c>
      <c r="F51">
        <f t="shared" si="7"/>
        <v>5.7471264367815467E-3</v>
      </c>
      <c r="G51">
        <f t="shared" si="8"/>
        <v>0.57471264367815467</v>
      </c>
      <c r="H51">
        <f t="shared" si="9"/>
        <v>1.0869565217391186E-2</v>
      </c>
      <c r="I51">
        <f t="shared" si="10"/>
        <v>1.0869565217391186</v>
      </c>
      <c r="J51" t="s">
        <v>17</v>
      </c>
      <c r="K51">
        <f t="shared" si="11"/>
        <v>1.7241379310344751E-2</v>
      </c>
      <c r="L51">
        <f t="shared" si="12"/>
        <v>1.7241379310344751</v>
      </c>
      <c r="M51" t="s">
        <v>17</v>
      </c>
      <c r="N51">
        <f t="shared" si="13"/>
        <v>3.333333333333318E-2</v>
      </c>
      <c r="O51">
        <f t="shared" si="14"/>
        <v>3.3333333333333179</v>
      </c>
      <c r="Q51">
        <f t="shared" si="15"/>
        <v>5.7471264367815467E-3</v>
      </c>
      <c r="R51">
        <f t="shared" si="16"/>
        <v>0.57471264367815467</v>
      </c>
      <c r="S51" t="s">
        <v>17</v>
      </c>
    </row>
    <row r="52" spans="1:19" x14ac:dyDescent="0.25">
      <c r="A52" t="s">
        <v>12</v>
      </c>
      <c r="B52">
        <v>11.36822727836411</v>
      </c>
      <c r="C52" s="1">
        <v>12.671945206050211</v>
      </c>
      <c r="D52">
        <v>29.475263778505649</v>
      </c>
      <c r="E52">
        <f t="shared" si="6"/>
        <v>17.838478754306657</v>
      </c>
      <c r="F52">
        <f t="shared" si="7"/>
        <v>2.6066889118874172</v>
      </c>
      <c r="H52">
        <f t="shared" si="9"/>
        <v>0.17113477397305013</v>
      </c>
      <c r="I52">
        <f t="shared" si="10"/>
        <v>17.113477397305012</v>
      </c>
      <c r="K52">
        <f t="shared" si="11"/>
        <v>4.9262474535525467</v>
      </c>
      <c r="L52">
        <f t="shared" si="12"/>
        <v>492.62474535525467</v>
      </c>
      <c r="N52">
        <f t="shared" si="13"/>
        <v>0.38151790645702266</v>
      </c>
      <c r="O52">
        <f t="shared" si="14"/>
        <v>38.151790645702263</v>
      </c>
      <c r="Q52">
        <f t="shared" si="15"/>
        <v>2.6066889118874172</v>
      </c>
      <c r="S52" t="s">
        <v>42</v>
      </c>
    </row>
    <row r="53" spans="1:19" x14ac:dyDescent="0.25">
      <c r="A53" t="s">
        <v>25</v>
      </c>
      <c r="B53">
        <v>2182.5172413793098</v>
      </c>
      <c r="C53" s="1">
        <v>2184.620689655173</v>
      </c>
      <c r="D53">
        <v>2136.3965517241381</v>
      </c>
      <c r="E53">
        <f t="shared" si="6"/>
        <v>2167.844827586207</v>
      </c>
      <c r="F53">
        <f t="shared" si="7"/>
        <v>2.3419540229883751</v>
      </c>
      <c r="H53">
        <f t="shared" si="9"/>
        <v>1.0814827593069944E-3</v>
      </c>
      <c r="I53">
        <f t="shared" si="10"/>
        <v>0.10814827593069944</v>
      </c>
      <c r="K53">
        <f t="shared" si="11"/>
        <v>-14.6264367816093</v>
      </c>
      <c r="L53">
        <f t="shared" si="12"/>
        <v>-1462.64367816093</v>
      </c>
      <c r="N53">
        <f t="shared" si="13"/>
        <v>-6.7017774851876712E-3</v>
      </c>
      <c r="O53">
        <f t="shared" si="14"/>
        <v>-0.6701777485187671</v>
      </c>
      <c r="Q53">
        <f t="shared" si="15"/>
        <v>2.3419540229883751</v>
      </c>
    </row>
    <row r="54" spans="1:19" x14ac:dyDescent="0.25">
      <c r="A54" t="s">
        <v>26</v>
      </c>
      <c r="B54">
        <v>212.66379310344831</v>
      </c>
      <c r="C54" s="1">
        <v>212.10344827586209</v>
      </c>
      <c r="D54">
        <v>214.2155172413793</v>
      </c>
      <c r="E54">
        <f t="shared" si="6"/>
        <v>212.99425287356325</v>
      </c>
      <c r="F54">
        <f t="shared" si="7"/>
        <v>-2.7528735632183441</v>
      </c>
      <c r="H54">
        <f t="shared" si="9"/>
        <v>-1.2759722962173465E-2</v>
      </c>
      <c r="I54">
        <f t="shared" si="10"/>
        <v>-1.2759722962173465</v>
      </c>
      <c r="K54">
        <f t="shared" si="11"/>
        <v>-6.870689655172356</v>
      </c>
      <c r="L54">
        <f t="shared" si="12"/>
        <v>-687.0689655172356</v>
      </c>
      <c r="N54">
        <f t="shared" si="13"/>
        <v>-3.1249591572673666E-2</v>
      </c>
      <c r="O54">
        <f t="shared" si="14"/>
        <v>-3.1249591572673667</v>
      </c>
      <c r="Q54">
        <f t="shared" si="15"/>
        <v>-2.7528735632183441</v>
      </c>
    </row>
    <row r="55" spans="1:19" x14ac:dyDescent="0.25">
      <c r="A55" t="s">
        <v>24</v>
      </c>
      <c r="B55">
        <v>2395.1810344827591</v>
      </c>
      <c r="C55" s="1">
        <v>2396.724137931034</v>
      </c>
      <c r="D55">
        <v>2350.6120689655172</v>
      </c>
      <c r="E55">
        <f t="shared" si="6"/>
        <v>2380.8390804597702</v>
      </c>
      <c r="F55">
        <f t="shared" si="7"/>
        <v>-0.41091954023022481</v>
      </c>
      <c r="H55">
        <f t="shared" si="9"/>
        <v>-1.7256463631715475E-4</v>
      </c>
      <c r="I55">
        <f t="shared" si="10"/>
        <v>-1.7256463631715475E-2</v>
      </c>
      <c r="K55">
        <f t="shared" si="11"/>
        <v>-21.497126436781855</v>
      </c>
      <c r="L55">
        <f t="shared" si="12"/>
        <v>-2149.7126436781855</v>
      </c>
      <c r="N55">
        <f t="shared" si="13"/>
        <v>-8.9484254431451242E-3</v>
      </c>
      <c r="O55">
        <f t="shared" si="14"/>
        <v>-0.89484254431451238</v>
      </c>
      <c r="Q55">
        <f t="shared" si="15"/>
        <v>-0.41091954023022481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2793-DBB4-41C8-A6C8-004B2B5D4FF1}">
  <dimension ref="A1:U55"/>
  <sheetViews>
    <sheetView tabSelected="1" topLeftCell="A19" workbookViewId="0">
      <selection activeCell="Q40" sqref="Q40"/>
    </sheetView>
  </sheetViews>
  <sheetFormatPr baseColWidth="10" defaultRowHeight="15" x14ac:dyDescent="0.25"/>
  <cols>
    <col min="11" max="11" width="27.28515625" bestFit="1" customWidth="1"/>
  </cols>
  <sheetData>
    <row r="1" spans="1:11" x14ac:dyDescent="0.25">
      <c r="A1" t="s">
        <v>18</v>
      </c>
      <c r="B1">
        <v>1500</v>
      </c>
      <c r="C1">
        <v>300</v>
      </c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57</v>
      </c>
    </row>
    <row r="3" spans="1:11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  <c r="G3" t="s">
        <v>4</v>
      </c>
      <c r="H3">
        <v>0.72093318610841095</v>
      </c>
      <c r="I3">
        <v>0.72920821290496773</v>
      </c>
      <c r="J3">
        <v>0.74600730940974624</v>
      </c>
      <c r="K3">
        <f>AVERAGE(H3:J3)</f>
        <v>0.73204956947437505</v>
      </c>
    </row>
    <row r="4" spans="1:11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  <c r="G4" t="s">
        <v>5</v>
      </c>
      <c r="H4">
        <v>0.80114942528735633</v>
      </c>
      <c r="I4">
        <v>0.79784482758620701</v>
      </c>
      <c r="J4">
        <v>0.80158045977011516</v>
      </c>
      <c r="K4">
        <f t="shared" ref="K4:K17" si="1">AVERAGE(H4:J4)</f>
        <v>0.80019157088122617</v>
      </c>
    </row>
    <row r="5" spans="1:11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  <c r="G5" t="s">
        <v>6</v>
      </c>
      <c r="H5">
        <v>0.82098898464300618</v>
      </c>
      <c r="I5">
        <v>0.82521551720923469</v>
      </c>
      <c r="J5">
        <v>0.81385296931803208</v>
      </c>
      <c r="K5">
        <f t="shared" si="1"/>
        <v>0.82001915705675765</v>
      </c>
    </row>
    <row r="6" spans="1:11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  <c r="G6" t="s">
        <v>7</v>
      </c>
      <c r="H6">
        <v>0.77957780726490122</v>
      </c>
      <c r="I6">
        <v>0.77957780726490122</v>
      </c>
      <c r="J6">
        <v>0.77776832922414518</v>
      </c>
      <c r="K6">
        <f t="shared" si="1"/>
        <v>0.77897464791798254</v>
      </c>
    </row>
    <row r="7" spans="1:11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  <c r="G7" t="s">
        <v>8</v>
      </c>
      <c r="H7">
        <v>0.33484660455304061</v>
      </c>
      <c r="I7">
        <v>0.32623183411420348</v>
      </c>
      <c r="J7">
        <v>0.344758727709434</v>
      </c>
      <c r="K7">
        <f t="shared" si="1"/>
        <v>0.33527905545889269</v>
      </c>
    </row>
    <row r="8" spans="1:11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  <c r="G8" t="s">
        <v>9</v>
      </c>
      <c r="H8">
        <v>0.5978723254348659</v>
      </c>
      <c r="I8">
        <v>0.60885923528497021</v>
      </c>
      <c r="J8">
        <v>0.62617798594169338</v>
      </c>
      <c r="K8">
        <f t="shared" si="1"/>
        <v>0.61096984888717654</v>
      </c>
    </row>
    <row r="9" spans="1:11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  <c r="G9" t="s">
        <v>21</v>
      </c>
      <c r="H9">
        <v>0.26685631275177002</v>
      </c>
      <c r="I9">
        <v>0.26685631275177002</v>
      </c>
      <c r="J9">
        <v>0.27435976266860962</v>
      </c>
      <c r="K9">
        <f t="shared" si="1"/>
        <v>0.26935746272404987</v>
      </c>
    </row>
    <row r="10" spans="1:11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  <c r="G10" t="s">
        <v>22</v>
      </c>
      <c r="H10">
        <v>0.21834114193916321</v>
      </c>
      <c r="I10">
        <v>0.21834114193916321</v>
      </c>
      <c r="J10">
        <v>0.2285752147436142</v>
      </c>
      <c r="K10">
        <f t="shared" si="1"/>
        <v>0.22175249954064688</v>
      </c>
    </row>
    <row r="11" spans="1:11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  <c r="G11" t="s">
        <v>23</v>
      </c>
      <c r="H11">
        <v>0.31574171781539923</v>
      </c>
      <c r="I11">
        <v>0.31574171781539923</v>
      </c>
      <c r="J11">
        <v>0.32069301605224609</v>
      </c>
      <c r="K11">
        <f t="shared" si="1"/>
        <v>0.31739215056101483</v>
      </c>
    </row>
    <row r="12" spans="1:11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  <c r="G12" t="s">
        <v>10</v>
      </c>
      <c r="H12">
        <v>0.50172413793103454</v>
      </c>
      <c r="I12">
        <v>0.50172413793103454</v>
      </c>
      <c r="J12">
        <v>0.50488505747126433</v>
      </c>
      <c r="K12">
        <f t="shared" si="1"/>
        <v>0.50277777777777777</v>
      </c>
    </row>
    <row r="13" spans="1:11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  <c r="G13" t="s">
        <v>11</v>
      </c>
      <c r="H13">
        <v>0.65517241379310343</v>
      </c>
      <c r="I13">
        <v>0.65517241379310343</v>
      </c>
      <c r="J13">
        <v>0.65517241379310343</v>
      </c>
      <c r="K13">
        <f t="shared" si="1"/>
        <v>0.65517241379310343</v>
      </c>
    </row>
    <row r="14" spans="1:11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  <c r="G14" t="s">
        <v>12</v>
      </c>
      <c r="H14">
        <v>12.24515574553917</v>
      </c>
      <c r="I14">
        <v>11.68563891895886</v>
      </c>
      <c r="J14">
        <v>14.27650121573744</v>
      </c>
      <c r="K14">
        <f t="shared" si="1"/>
        <v>12.735765293411824</v>
      </c>
    </row>
    <row r="15" spans="1:11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  <c r="G15" t="s">
        <v>31</v>
      </c>
      <c r="H15">
        <v>2171.879310344827</v>
      </c>
      <c r="I15">
        <v>2179.6465517241381</v>
      </c>
      <c r="J15">
        <v>2216.6637931034479</v>
      </c>
      <c r="K15">
        <f t="shared" si="1"/>
        <v>2189.3965517241377</v>
      </c>
    </row>
    <row r="16" spans="1:11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  <c r="G16" t="s">
        <v>32</v>
      </c>
      <c r="H16">
        <v>218.43103448275861</v>
      </c>
      <c r="I16">
        <v>218.33620689655169</v>
      </c>
      <c r="J16">
        <v>218.42241379310349</v>
      </c>
      <c r="K16">
        <f t="shared" si="1"/>
        <v>218.39655172413791</v>
      </c>
    </row>
    <row r="17" spans="1:15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  <c r="G17" t="s">
        <v>33</v>
      </c>
      <c r="H17">
        <v>2390.3103448275861</v>
      </c>
      <c r="I17">
        <v>2397.9827586206902</v>
      </c>
      <c r="J17">
        <v>2435.0862068965521</v>
      </c>
      <c r="K17">
        <f t="shared" si="1"/>
        <v>2407.7931034482758</v>
      </c>
    </row>
    <row r="18" spans="1:15" x14ac:dyDescent="0.25">
      <c r="G18" t="s">
        <v>44</v>
      </c>
      <c r="H18">
        <v>14413.73275862069</v>
      </c>
      <c r="I18">
        <v>14372.456896551719</v>
      </c>
      <c r="J18">
        <v>14552.26724137931</v>
      </c>
    </row>
    <row r="19" spans="1:15" x14ac:dyDescent="0.25">
      <c r="A19" t="s">
        <v>55</v>
      </c>
      <c r="B19" t="s">
        <v>56</v>
      </c>
      <c r="C19" t="s">
        <v>49</v>
      </c>
    </row>
    <row r="20" spans="1:15" x14ac:dyDescent="0.25">
      <c r="B20" t="s">
        <v>0</v>
      </c>
      <c r="C20" t="s">
        <v>1</v>
      </c>
      <c r="D20" t="s">
        <v>2</v>
      </c>
      <c r="E20" t="s">
        <v>57</v>
      </c>
      <c r="F20" t="s">
        <v>34</v>
      </c>
      <c r="G20" t="s">
        <v>14</v>
      </c>
      <c r="H20" t="s">
        <v>35</v>
      </c>
      <c r="I20" t="s">
        <v>14</v>
      </c>
      <c r="K20" t="s">
        <v>51</v>
      </c>
      <c r="L20" t="s">
        <v>14</v>
      </c>
      <c r="N20" t="s">
        <v>37</v>
      </c>
      <c r="O20" t="s">
        <v>14</v>
      </c>
    </row>
    <row r="21" spans="1:15" x14ac:dyDescent="0.25">
      <c r="A21" t="s">
        <v>4</v>
      </c>
      <c r="B21">
        <v>0.77264215244812295</v>
      </c>
      <c r="C21">
        <v>0.76778544190469022</v>
      </c>
      <c r="D21">
        <v>0.76245881609211952</v>
      </c>
      <c r="E21">
        <f>AVERAGE(B21:D21)</f>
        <v>0.7676288034816442</v>
      </c>
      <c r="F21">
        <f>E21-E3</f>
        <v>0.10460795186579142</v>
      </c>
      <c r="G21">
        <f>F21*100</f>
        <v>10.460795186579141</v>
      </c>
      <c r="H21">
        <f>F21/E3</f>
        <v>0.15777475415871256</v>
      </c>
      <c r="I21">
        <f>H21*100</f>
        <v>15.777475415871256</v>
      </c>
      <c r="K21">
        <f>E21-K3</f>
        <v>3.5579234007269145E-2</v>
      </c>
      <c r="L21">
        <f>K21*100</f>
        <v>3.5579234007269145</v>
      </c>
      <c r="M21" t="s">
        <v>17</v>
      </c>
      <c r="N21">
        <f>K21/K3</f>
        <v>4.8602219700526132E-2</v>
      </c>
      <c r="O21">
        <f>N21*100</f>
        <v>4.8602219700526135</v>
      </c>
    </row>
    <row r="22" spans="1:15" x14ac:dyDescent="0.25">
      <c r="A22" t="s">
        <v>5</v>
      </c>
      <c r="B22">
        <v>0.84123563218390796</v>
      </c>
      <c r="C22">
        <v>0.84037356321839096</v>
      </c>
      <c r="D22">
        <v>0.83511904761904754</v>
      </c>
      <c r="E22">
        <f t="shared" ref="E22:E36" si="2">AVERAGE(B22:D22)</f>
        <v>0.83890941434044886</v>
      </c>
      <c r="F22">
        <f t="shared" ref="F22:F35" si="3">E22-E4</f>
        <v>0.20761494252873569</v>
      </c>
      <c r="G22">
        <f t="shared" ref="G22:G35" si="4">F22*100</f>
        <v>20.761494252873568</v>
      </c>
      <c r="H22">
        <f t="shared" ref="H22:H35" si="5">F22/E4</f>
        <v>0.32887178931396999</v>
      </c>
      <c r="I22">
        <f t="shared" ref="I22:I35" si="6">H22*100</f>
        <v>32.887178931396996</v>
      </c>
      <c r="K22">
        <f t="shared" ref="K22:K35" si="7">E22-K4</f>
        <v>3.8717843459222689E-2</v>
      </c>
      <c r="L22">
        <f t="shared" ref="L22:L31" si="8">K22*100</f>
        <v>3.8717843459222689</v>
      </c>
      <c r="M22" t="s">
        <v>17</v>
      </c>
      <c r="N22">
        <f t="shared" ref="N22:N35" si="9">K22/K4</f>
        <v>4.8385717705803785E-2</v>
      </c>
      <c r="O22">
        <f t="shared" ref="O22:O35" si="10">N22*100</f>
        <v>4.8385717705803781</v>
      </c>
    </row>
    <row r="23" spans="1:15" x14ac:dyDescent="0.25">
      <c r="A23" t="s">
        <v>6</v>
      </c>
      <c r="B23">
        <v>0.82298850570998738</v>
      </c>
      <c r="C23">
        <v>0.80753113023231093</v>
      </c>
      <c r="D23">
        <v>0.81069204977200204</v>
      </c>
      <c r="E23">
        <f t="shared" si="2"/>
        <v>0.81373722857143349</v>
      </c>
      <c r="F23">
        <f t="shared" si="3"/>
        <v>0.18326947636498414</v>
      </c>
      <c r="G23">
        <f t="shared" si="4"/>
        <v>18.326947636498414</v>
      </c>
      <c r="H23">
        <f t="shared" si="5"/>
        <v>0.2906881053370225</v>
      </c>
      <c r="I23">
        <f t="shared" si="6"/>
        <v>29.068810533702248</v>
      </c>
      <c r="K23">
        <f t="shared" si="7"/>
        <v>-6.2819284853241619E-3</v>
      </c>
      <c r="L23">
        <f t="shared" si="8"/>
        <v>-0.62819284853241619</v>
      </c>
      <c r="N23">
        <f t="shared" si="9"/>
        <v>-7.6607094252181696E-3</v>
      </c>
      <c r="O23">
        <f t="shared" si="10"/>
        <v>-0.76607094252181696</v>
      </c>
    </row>
    <row r="24" spans="1:15" x14ac:dyDescent="0.25">
      <c r="A24" t="s">
        <v>7</v>
      </c>
      <c r="B24">
        <v>0.77034003281154162</v>
      </c>
      <c r="C24">
        <v>0.77034003281154162</v>
      </c>
      <c r="D24">
        <v>0.77034003281154162</v>
      </c>
      <c r="E24">
        <f t="shared" si="2"/>
        <v>0.77034003281154162</v>
      </c>
      <c r="F24">
        <f t="shared" si="3"/>
        <v>1.0197260138552378E-2</v>
      </c>
      <c r="G24">
        <f t="shared" si="4"/>
        <v>1.0197260138552378</v>
      </c>
      <c r="H24">
        <f t="shared" si="5"/>
        <v>1.3414927438821026E-2</v>
      </c>
      <c r="I24">
        <f t="shared" si="6"/>
        <v>1.3414927438821027</v>
      </c>
      <c r="K24">
        <f t="shared" si="7"/>
        <v>-8.6346151064409238E-3</v>
      </c>
      <c r="L24">
        <f t="shared" si="8"/>
        <v>-0.86346151064409238</v>
      </c>
      <c r="N24">
        <f t="shared" si="9"/>
        <v>-1.1084590659682231E-2</v>
      </c>
      <c r="O24">
        <f t="shared" si="10"/>
        <v>-1.1084590659682232</v>
      </c>
    </row>
    <row r="25" spans="1:15" x14ac:dyDescent="0.25">
      <c r="A25" t="s">
        <v>8</v>
      </c>
      <c r="B25">
        <v>0.36834198288425296</v>
      </c>
      <c r="C25">
        <v>0.37274607102431823</v>
      </c>
      <c r="D25">
        <v>0.37256031244034138</v>
      </c>
      <c r="E25">
        <f t="shared" si="2"/>
        <v>0.37121612211630417</v>
      </c>
      <c r="F25">
        <f t="shared" si="3"/>
        <v>9.6674355743561424E-2</v>
      </c>
      <c r="G25">
        <f t="shared" si="4"/>
        <v>9.6674355743561424</v>
      </c>
      <c r="H25">
        <f t="shared" si="5"/>
        <v>0.35212986723596573</v>
      </c>
      <c r="I25">
        <f t="shared" si="6"/>
        <v>35.212986723596572</v>
      </c>
      <c r="K25">
        <f t="shared" si="7"/>
        <v>3.5937066657411476E-2</v>
      </c>
      <c r="L25">
        <f t="shared" si="8"/>
        <v>3.5937066657411476</v>
      </c>
      <c r="M25" t="s">
        <v>17</v>
      </c>
      <c r="N25">
        <f t="shared" si="9"/>
        <v>0.10718554014125581</v>
      </c>
      <c r="O25">
        <f t="shared" si="10"/>
        <v>10.71855401412558</v>
      </c>
    </row>
    <row r="26" spans="1:15" x14ac:dyDescent="0.25">
      <c r="A26" t="s">
        <v>9</v>
      </c>
      <c r="B26">
        <v>0.67413042896192743</v>
      </c>
      <c r="C26">
        <v>0.67076490948923384</v>
      </c>
      <c r="D26">
        <v>0.68029604900521856</v>
      </c>
      <c r="E26">
        <f t="shared" si="2"/>
        <v>0.67506379581879328</v>
      </c>
      <c r="F26">
        <f t="shared" si="3"/>
        <v>6.6683373124337364E-2</v>
      </c>
      <c r="G26">
        <f t="shared" si="4"/>
        <v>6.6683373124337368</v>
      </c>
      <c r="H26">
        <f t="shared" si="5"/>
        <v>0.10960801931956224</v>
      </c>
      <c r="I26">
        <f t="shared" si="6"/>
        <v>10.960801931956224</v>
      </c>
      <c r="K26">
        <f t="shared" si="7"/>
        <v>6.4093946931616741E-2</v>
      </c>
      <c r="L26">
        <f t="shared" si="8"/>
        <v>6.4093946931616745</v>
      </c>
      <c r="M26" t="s">
        <v>17</v>
      </c>
      <c r="N26">
        <f t="shared" si="9"/>
        <v>0.10490525358715781</v>
      </c>
      <c r="O26">
        <f t="shared" si="10"/>
        <v>10.490525358715781</v>
      </c>
    </row>
    <row r="27" spans="1:15" x14ac:dyDescent="0.25">
      <c r="A27" t="s">
        <v>21</v>
      </c>
      <c r="B27">
        <v>0.27271312627748684</v>
      </c>
      <c r="C27">
        <v>0.27271312475204468</v>
      </c>
      <c r="D27">
        <v>0.27271312475204468</v>
      </c>
      <c r="E27">
        <f t="shared" si="2"/>
        <v>0.27271312526052544</v>
      </c>
      <c r="F27">
        <f t="shared" si="3"/>
        <v>3.0082971366100969E-2</v>
      </c>
      <c r="G27">
        <f t="shared" si="4"/>
        <v>3.0082971366100968</v>
      </c>
      <c r="H27">
        <f t="shared" si="5"/>
        <v>0.12398694425751779</v>
      </c>
      <c r="I27">
        <f t="shared" si="6"/>
        <v>12.398694425751779</v>
      </c>
      <c r="K27">
        <f t="shared" si="7"/>
        <v>3.3556625364755677E-3</v>
      </c>
      <c r="L27">
        <f t="shared" si="8"/>
        <v>0.33556625364755677</v>
      </c>
      <c r="N27">
        <f t="shared" si="9"/>
        <v>1.2458026974783921E-2</v>
      </c>
      <c r="O27">
        <f t="shared" si="10"/>
        <v>1.245802697478392</v>
      </c>
    </row>
    <row r="28" spans="1:15" x14ac:dyDescent="0.25">
      <c r="A28" t="s">
        <v>22</v>
      </c>
      <c r="B28">
        <v>0.2192579662961211</v>
      </c>
      <c r="C28">
        <v>0.21925795078277591</v>
      </c>
      <c r="D28">
        <v>0.21925795078277591</v>
      </c>
      <c r="E28">
        <f t="shared" si="2"/>
        <v>0.21925795595389097</v>
      </c>
      <c r="F28">
        <f t="shared" si="3"/>
        <v>2.5521343157107551E-2</v>
      </c>
      <c r="G28">
        <f t="shared" si="4"/>
        <v>2.552134315710755</v>
      </c>
      <c r="H28">
        <f t="shared" si="5"/>
        <v>0.13173216352181047</v>
      </c>
      <c r="I28">
        <f t="shared" si="6"/>
        <v>13.173216352181047</v>
      </c>
      <c r="K28">
        <f t="shared" si="7"/>
        <v>-2.4945435867559096E-3</v>
      </c>
      <c r="L28">
        <f t="shared" si="8"/>
        <v>-0.24945435867559096</v>
      </c>
      <c r="N28">
        <f t="shared" si="9"/>
        <v>-1.1249224211331442E-2</v>
      </c>
      <c r="O28">
        <f t="shared" si="10"/>
        <v>-1.1249224211331443</v>
      </c>
    </row>
    <row r="29" spans="1:15" x14ac:dyDescent="0.25">
      <c r="A29" t="s">
        <v>23</v>
      </c>
      <c r="B29">
        <v>0.3277924655583398</v>
      </c>
      <c r="C29">
        <v>0.3277924656867981</v>
      </c>
      <c r="D29">
        <v>0.3277924656867981</v>
      </c>
      <c r="E29">
        <f t="shared" si="2"/>
        <v>0.32779246564397863</v>
      </c>
      <c r="F29">
        <f t="shared" si="3"/>
        <v>3.5291552500820667E-2</v>
      </c>
      <c r="G29">
        <f t="shared" si="4"/>
        <v>3.5291552500820664</v>
      </c>
      <c r="H29">
        <f t="shared" si="5"/>
        <v>0.12065450367858514</v>
      </c>
      <c r="I29">
        <f t="shared" si="6"/>
        <v>12.065450367858514</v>
      </c>
      <c r="K29">
        <f t="shared" si="7"/>
        <v>1.0400315082963796E-2</v>
      </c>
      <c r="L29">
        <f t="shared" si="8"/>
        <v>1.0400315082963796</v>
      </c>
      <c r="M29" t="s">
        <v>17</v>
      </c>
      <c r="N29">
        <f t="shared" si="9"/>
        <v>3.2768028650300408E-2</v>
      </c>
      <c r="O29">
        <f t="shared" si="10"/>
        <v>3.2768028650300409</v>
      </c>
    </row>
    <row r="30" spans="1:15" x14ac:dyDescent="0.25">
      <c r="A30" t="s">
        <v>10</v>
      </c>
      <c r="B30">
        <v>0.55244252873563227</v>
      </c>
      <c r="C30">
        <v>0.55244252873563215</v>
      </c>
      <c r="D30">
        <v>0.54382183908045978</v>
      </c>
      <c r="E30">
        <f t="shared" si="2"/>
        <v>0.54956896551724144</v>
      </c>
      <c r="F30">
        <f t="shared" si="3"/>
        <v>0.19760536398467438</v>
      </c>
      <c r="G30">
        <f t="shared" si="4"/>
        <v>19.760536398467437</v>
      </c>
      <c r="H30">
        <f t="shared" si="5"/>
        <v>0.5614369301945844</v>
      </c>
      <c r="I30">
        <f t="shared" si="6"/>
        <v>56.143693019458439</v>
      </c>
      <c r="K30">
        <f t="shared" si="7"/>
        <v>4.6791187739463669E-2</v>
      </c>
      <c r="L30">
        <f t="shared" si="8"/>
        <v>4.6791187739463673</v>
      </c>
      <c r="M30" t="s">
        <v>17</v>
      </c>
      <c r="N30">
        <f t="shared" si="9"/>
        <v>9.3065345780148731E-2</v>
      </c>
      <c r="O30">
        <f t="shared" si="10"/>
        <v>9.3065345780148725</v>
      </c>
    </row>
    <row r="31" spans="1:15" x14ac:dyDescent="0.25">
      <c r="A31" t="s">
        <v>11</v>
      </c>
      <c r="B31">
        <v>0.7068965517241379</v>
      </c>
      <c r="C31">
        <v>0.7068965517241379</v>
      </c>
      <c r="D31">
        <v>0.69827586206896552</v>
      </c>
      <c r="E31">
        <f t="shared" si="2"/>
        <v>0.70402298850574707</v>
      </c>
      <c r="F31">
        <f t="shared" si="3"/>
        <v>0.18678160919540221</v>
      </c>
      <c r="G31">
        <f t="shared" si="4"/>
        <v>18.678160919540222</v>
      </c>
      <c r="H31">
        <f t="shared" si="5"/>
        <v>0.36111111111111094</v>
      </c>
      <c r="I31">
        <f t="shared" si="6"/>
        <v>36.111111111111093</v>
      </c>
      <c r="K31">
        <f t="shared" si="7"/>
        <v>4.8850574712643646E-2</v>
      </c>
      <c r="L31">
        <f t="shared" si="8"/>
        <v>4.8850574712643642</v>
      </c>
      <c r="M31" t="s">
        <v>17</v>
      </c>
      <c r="N31">
        <f t="shared" si="9"/>
        <v>7.4561403508771884E-2</v>
      </c>
      <c r="O31">
        <f t="shared" si="10"/>
        <v>7.4561403508771882</v>
      </c>
    </row>
    <row r="32" spans="1:15" x14ac:dyDescent="0.25">
      <c r="A32" t="s">
        <v>12</v>
      </c>
      <c r="B32">
        <v>13.379221959360709</v>
      </c>
      <c r="C32">
        <v>13.379414190506109</v>
      </c>
      <c r="D32">
        <v>13.921241846577869</v>
      </c>
      <c r="E32">
        <f t="shared" si="2"/>
        <v>13.55995933214823</v>
      </c>
      <c r="F32">
        <f t="shared" si="3"/>
        <v>0.64772803139412005</v>
      </c>
      <c r="G32">
        <f t="shared" si="4"/>
        <v>64.772803139412005</v>
      </c>
      <c r="H32">
        <f t="shared" si="5"/>
        <v>5.0163911744385413E-2</v>
      </c>
      <c r="I32">
        <f t="shared" si="6"/>
        <v>5.0163911744385414</v>
      </c>
      <c r="K32">
        <f t="shared" si="7"/>
        <v>0.8241940387364064</v>
      </c>
      <c r="N32">
        <f t="shared" si="9"/>
        <v>6.4714920520933264E-2</v>
      </c>
      <c r="O32">
        <f t="shared" si="10"/>
        <v>6.4714920520933266</v>
      </c>
    </row>
    <row r="33" spans="1:21" x14ac:dyDescent="0.25">
      <c r="A33" t="s">
        <v>31</v>
      </c>
      <c r="B33">
        <v>2201.1034482758619</v>
      </c>
      <c r="C33">
        <v>2213.6120689655172</v>
      </c>
      <c r="D33">
        <v>2202.0775862068972</v>
      </c>
      <c r="E33">
        <f t="shared" si="2"/>
        <v>2205.5977011494251</v>
      </c>
      <c r="F33">
        <f t="shared" si="3"/>
        <v>23.126436781608845</v>
      </c>
      <c r="G33">
        <f t="shared" si="4"/>
        <v>2312.6436781608845</v>
      </c>
      <c r="H33">
        <f t="shared" si="5"/>
        <v>1.0596445029624592E-2</v>
      </c>
      <c r="I33">
        <f t="shared" si="6"/>
        <v>1.0596445029624593</v>
      </c>
      <c r="K33">
        <f t="shared" si="7"/>
        <v>16.20114942528744</v>
      </c>
      <c r="N33">
        <f t="shared" si="9"/>
        <v>7.3998241262091717E-3</v>
      </c>
      <c r="O33">
        <f t="shared" si="10"/>
        <v>0.73998241262091713</v>
      </c>
    </row>
    <row r="34" spans="1:21" x14ac:dyDescent="0.25">
      <c r="A34" t="s">
        <v>32</v>
      </c>
      <c r="B34">
        <v>222.25</v>
      </c>
      <c r="C34">
        <v>223.73275862068971</v>
      </c>
      <c r="D34">
        <v>220</v>
      </c>
      <c r="E34">
        <f t="shared" si="2"/>
        <v>221.99425287356325</v>
      </c>
      <c r="F34">
        <f t="shared" si="3"/>
        <v>2.129310344827644</v>
      </c>
      <c r="G34">
        <f t="shared" si="4"/>
        <v>212.9310344827644</v>
      </c>
      <c r="H34">
        <f t="shared" si="5"/>
        <v>9.6846287558979543E-3</v>
      </c>
      <c r="I34">
        <f t="shared" si="6"/>
        <v>0.96846287558979538</v>
      </c>
      <c r="K34">
        <f t="shared" si="7"/>
        <v>3.5977011494253475</v>
      </c>
      <c r="N34">
        <f t="shared" si="9"/>
        <v>1.6473250703929122E-2</v>
      </c>
      <c r="O34">
        <f t="shared" si="10"/>
        <v>1.6473250703929121</v>
      </c>
    </row>
    <row r="35" spans="1:21" x14ac:dyDescent="0.25">
      <c r="A35" t="s">
        <v>33</v>
      </c>
      <c r="B35">
        <v>2423.3534482758619</v>
      </c>
      <c r="C35">
        <v>2437.344827586207</v>
      </c>
      <c r="D35">
        <v>2422.0775862068972</v>
      </c>
      <c r="E35">
        <f t="shared" si="2"/>
        <v>2427.5919540229884</v>
      </c>
      <c r="F35">
        <f t="shared" si="3"/>
        <v>25.25574712643629</v>
      </c>
      <c r="G35">
        <f t="shared" si="4"/>
        <v>2525.574712643629</v>
      </c>
      <c r="H35">
        <f t="shared" si="5"/>
        <v>1.0512994415158411E-2</v>
      </c>
      <c r="I35">
        <f t="shared" si="6"/>
        <v>1.051299441515841</v>
      </c>
      <c r="K35">
        <f t="shared" si="7"/>
        <v>19.79885057471256</v>
      </c>
      <c r="N35">
        <f t="shared" si="9"/>
        <v>8.2228205348532681E-3</v>
      </c>
      <c r="O35">
        <f t="shared" si="10"/>
        <v>0.82228205348532679</v>
      </c>
    </row>
    <row r="36" spans="1:21" x14ac:dyDescent="0.25">
      <c r="A36" t="s">
        <v>45</v>
      </c>
      <c r="B36">
        <v>13057.560344827591</v>
      </c>
      <c r="C36">
        <v>12947.78448275862</v>
      </c>
      <c r="D36">
        <v>12960.474137931031</v>
      </c>
      <c r="E36">
        <f t="shared" si="2"/>
        <v>12988.606321839079</v>
      </c>
    </row>
    <row r="38" spans="1:21" x14ac:dyDescent="0.25">
      <c r="A38" t="s">
        <v>55</v>
      </c>
      <c r="B38" t="s">
        <v>56</v>
      </c>
      <c r="C38" t="s">
        <v>59</v>
      </c>
    </row>
    <row r="39" spans="1:21" x14ac:dyDescent="0.25">
      <c r="B39" t="s">
        <v>0</v>
      </c>
      <c r="C39" t="s">
        <v>1</v>
      </c>
      <c r="D39" t="s">
        <v>2</v>
      </c>
      <c r="E39" t="s">
        <v>57</v>
      </c>
      <c r="F39" t="s">
        <v>34</v>
      </c>
      <c r="G39" t="s">
        <v>14</v>
      </c>
      <c r="H39" t="s">
        <v>35</v>
      </c>
      <c r="I39" t="s">
        <v>14</v>
      </c>
      <c r="K39" t="s">
        <v>58</v>
      </c>
      <c r="L39" t="s">
        <v>14</v>
      </c>
      <c r="N39" t="s">
        <v>37</v>
      </c>
      <c r="O39" t="s">
        <v>14</v>
      </c>
      <c r="Q39" t="s">
        <v>53</v>
      </c>
      <c r="R39" t="s">
        <v>14</v>
      </c>
      <c r="T39" t="s">
        <v>37</v>
      </c>
      <c r="U39" t="s">
        <v>14</v>
      </c>
    </row>
    <row r="40" spans="1:21" x14ac:dyDescent="0.25">
      <c r="A40" t="s">
        <v>4</v>
      </c>
      <c r="B40">
        <v>0.73745520382817531</v>
      </c>
      <c r="C40">
        <v>0.74461169948414752</v>
      </c>
      <c r="D40">
        <v>0.7385652513758495</v>
      </c>
      <c r="E40">
        <f>AVERAGE(B40:D40)</f>
        <v>0.74021071822939077</v>
      </c>
      <c r="F40">
        <f>E40-E3</f>
        <v>7.7189866613537994E-2</v>
      </c>
      <c r="G40">
        <f>F40*100</f>
        <v>7.7189866613537994</v>
      </c>
      <c r="H40">
        <f>F40/E3</f>
        <v>0.11642147667817389</v>
      </c>
      <c r="I40">
        <f>H40*100</f>
        <v>11.642147667817389</v>
      </c>
      <c r="K40">
        <f>E40-E21</f>
        <v>-2.7418085252253421E-2</v>
      </c>
      <c r="L40">
        <f>K40*100</f>
        <v>-2.7418085252253421</v>
      </c>
      <c r="N40">
        <f>K40/E21</f>
        <v>-3.5717895326356199E-2</v>
      </c>
      <c r="O40">
        <f>N40*100</f>
        <v>-3.5717895326356199</v>
      </c>
      <c r="Q40">
        <f t="shared" ref="Q40:Q54" si="11">E40-K3</f>
        <v>8.1611487550157236E-3</v>
      </c>
      <c r="R40">
        <f>Q40*100</f>
        <v>0.81611487550157236</v>
      </c>
      <c r="T40">
        <f t="shared" ref="T40:T54" si="12">Q40/K3</f>
        <v>1.1148355378277974E-2</v>
      </c>
      <c r="U40">
        <f>T40*100</f>
        <v>1.1148355378277974</v>
      </c>
    </row>
    <row r="41" spans="1:21" x14ac:dyDescent="0.25">
      <c r="A41" t="s">
        <v>5</v>
      </c>
      <c r="B41">
        <v>0.76327996715927759</v>
      </c>
      <c r="C41">
        <v>0.76522988505747114</v>
      </c>
      <c r="D41">
        <v>0.77169540229885059</v>
      </c>
      <c r="E41">
        <f t="shared" ref="E41:E55" si="13">AVERAGE(B41:D41)</f>
        <v>0.76673508483853314</v>
      </c>
      <c r="F41">
        <f t="shared" ref="F41:F54" si="14">E41-E4</f>
        <v>0.13544061302681998</v>
      </c>
      <c r="G41">
        <f t="shared" ref="G41:G54" si="15">F41*100</f>
        <v>13.544061302681998</v>
      </c>
      <c r="H41">
        <f t="shared" ref="H41:H54" si="16">F41/E4</f>
        <v>0.21454427224449993</v>
      </c>
      <c r="I41">
        <f t="shared" ref="I41:I54" si="17">H41*100</f>
        <v>21.454427224449994</v>
      </c>
      <c r="K41">
        <f t="shared" ref="K41:K54" si="18">E41-E22</f>
        <v>-7.2174329501915713E-2</v>
      </c>
      <c r="L41">
        <f t="shared" ref="L41:L50" si="19">K41*100</f>
        <v>-7.2174329501915713</v>
      </c>
      <c r="N41">
        <f t="shared" ref="N41:N54" si="20">K41/E22</f>
        <v>-8.6033519553072632E-2</v>
      </c>
      <c r="O41">
        <f t="shared" ref="O41:O54" si="21">N41*100</f>
        <v>-8.6033519553072626</v>
      </c>
      <c r="Q41">
        <f t="shared" si="11"/>
        <v>-3.3456486042693023E-2</v>
      </c>
      <c r="R41">
        <f t="shared" ref="R41:R50" si="22">Q41*100</f>
        <v>-3.3456486042693023</v>
      </c>
      <c r="T41">
        <f t="shared" si="12"/>
        <v>-4.1810595437600566E-2</v>
      </c>
      <c r="U41">
        <f t="shared" ref="U41:U54" si="23">T41*100</f>
        <v>-4.1810595437600568</v>
      </c>
    </row>
    <row r="42" spans="1:21" x14ac:dyDescent="0.25">
      <c r="A42" t="s">
        <v>6</v>
      </c>
      <c r="B42">
        <v>0.72266522985235537</v>
      </c>
      <c r="C42">
        <v>0.70678879307098252</v>
      </c>
      <c r="D42">
        <v>0.72523946356658919</v>
      </c>
      <c r="E42">
        <f t="shared" si="13"/>
        <v>0.71823116216330896</v>
      </c>
      <c r="F42">
        <f t="shared" si="14"/>
        <v>8.7763409956859606E-2</v>
      </c>
      <c r="G42">
        <f t="shared" si="15"/>
        <v>8.7763409956859597</v>
      </c>
      <c r="H42">
        <f t="shared" si="16"/>
        <v>0.13920364626059589</v>
      </c>
      <c r="I42">
        <f t="shared" si="17"/>
        <v>13.920364626059589</v>
      </c>
      <c r="K42">
        <f t="shared" si="18"/>
        <v>-9.5506066408124535E-2</v>
      </c>
      <c r="L42">
        <f t="shared" si="19"/>
        <v>-9.5506066408124539</v>
      </c>
      <c r="N42">
        <f t="shared" si="20"/>
        <v>-0.11736720780956697</v>
      </c>
      <c r="O42">
        <f t="shared" si="21"/>
        <v>-11.736720780956697</v>
      </c>
      <c r="Q42">
        <f t="shared" si="11"/>
        <v>-0.1017879948934487</v>
      </c>
      <c r="R42">
        <f t="shared" si="22"/>
        <v>-10.17879948934487</v>
      </c>
      <c r="S42" t="s">
        <v>16</v>
      </c>
      <c r="T42">
        <f t="shared" si="12"/>
        <v>-0.12412880115970686</v>
      </c>
      <c r="U42">
        <f t="shared" si="23"/>
        <v>-12.412880115970685</v>
      </c>
    </row>
    <row r="43" spans="1:21" x14ac:dyDescent="0.25">
      <c r="A43" t="s">
        <v>7</v>
      </c>
      <c r="B43">
        <v>0.78235877899259454</v>
      </c>
      <c r="C43">
        <v>0.78235877899259454</v>
      </c>
      <c r="D43">
        <v>0.78235877899259476</v>
      </c>
      <c r="E43">
        <f t="shared" si="13"/>
        <v>0.78235877899259465</v>
      </c>
      <c r="F43">
        <f t="shared" si="14"/>
        <v>2.2216006319605408E-2</v>
      </c>
      <c r="G43">
        <f t="shared" si="15"/>
        <v>2.2216006319605408</v>
      </c>
      <c r="H43">
        <f t="shared" si="16"/>
        <v>2.9226096883726679E-2</v>
      </c>
      <c r="I43">
        <f t="shared" si="17"/>
        <v>2.9226096883726678</v>
      </c>
      <c r="K43">
        <f t="shared" si="18"/>
        <v>1.201874618105303E-2</v>
      </c>
      <c r="L43">
        <f t="shared" si="19"/>
        <v>1.201874618105303</v>
      </c>
      <c r="N43">
        <f t="shared" si="20"/>
        <v>1.5601871471209564E-2</v>
      </c>
      <c r="O43">
        <f t="shared" si="21"/>
        <v>1.5601871471209565</v>
      </c>
      <c r="Q43">
        <f t="shared" si="11"/>
        <v>3.3841310746121067E-3</v>
      </c>
      <c r="R43">
        <f t="shared" si="22"/>
        <v>0.33841310746121067</v>
      </c>
      <c r="T43">
        <f t="shared" si="12"/>
        <v>4.3443404527440006E-3</v>
      </c>
      <c r="U43">
        <f t="shared" si="23"/>
        <v>0.43443404527440005</v>
      </c>
    </row>
    <row r="44" spans="1:21" x14ac:dyDescent="0.25">
      <c r="A44" t="s">
        <v>8</v>
      </c>
      <c r="B44">
        <v>0.32017835358857871</v>
      </c>
      <c r="C44">
        <v>0.32961473783399581</v>
      </c>
      <c r="D44">
        <v>0.33286277736459546</v>
      </c>
      <c r="E44">
        <f t="shared" si="13"/>
        <v>0.32755195626238998</v>
      </c>
      <c r="F44">
        <f t="shared" si="14"/>
        <v>5.301018988964723E-2</v>
      </c>
      <c r="G44">
        <f t="shared" si="15"/>
        <v>5.3010189889647226</v>
      </c>
      <c r="H44">
        <f t="shared" si="16"/>
        <v>0.19308606697632957</v>
      </c>
      <c r="I44">
        <f t="shared" si="17"/>
        <v>19.308606697632957</v>
      </c>
      <c r="K44">
        <f t="shared" si="18"/>
        <v>-4.3664165853914194E-2</v>
      </c>
      <c r="L44">
        <f t="shared" si="19"/>
        <v>-4.3664165853914199</v>
      </c>
      <c r="N44">
        <f t="shared" si="20"/>
        <v>-0.11762464842578674</v>
      </c>
      <c r="O44">
        <f t="shared" si="21"/>
        <v>-11.762464842578673</v>
      </c>
      <c r="Q44">
        <f t="shared" si="11"/>
        <v>-7.727099196502718E-3</v>
      </c>
      <c r="R44">
        <f t="shared" si="22"/>
        <v>-0.7727099196502718</v>
      </c>
      <c r="T44">
        <f t="shared" si="12"/>
        <v>-2.3046769759974193E-2</v>
      </c>
      <c r="U44">
        <f t="shared" si="23"/>
        <v>-2.3046769759974195</v>
      </c>
    </row>
    <row r="45" spans="1:21" x14ac:dyDescent="0.25">
      <c r="A45" t="s">
        <v>9</v>
      </c>
      <c r="B45">
        <v>0.67979355968595312</v>
      </c>
      <c r="C45">
        <v>0.68091892819859112</v>
      </c>
      <c r="D45">
        <v>0.68116646643667378</v>
      </c>
      <c r="E45">
        <f t="shared" si="13"/>
        <v>0.68062631810707275</v>
      </c>
      <c r="F45">
        <f t="shared" si="14"/>
        <v>7.2245895412616834E-2</v>
      </c>
      <c r="G45">
        <f t="shared" si="15"/>
        <v>7.2245895412616834</v>
      </c>
      <c r="H45">
        <f t="shared" si="16"/>
        <v>0.11875118382778822</v>
      </c>
      <c r="I45">
        <f t="shared" si="17"/>
        <v>11.875118382778822</v>
      </c>
      <c r="K45">
        <f t="shared" si="18"/>
        <v>5.56252228827947E-3</v>
      </c>
      <c r="L45">
        <f t="shared" si="19"/>
        <v>0.556252228827947</v>
      </c>
      <c r="N45">
        <f t="shared" si="20"/>
        <v>8.2399949793376462E-3</v>
      </c>
      <c r="O45">
        <f t="shared" si="21"/>
        <v>0.82399949793376459</v>
      </c>
      <c r="Q45">
        <f t="shared" si="11"/>
        <v>6.9656469219896211E-2</v>
      </c>
      <c r="R45">
        <f t="shared" si="22"/>
        <v>6.9656469219896211</v>
      </c>
      <c r="S45" t="s">
        <v>17</v>
      </c>
      <c r="T45">
        <f t="shared" si="12"/>
        <v>0.11400966732935977</v>
      </c>
      <c r="U45">
        <f t="shared" si="23"/>
        <v>11.400966732935977</v>
      </c>
    </row>
    <row r="46" spans="1:21" x14ac:dyDescent="0.25">
      <c r="A46" t="s">
        <v>21</v>
      </c>
      <c r="B46">
        <v>0.28677049279212952</v>
      </c>
      <c r="C46">
        <v>0.28677049279212952</v>
      </c>
      <c r="D46">
        <v>0.28677049279212952</v>
      </c>
      <c r="E46">
        <f t="shared" si="13"/>
        <v>0.28677049279212952</v>
      </c>
      <c r="F46">
        <f t="shared" si="14"/>
        <v>4.414033889770505E-2</v>
      </c>
      <c r="G46">
        <f t="shared" si="15"/>
        <v>4.4140338897705051</v>
      </c>
      <c r="H46">
        <f t="shared" si="16"/>
        <v>0.18192437415224083</v>
      </c>
      <c r="I46">
        <f t="shared" si="17"/>
        <v>18.192437415224084</v>
      </c>
      <c r="K46">
        <f t="shared" si="18"/>
        <v>1.4057367531604081E-2</v>
      </c>
      <c r="L46">
        <f t="shared" si="19"/>
        <v>1.4057367531604081</v>
      </c>
      <c r="N46">
        <f t="shared" si="20"/>
        <v>5.1546354867133527E-2</v>
      </c>
      <c r="O46">
        <f t="shared" si="21"/>
        <v>5.154635486713353</v>
      </c>
      <c r="Q46">
        <f t="shared" si="11"/>
        <v>1.7413030068079649E-2</v>
      </c>
      <c r="R46">
        <f t="shared" si="22"/>
        <v>1.7413030068079649</v>
      </c>
      <c r="S46" t="s">
        <v>17</v>
      </c>
      <c r="T46">
        <f t="shared" si="12"/>
        <v>6.4646547721303987E-2</v>
      </c>
      <c r="U46">
        <f t="shared" si="23"/>
        <v>6.4646547721303991</v>
      </c>
    </row>
    <row r="47" spans="1:21" x14ac:dyDescent="0.25">
      <c r="A47" t="s">
        <v>22</v>
      </c>
      <c r="B47">
        <v>0.23999802768230441</v>
      </c>
      <c r="C47">
        <v>0.23999802768230441</v>
      </c>
      <c r="D47">
        <v>0.23999802768230441</v>
      </c>
      <c r="E47">
        <f t="shared" si="13"/>
        <v>0.23999802768230441</v>
      </c>
      <c r="F47">
        <f t="shared" si="14"/>
        <v>4.6261414885520991E-2</v>
      </c>
      <c r="G47">
        <f t="shared" si="15"/>
        <v>4.6261414885520988</v>
      </c>
      <c r="H47">
        <f t="shared" si="16"/>
        <v>0.23878509187133401</v>
      </c>
      <c r="I47">
        <f t="shared" si="17"/>
        <v>23.8785091871334</v>
      </c>
      <c r="K47">
        <f t="shared" si="18"/>
        <v>2.0740071728413439E-2</v>
      </c>
      <c r="L47">
        <f t="shared" si="19"/>
        <v>2.0740071728413438</v>
      </c>
      <c r="N47">
        <f t="shared" si="20"/>
        <v>9.4592105623638081E-2</v>
      </c>
      <c r="O47">
        <f t="shared" si="21"/>
        <v>9.4592105623638076</v>
      </c>
      <c r="Q47">
        <f t="shared" si="11"/>
        <v>1.824552814165753E-2</v>
      </c>
      <c r="R47">
        <f t="shared" si="22"/>
        <v>1.824552814165753</v>
      </c>
      <c r="S47" t="s">
        <v>17</v>
      </c>
      <c r="T47">
        <f t="shared" si="12"/>
        <v>8.2278793607524381E-2</v>
      </c>
      <c r="U47">
        <f t="shared" si="23"/>
        <v>8.2278793607524374</v>
      </c>
    </row>
    <row r="48" spans="1:21" x14ac:dyDescent="0.25">
      <c r="A48" t="s">
        <v>23</v>
      </c>
      <c r="B48">
        <v>0.33447659015655518</v>
      </c>
      <c r="C48">
        <v>0.33447659015655518</v>
      </c>
      <c r="D48">
        <v>0.33447659015655518</v>
      </c>
      <c r="E48">
        <f t="shared" si="13"/>
        <v>0.33447659015655518</v>
      </c>
      <c r="F48">
        <f t="shared" si="14"/>
        <v>4.1975677013397217E-2</v>
      </c>
      <c r="G48">
        <f t="shared" si="15"/>
        <v>4.1975677013397217</v>
      </c>
      <c r="H48">
        <f t="shared" si="16"/>
        <v>0.1435061400743497</v>
      </c>
      <c r="I48">
        <f t="shared" si="17"/>
        <v>14.35061400743497</v>
      </c>
      <c r="K48">
        <f t="shared" si="18"/>
        <v>6.6841245125765503E-3</v>
      </c>
      <c r="L48">
        <f t="shared" si="19"/>
        <v>0.66841245125765503</v>
      </c>
      <c r="N48">
        <f t="shared" si="20"/>
        <v>2.0391330531179138E-2</v>
      </c>
      <c r="O48">
        <f t="shared" si="21"/>
        <v>2.0391330531179137</v>
      </c>
      <c r="Q48">
        <f t="shared" si="11"/>
        <v>1.7084439595540346E-2</v>
      </c>
      <c r="R48">
        <f t="shared" si="22"/>
        <v>1.7084439595540346</v>
      </c>
      <c r="S48" t="s">
        <v>17</v>
      </c>
      <c r="T48">
        <f t="shared" si="12"/>
        <v>5.3827542884542973E-2</v>
      </c>
      <c r="U48">
        <f t="shared" si="23"/>
        <v>5.3827542884542972</v>
      </c>
    </row>
    <row r="49" spans="1:21" x14ac:dyDescent="0.25">
      <c r="A49" t="s">
        <v>10</v>
      </c>
      <c r="B49">
        <v>0.4653735632183908</v>
      </c>
      <c r="C49">
        <v>0.4653735632183908</v>
      </c>
      <c r="D49">
        <v>0.4653735632183908</v>
      </c>
      <c r="E49">
        <f t="shared" si="13"/>
        <v>0.4653735632183908</v>
      </c>
      <c r="F49">
        <f t="shared" si="14"/>
        <v>0.11340996168582373</v>
      </c>
      <c r="G49">
        <f t="shared" si="15"/>
        <v>11.340996168582373</v>
      </c>
      <c r="H49">
        <f t="shared" si="16"/>
        <v>0.32222071030072114</v>
      </c>
      <c r="I49">
        <f t="shared" si="17"/>
        <v>32.222071030072115</v>
      </c>
      <c r="K49">
        <f t="shared" si="18"/>
        <v>-8.4195402298850641E-2</v>
      </c>
      <c r="L49">
        <f t="shared" si="19"/>
        <v>-8.4195402298850635</v>
      </c>
      <c r="N49">
        <f t="shared" si="20"/>
        <v>-0.15320261437908508</v>
      </c>
      <c r="O49">
        <f t="shared" si="21"/>
        <v>-15.320261437908508</v>
      </c>
      <c r="Q49">
        <f t="shared" si="11"/>
        <v>-3.7404214559386972E-2</v>
      </c>
      <c r="R49">
        <f t="shared" si="22"/>
        <v>-3.740421455938697</v>
      </c>
      <c r="T49">
        <f t="shared" si="12"/>
        <v>-7.439512288054867E-2</v>
      </c>
      <c r="U49">
        <f t="shared" si="23"/>
        <v>-7.4395122880548668</v>
      </c>
    </row>
    <row r="50" spans="1:21" x14ac:dyDescent="0.25">
      <c r="A50" t="s">
        <v>11</v>
      </c>
      <c r="B50">
        <v>0.62931034482758619</v>
      </c>
      <c r="C50">
        <v>0.62931034482758619</v>
      </c>
      <c r="D50">
        <v>0.62931034482758619</v>
      </c>
      <c r="E50">
        <f t="shared" si="13"/>
        <v>0.62931034482758619</v>
      </c>
      <c r="F50">
        <f t="shared" si="14"/>
        <v>0.11206896551724133</v>
      </c>
      <c r="G50">
        <f t="shared" si="15"/>
        <v>11.206896551724132</v>
      </c>
      <c r="H50">
        <f t="shared" si="16"/>
        <v>0.21666666666666654</v>
      </c>
      <c r="I50">
        <f t="shared" si="17"/>
        <v>21.666666666666654</v>
      </c>
      <c r="K50">
        <f t="shared" si="18"/>
        <v>-7.4712643678160884E-2</v>
      </c>
      <c r="L50">
        <f t="shared" si="19"/>
        <v>-7.4712643678160884</v>
      </c>
      <c r="N50">
        <f t="shared" si="20"/>
        <v>-0.10612244897959179</v>
      </c>
      <c r="O50">
        <f t="shared" si="21"/>
        <v>-10.612244897959179</v>
      </c>
      <c r="Q50">
        <f t="shared" si="11"/>
        <v>-2.5862068965517238E-2</v>
      </c>
      <c r="R50">
        <f t="shared" si="22"/>
        <v>-2.5862068965517238</v>
      </c>
      <c r="T50">
        <f t="shared" si="12"/>
        <v>-3.9473684210526314E-2</v>
      </c>
      <c r="U50">
        <f t="shared" si="23"/>
        <v>-3.9473684210526314</v>
      </c>
    </row>
    <row r="51" spans="1:21" x14ac:dyDescent="0.25">
      <c r="A51" t="s">
        <v>12</v>
      </c>
      <c r="B51">
        <v>13.829238024251209</v>
      </c>
      <c r="C51">
        <v>13.240400398599689</v>
      </c>
      <c r="D51">
        <v>13.17877932458088</v>
      </c>
      <c r="E51">
        <f t="shared" si="13"/>
        <v>13.416139249143926</v>
      </c>
      <c r="F51">
        <f t="shared" si="14"/>
        <v>0.50390794838981634</v>
      </c>
      <c r="G51">
        <f t="shared" si="15"/>
        <v>50.390794838981634</v>
      </c>
      <c r="H51">
        <f t="shared" si="16"/>
        <v>3.9025629006536361E-2</v>
      </c>
      <c r="I51">
        <f t="shared" si="17"/>
        <v>3.9025629006536362</v>
      </c>
      <c r="K51">
        <f t="shared" si="18"/>
        <v>-0.14382008300430371</v>
      </c>
      <c r="N51">
        <f t="shared" si="20"/>
        <v>-1.0606232620722697E-2</v>
      </c>
      <c r="O51">
        <f t="shared" si="21"/>
        <v>-1.0606232620722698</v>
      </c>
      <c r="Q51">
        <f t="shared" si="11"/>
        <v>0.68037395573210269</v>
      </c>
      <c r="T51">
        <f t="shared" si="12"/>
        <v>5.3422306399133965E-2</v>
      </c>
      <c r="U51">
        <f t="shared" si="23"/>
        <v>5.3422306399133968</v>
      </c>
    </row>
    <row r="52" spans="1:21" x14ac:dyDescent="0.25">
      <c r="A52" t="s">
        <v>31</v>
      </c>
      <c r="B52">
        <v>2185.9396551724139</v>
      </c>
      <c r="C52">
        <v>2154.629310344827</v>
      </c>
      <c r="D52">
        <v>2172.53448275862</v>
      </c>
      <c r="E52">
        <f t="shared" si="13"/>
        <v>2171.03448275862</v>
      </c>
      <c r="F52">
        <f t="shared" si="14"/>
        <v>-11.43678160919626</v>
      </c>
      <c r="G52">
        <f t="shared" si="15"/>
        <v>-1143.678160919626</v>
      </c>
      <c r="H52">
        <f t="shared" si="16"/>
        <v>-5.2402896642531902E-3</v>
      </c>
      <c r="I52">
        <f t="shared" si="17"/>
        <v>-0.52402896642531904</v>
      </c>
      <c r="K52">
        <f t="shared" si="18"/>
        <v>-34.563218390805105</v>
      </c>
      <c r="N52">
        <f t="shared" si="20"/>
        <v>-1.5670681182154311E-2</v>
      </c>
      <c r="O52">
        <f t="shared" si="21"/>
        <v>-1.5670681182154311</v>
      </c>
      <c r="Q52">
        <f t="shared" si="11"/>
        <v>-18.362068965517665</v>
      </c>
      <c r="T52">
        <f t="shared" si="12"/>
        <v>-8.3868173406309778E-3</v>
      </c>
      <c r="U52">
        <f t="shared" si="23"/>
        <v>-0.83868173406309776</v>
      </c>
    </row>
    <row r="53" spans="1:21" x14ac:dyDescent="0.25">
      <c r="A53" t="s">
        <v>32</v>
      </c>
      <c r="B53">
        <v>214.4568965517241</v>
      </c>
      <c r="C53">
        <v>211.55172413793099</v>
      </c>
      <c r="D53">
        <v>214.66379310344831</v>
      </c>
      <c r="E53">
        <f t="shared" si="13"/>
        <v>213.55747126436782</v>
      </c>
      <c r="F53">
        <f t="shared" si="14"/>
        <v>-6.3074712643677913</v>
      </c>
      <c r="G53">
        <f t="shared" si="15"/>
        <v>-630.74712643677913</v>
      </c>
      <c r="H53">
        <f t="shared" si="16"/>
        <v>-2.8687935383529487E-2</v>
      </c>
      <c r="I53">
        <f t="shared" si="17"/>
        <v>-2.8687935383529486</v>
      </c>
      <c r="K53">
        <f t="shared" si="18"/>
        <v>-8.4367816091954353</v>
      </c>
      <c r="N53">
        <f t="shared" si="20"/>
        <v>-3.8004504621120087E-2</v>
      </c>
      <c r="O53">
        <f t="shared" si="21"/>
        <v>-3.8004504621120088</v>
      </c>
      <c r="Q53">
        <f t="shared" si="11"/>
        <v>-4.8390804597700878</v>
      </c>
      <c r="T53">
        <f t="shared" si="12"/>
        <v>-2.2157311649693309E-2</v>
      </c>
      <c r="U53">
        <f t="shared" si="23"/>
        <v>-2.215731164969331</v>
      </c>
    </row>
    <row r="54" spans="1:21" x14ac:dyDescent="0.25">
      <c r="A54" t="s">
        <v>33</v>
      </c>
      <c r="B54">
        <v>2400.3965517241381</v>
      </c>
      <c r="C54">
        <v>2366.1810344827591</v>
      </c>
      <c r="D54">
        <v>2387.1982758620688</v>
      </c>
      <c r="E54">
        <f t="shared" si="13"/>
        <v>2384.5919540229884</v>
      </c>
      <c r="F54">
        <f t="shared" si="14"/>
        <v>-17.74425287356371</v>
      </c>
      <c r="G54">
        <f t="shared" si="15"/>
        <v>-1774.425287356371</v>
      </c>
      <c r="H54">
        <f t="shared" si="16"/>
        <v>-7.3862487784282903E-3</v>
      </c>
      <c r="I54">
        <f t="shared" si="17"/>
        <v>-0.73862487784282904</v>
      </c>
      <c r="K54">
        <f t="shared" si="18"/>
        <v>-43</v>
      </c>
      <c r="N54">
        <f t="shared" si="20"/>
        <v>-1.7713026247570436E-2</v>
      </c>
      <c r="O54">
        <f t="shared" si="21"/>
        <v>-1.7713026247570436</v>
      </c>
      <c r="Q54">
        <f t="shared" si="11"/>
        <v>-23.20114942528744</v>
      </c>
      <c r="T54">
        <f t="shared" si="12"/>
        <v>-9.6358567486800866E-3</v>
      </c>
      <c r="U54">
        <f t="shared" si="23"/>
        <v>-0.96358567486800861</v>
      </c>
    </row>
    <row r="55" spans="1:21" x14ac:dyDescent="0.25">
      <c r="A55" t="s">
        <v>45</v>
      </c>
      <c r="B55">
        <v>11011.8275862069</v>
      </c>
      <c r="C55">
        <v>10804.71551724138</v>
      </c>
      <c r="D55">
        <v>11011.8275862069</v>
      </c>
      <c r="E55">
        <f t="shared" si="13"/>
        <v>10942.79022988506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6A0-67B0-420F-B472-231F769BBEC3}">
  <dimension ref="A1:G40"/>
  <sheetViews>
    <sheetView workbookViewId="0">
      <selection activeCell="J29" sqref="J29"/>
    </sheetView>
  </sheetViews>
  <sheetFormatPr baseColWidth="10" defaultRowHeight="15" x14ac:dyDescent="0.25"/>
  <sheetData>
    <row r="1" spans="1:5" x14ac:dyDescent="0.25">
      <c r="A1" t="s">
        <v>19</v>
      </c>
    </row>
    <row r="2" spans="1:5" x14ac:dyDescent="0.25">
      <c r="A2">
        <v>1500</v>
      </c>
      <c r="B2">
        <v>300</v>
      </c>
      <c r="C2">
        <v>400</v>
      </c>
      <c r="D2">
        <v>5</v>
      </c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4</v>
      </c>
      <c r="B4">
        <v>0.63351272621184107</v>
      </c>
      <c r="C4">
        <v>0.62602869107293879</v>
      </c>
      <c r="D4">
        <v>0.63562295404400659</v>
      </c>
      <c r="E4">
        <f t="shared" ref="E4:E12" si="0">AVERAGE(B4:D4)</f>
        <v>0.63172145710959549</v>
      </c>
    </row>
    <row r="5" spans="1:5" x14ac:dyDescent="0.25">
      <c r="A5" t="s">
        <v>5</v>
      </c>
      <c r="B5">
        <v>0.63060344827586212</v>
      </c>
      <c r="C5">
        <v>0.62227011494252882</v>
      </c>
      <c r="D5">
        <v>0.63376436781609191</v>
      </c>
      <c r="E5">
        <f t="shared" si="0"/>
        <v>0.62887931034482758</v>
      </c>
    </row>
    <row r="6" spans="1:5" x14ac:dyDescent="0.25">
      <c r="A6" t="s">
        <v>6</v>
      </c>
      <c r="B6">
        <v>0.70974637678520747</v>
      </c>
      <c r="C6">
        <v>0.72195652171092872</v>
      </c>
      <c r="D6">
        <v>0.7130268198961851</v>
      </c>
      <c r="E6">
        <f t="shared" si="0"/>
        <v>0.71490990613077388</v>
      </c>
    </row>
    <row r="7" spans="1:5" x14ac:dyDescent="0.25">
      <c r="A7" t="s">
        <v>7</v>
      </c>
      <c r="B7">
        <v>0.76006157871638313</v>
      </c>
      <c r="C7">
        <v>0.76006157871638313</v>
      </c>
      <c r="D7">
        <v>0.76006157871638313</v>
      </c>
      <c r="E7">
        <f t="shared" si="0"/>
        <v>0.76006157871638313</v>
      </c>
    </row>
    <row r="8" spans="1:5" x14ac:dyDescent="0.25">
      <c r="A8" t="s">
        <v>8</v>
      </c>
      <c r="B8">
        <v>0.14863753589118131</v>
      </c>
      <c r="C8">
        <v>0.14382413673605429</v>
      </c>
      <c r="D8">
        <v>0.15017526964578171</v>
      </c>
      <c r="E8">
        <f t="shared" si="0"/>
        <v>0.14754564742433909</v>
      </c>
    </row>
    <row r="9" spans="1:5" x14ac:dyDescent="0.25">
      <c r="A9" t="s">
        <v>9</v>
      </c>
      <c r="B9">
        <v>0.5552812872194981</v>
      </c>
      <c r="C9">
        <v>0.55531351804635143</v>
      </c>
      <c r="D9">
        <v>0.55530281878956966</v>
      </c>
      <c r="E9">
        <f t="shared" si="0"/>
        <v>0.55529920801847299</v>
      </c>
    </row>
    <row r="10" spans="1:5" x14ac:dyDescent="0.25">
      <c r="A10" t="s">
        <v>10</v>
      </c>
      <c r="B10">
        <v>0.36206896551724138</v>
      </c>
      <c r="C10">
        <v>0.35344827586206901</v>
      </c>
      <c r="D10">
        <v>0.35344827586206901</v>
      </c>
      <c r="E10">
        <f t="shared" si="0"/>
        <v>0.35632183908045983</v>
      </c>
    </row>
    <row r="11" spans="1:5" x14ac:dyDescent="0.25">
      <c r="A11" t="s">
        <v>11</v>
      </c>
      <c r="B11">
        <v>0.50862068965517238</v>
      </c>
      <c r="C11">
        <v>0.5</v>
      </c>
      <c r="D11">
        <v>0.5</v>
      </c>
      <c r="E11">
        <f t="shared" si="0"/>
        <v>0.50287356321839083</v>
      </c>
    </row>
    <row r="12" spans="1:5" x14ac:dyDescent="0.25">
      <c r="A12" t="s">
        <v>12</v>
      </c>
      <c r="B12">
        <v>11.19616421337785</v>
      </c>
      <c r="C12" s="1">
        <v>11.108016953386111</v>
      </c>
      <c r="D12">
        <v>10.89680967659786</v>
      </c>
      <c r="E12">
        <f t="shared" si="0"/>
        <v>11.066996947787274</v>
      </c>
    </row>
    <row r="15" spans="1:5" x14ac:dyDescent="0.25">
      <c r="A15" t="s">
        <v>19</v>
      </c>
    </row>
    <row r="16" spans="1:5" x14ac:dyDescent="0.25">
      <c r="A16">
        <v>1500</v>
      </c>
      <c r="B16">
        <v>300</v>
      </c>
      <c r="C16">
        <v>500</v>
      </c>
      <c r="D16">
        <v>5</v>
      </c>
    </row>
    <row r="17" spans="1:7" x14ac:dyDescent="0.25">
      <c r="B17" t="s">
        <v>0</v>
      </c>
      <c r="C17" t="s">
        <v>1</v>
      </c>
      <c r="D17" t="s">
        <v>2</v>
      </c>
      <c r="E17" t="s">
        <v>3</v>
      </c>
      <c r="F17" t="s">
        <v>20</v>
      </c>
      <c r="G17" t="s">
        <v>14</v>
      </c>
    </row>
    <row r="18" spans="1:7" x14ac:dyDescent="0.25">
      <c r="A18" t="s">
        <v>4</v>
      </c>
      <c r="B18" s="4">
        <v>0.59221648557931739</v>
      </c>
      <c r="C18">
        <v>0.59493776204302518</v>
      </c>
      <c r="D18">
        <v>0.61003051529367314</v>
      </c>
      <c r="E18">
        <f t="shared" ref="E18:E26" si="1">AVERAGE(B18:D18)</f>
        <v>0.5990615876386719</v>
      </c>
      <c r="F18">
        <f>E18-E$4</f>
        <v>-3.2659869470923586E-2</v>
      </c>
      <c r="G18">
        <f>F18*100</f>
        <v>-3.2659869470923586</v>
      </c>
    </row>
    <row r="19" spans="1:7" x14ac:dyDescent="0.25">
      <c r="A19" t="s">
        <v>5</v>
      </c>
      <c r="B19" s="4">
        <v>0.61408045977011494</v>
      </c>
      <c r="C19">
        <v>0.64928160919540223</v>
      </c>
      <c r="D19">
        <v>0.64382183908045965</v>
      </c>
      <c r="E19">
        <f t="shared" si="1"/>
        <v>0.63572796934865894</v>
      </c>
      <c r="F19">
        <f>E19-E$5</f>
        <v>6.8486590038313588E-3</v>
      </c>
      <c r="G19">
        <f t="shared" ref="G19:G25" si="2">F19*100</f>
        <v>0.68486590038313588</v>
      </c>
    </row>
    <row r="20" spans="1:7" x14ac:dyDescent="0.25">
      <c r="A20" t="s">
        <v>6</v>
      </c>
      <c r="B20" s="4">
        <v>0.70400966180911884</v>
      </c>
      <c r="C20">
        <v>0.71094348656380024</v>
      </c>
      <c r="D20">
        <v>0.70604645591214499</v>
      </c>
      <c r="E20">
        <f t="shared" si="1"/>
        <v>0.70699986809502136</v>
      </c>
      <c r="F20">
        <f>E20-E$6</f>
        <v>-7.9100380357525202E-3</v>
      </c>
      <c r="G20">
        <f t="shared" si="2"/>
        <v>-0.79100380357525202</v>
      </c>
    </row>
    <row r="21" spans="1:7" x14ac:dyDescent="0.25">
      <c r="A21" t="s">
        <v>7</v>
      </c>
      <c r="B21" s="4">
        <v>0.7560400178544624</v>
      </c>
      <c r="C21">
        <v>0.7560400178544624</v>
      </c>
      <c r="D21">
        <v>0.7560400178544624</v>
      </c>
      <c r="E21">
        <f t="shared" si="1"/>
        <v>0.7560400178544624</v>
      </c>
      <c r="F21">
        <f>E21-E$7</f>
        <v>-4.0215608619207366E-3</v>
      </c>
      <c r="G21">
        <f t="shared" si="2"/>
        <v>-0.40215608619207366</v>
      </c>
    </row>
    <row r="22" spans="1:7" x14ac:dyDescent="0.25">
      <c r="A22" t="s">
        <v>8</v>
      </c>
      <c r="B22" s="4">
        <v>0.13995621720847409</v>
      </c>
      <c r="C22">
        <v>0.1411203399061548</v>
      </c>
      <c r="D22">
        <v>0.1494549052335897</v>
      </c>
      <c r="E22">
        <f t="shared" si="1"/>
        <v>0.1435104874494062</v>
      </c>
      <c r="F22">
        <f>E22-E$8</f>
        <v>-4.0351599749328948E-3</v>
      </c>
      <c r="G22">
        <f t="shared" si="2"/>
        <v>-0.40351599749328948</v>
      </c>
    </row>
    <row r="23" spans="1:7" x14ac:dyDescent="0.25">
      <c r="A23" t="s">
        <v>9</v>
      </c>
      <c r="B23" s="4">
        <v>0.55506857152178457</v>
      </c>
      <c r="C23">
        <v>0.55503634069493146</v>
      </c>
      <c r="D23">
        <v>0.55506857152178457</v>
      </c>
      <c r="E23">
        <f t="shared" si="1"/>
        <v>0.55505782791283353</v>
      </c>
      <c r="F23">
        <f>E23-E$9</f>
        <v>-2.4138010563945489E-4</v>
      </c>
      <c r="G23">
        <f t="shared" si="2"/>
        <v>-2.4138010563945489E-2</v>
      </c>
    </row>
    <row r="24" spans="1:7" x14ac:dyDescent="0.25">
      <c r="A24" t="s">
        <v>10</v>
      </c>
      <c r="B24" s="4">
        <v>0.31867816091954032</v>
      </c>
      <c r="C24">
        <v>0.33160919540229888</v>
      </c>
      <c r="D24">
        <v>0.3445402298850575</v>
      </c>
      <c r="E24">
        <f t="shared" si="1"/>
        <v>0.33160919540229888</v>
      </c>
      <c r="F24">
        <f>E24-E$10</f>
        <v>-2.471264367816095E-2</v>
      </c>
      <c r="G24">
        <f t="shared" si="2"/>
        <v>-2.471264367816095</v>
      </c>
    </row>
    <row r="25" spans="1:7" x14ac:dyDescent="0.25">
      <c r="A25" t="s">
        <v>11</v>
      </c>
      <c r="B25" s="4">
        <v>0.45689655172413801</v>
      </c>
      <c r="C25">
        <v>0.46551724137931028</v>
      </c>
      <c r="D25">
        <v>0.48275862068965519</v>
      </c>
      <c r="E25">
        <f t="shared" si="1"/>
        <v>0.46839080459770116</v>
      </c>
      <c r="F25">
        <f>E25-E$11</f>
        <v>-3.4482758620689669E-2</v>
      </c>
      <c r="G25">
        <f t="shared" si="2"/>
        <v>-3.4482758620689671</v>
      </c>
    </row>
    <row r="26" spans="1:7" x14ac:dyDescent="0.25">
      <c r="A26" t="s">
        <v>12</v>
      </c>
      <c r="B26" s="4">
        <v>11.706257104873661</v>
      </c>
      <c r="C26" s="1">
        <v>10.99899522189436</v>
      </c>
      <c r="D26">
        <v>11.138804086323439</v>
      </c>
      <c r="E26">
        <f t="shared" si="1"/>
        <v>11.281352137697153</v>
      </c>
      <c r="F26">
        <f>E26-E$12</f>
        <v>0.21435518990987923</v>
      </c>
    </row>
    <row r="29" spans="1:7" x14ac:dyDescent="0.25">
      <c r="A29" t="s">
        <v>19</v>
      </c>
    </row>
    <row r="30" spans="1:7" x14ac:dyDescent="0.25">
      <c r="A30">
        <v>1500</v>
      </c>
      <c r="B30">
        <v>300</v>
      </c>
      <c r="C30">
        <v>600</v>
      </c>
      <c r="D30">
        <v>5</v>
      </c>
    </row>
    <row r="31" spans="1:7" x14ac:dyDescent="0.25"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t="s">
        <v>14</v>
      </c>
    </row>
    <row r="32" spans="1:7" x14ac:dyDescent="0.25">
      <c r="A32" t="s">
        <v>4</v>
      </c>
      <c r="B32">
        <v>0.58637347500983861</v>
      </c>
      <c r="C32" s="4">
        <v>0.58366840866840863</v>
      </c>
      <c r="D32">
        <v>0.58937131050767411</v>
      </c>
      <c r="E32">
        <f t="shared" ref="E32:E40" si="3">AVERAGE(C32:D32)</f>
        <v>0.58651985958804143</v>
      </c>
      <c r="F32">
        <f>E32-E$4</f>
        <v>-4.520159752155406E-2</v>
      </c>
      <c r="G32">
        <f>F32*100</f>
        <v>-4.520159752155406</v>
      </c>
    </row>
    <row r="33" spans="1:7" x14ac:dyDescent="0.25">
      <c r="A33" t="s">
        <v>5</v>
      </c>
      <c r="B33">
        <v>0.62635467980295567</v>
      </c>
      <c r="C33" s="4">
        <v>0.62943349753694577</v>
      </c>
      <c r="D33">
        <v>0.61988916256157633</v>
      </c>
      <c r="E33">
        <f t="shared" si="3"/>
        <v>0.62466133004926105</v>
      </c>
      <c r="F33">
        <f>E33-E$5</f>
        <v>-4.2179802955665258E-3</v>
      </c>
      <c r="G33">
        <f t="shared" ref="G33:G39" si="4">F33*100</f>
        <v>-0.42179802955665258</v>
      </c>
    </row>
    <row r="34" spans="1:7" x14ac:dyDescent="0.25">
      <c r="A34" t="s">
        <v>6</v>
      </c>
      <c r="B34">
        <v>0.70331384013056886</v>
      </c>
      <c r="C34" s="4">
        <v>0.71747584538549414</v>
      </c>
      <c r="D34">
        <v>0.70080409354121465</v>
      </c>
      <c r="E34">
        <f t="shared" si="3"/>
        <v>0.70913996946335445</v>
      </c>
      <c r="F34">
        <f>E34-E$6</f>
        <v>-5.7699366674194286E-3</v>
      </c>
      <c r="G34">
        <f t="shared" si="4"/>
        <v>-0.57699366674194286</v>
      </c>
    </row>
    <row r="35" spans="1:7" x14ac:dyDescent="0.25">
      <c r="A35" t="s">
        <v>7</v>
      </c>
      <c r="B35">
        <v>0.76039935416643756</v>
      </c>
      <c r="C35" s="4">
        <v>0.76039935416643756</v>
      </c>
      <c r="D35">
        <v>0.76039935416643756</v>
      </c>
      <c r="E35">
        <f t="shared" si="3"/>
        <v>0.76039935416643756</v>
      </c>
      <c r="F35">
        <f>E35-E$7</f>
        <v>3.3777545005442278E-4</v>
      </c>
      <c r="G35">
        <f t="shared" si="4"/>
        <v>3.3777545005442278E-2</v>
      </c>
    </row>
    <row r="36" spans="1:7" x14ac:dyDescent="0.25">
      <c r="A36" t="s">
        <v>8</v>
      </c>
      <c r="B36">
        <v>0.123175505660665</v>
      </c>
      <c r="C36" s="4">
        <v>0.13378200496323939</v>
      </c>
      <c r="D36">
        <v>0.1391438137885227</v>
      </c>
      <c r="E36">
        <f t="shared" si="3"/>
        <v>0.13646290937588104</v>
      </c>
      <c r="F36">
        <f>E36-E$8</f>
        <v>-1.1082738048458052E-2</v>
      </c>
      <c r="G36">
        <f t="shared" si="4"/>
        <v>-1.1082738048458052</v>
      </c>
    </row>
    <row r="37" spans="1:7" x14ac:dyDescent="0.25">
      <c r="A37" t="s">
        <v>9</v>
      </c>
      <c r="B37">
        <v>0.55192605413259055</v>
      </c>
      <c r="C37" s="4">
        <v>0.55189382330573733</v>
      </c>
      <c r="D37">
        <v>0.551859992206436</v>
      </c>
      <c r="E37">
        <f t="shared" si="3"/>
        <v>0.55187690775608667</v>
      </c>
      <c r="F37">
        <f>E37-E$9</f>
        <v>-3.4223002623863241E-3</v>
      </c>
      <c r="G37">
        <f t="shared" si="4"/>
        <v>-0.34223002623863241</v>
      </c>
    </row>
    <row r="38" spans="1:7" x14ac:dyDescent="0.25">
      <c r="A38" t="s">
        <v>10</v>
      </c>
      <c r="B38">
        <v>0.31264367816091948</v>
      </c>
      <c r="C38" s="4">
        <v>0.31264367816091948</v>
      </c>
      <c r="D38">
        <v>0.32557471264367821</v>
      </c>
      <c r="E38">
        <f t="shared" si="3"/>
        <v>0.31910919540229887</v>
      </c>
      <c r="F38">
        <f>E38-E$10</f>
        <v>-3.7212643678160962E-2</v>
      </c>
      <c r="G38">
        <f t="shared" si="4"/>
        <v>-3.7212643678160964</v>
      </c>
    </row>
    <row r="39" spans="1:7" x14ac:dyDescent="0.25">
      <c r="A39" t="s">
        <v>11</v>
      </c>
      <c r="B39">
        <v>0.43965517241379309</v>
      </c>
      <c r="C39" s="4">
        <v>0.43965517241379309</v>
      </c>
      <c r="D39">
        <v>0.45689655172413801</v>
      </c>
      <c r="E39">
        <f t="shared" si="3"/>
        <v>0.44827586206896552</v>
      </c>
      <c r="F39">
        <f>E39-E$11</f>
        <v>-5.4597701149425304E-2</v>
      </c>
      <c r="G39">
        <f t="shared" si="4"/>
        <v>-5.4597701149425308</v>
      </c>
    </row>
    <row r="40" spans="1:7" x14ac:dyDescent="0.25">
      <c r="A40" t="s">
        <v>12</v>
      </c>
      <c r="B40">
        <v>11.802332791788819</v>
      </c>
      <c r="C40" s="4">
        <v>11.505953823697981</v>
      </c>
      <c r="D40">
        <v>10.9318431841916</v>
      </c>
      <c r="E40">
        <f t="shared" si="3"/>
        <v>11.218898503944789</v>
      </c>
      <c r="F40">
        <f>E40-E$12</f>
        <v>0.15190155615751522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naive max_size</vt:lpstr>
      <vt:lpstr>gpt_naive max_size</vt:lpstr>
      <vt:lpstr>naive overlap</vt:lpstr>
      <vt:lpstr>gpt_naive overlap</vt:lpstr>
      <vt:lpstr>semantic percentile</vt:lpstr>
      <vt:lpstr>gpt_semantic percentile</vt:lpstr>
      <vt:lpstr>gpt_semantic min_size</vt:lpstr>
      <vt:lpstr>gpt_reranking</vt:lpstr>
      <vt:lpstr>mmr</vt:lpstr>
      <vt:lpstr>gpt_hybrid</vt:lpstr>
      <vt:lpstr>gpt_context-window</vt:lpstr>
      <vt:lpstr>gpt_deduplication</vt:lpstr>
      <vt:lpstr>Advanced</vt:lpstr>
      <vt:lpstr>semantic min_size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Mager</dc:creator>
  <cp:lastModifiedBy>Pascal Mager</cp:lastModifiedBy>
  <dcterms:created xsi:type="dcterms:W3CDTF">2025-12-27T12:06:22Z</dcterms:created>
  <dcterms:modified xsi:type="dcterms:W3CDTF">2026-04-05T15:40:12Z</dcterms:modified>
</cp:coreProperties>
</file>