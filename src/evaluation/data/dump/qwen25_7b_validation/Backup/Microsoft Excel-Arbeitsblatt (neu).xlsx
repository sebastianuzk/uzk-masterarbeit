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qwen25_7b_validation\"/>
    </mc:Choice>
  </mc:AlternateContent>
  <xr:revisionPtr revIDLastSave="0" documentId="13_ncr:1_{ADF0CAAA-C9C7-4FD2-B432-09B4F760F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G18" i="1" s="1"/>
  <c r="F19" i="1"/>
  <c r="G19" i="1" s="1"/>
  <c r="F20" i="1"/>
  <c r="G20" i="1" s="1"/>
  <c r="F21" i="1"/>
  <c r="G21" i="1" s="1"/>
  <c r="F14" i="1"/>
  <c r="G15" i="1"/>
  <c r="G16" i="1"/>
  <c r="G17" i="1"/>
  <c r="G14" i="1"/>
  <c r="E14" i="1"/>
  <c r="E15" i="1"/>
  <c r="E16" i="1"/>
  <c r="E17" i="1"/>
  <c r="E18" i="1"/>
  <c r="E19" i="1"/>
  <c r="E20" i="1"/>
  <c r="E21" i="1"/>
  <c r="E22" i="1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<sst xmlns="http://schemas.openxmlformats.org/spreadsheetml/2006/main" count="27" uniqueCount="17">
  <si>
    <t>no instruct</t>
  </si>
  <si>
    <t>run1</t>
  </si>
  <si>
    <t>run2</t>
  </si>
  <si>
    <t>run3</t>
  </si>
  <si>
    <t>faithfulness</t>
  </si>
  <si>
    <t>context_recall</t>
  </si>
  <si>
    <t>context_precision</t>
  </si>
  <si>
    <t>semantic_similarity</t>
  </si>
  <si>
    <t>context_entity_recall</t>
  </si>
  <si>
    <t>answer_relevancy</t>
  </si>
  <si>
    <t>MRR@5</t>
  </si>
  <si>
    <t>Hit@5</t>
  </si>
  <si>
    <t>latency</t>
  </si>
  <si>
    <t>instruct</t>
  </si>
  <si>
    <t>Durchschnitt</t>
  </si>
  <si>
    <t>Differenz (Absolut)</t>
  </si>
  <si>
    <t>Differenz (Relativ)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</si>
</sst>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I22" sqref="I22"/>
    </sheetView>
  </sheetViews>
  <sheetFormatPr baseColWidth="10" defaultColWidth="9.140625" defaultRowHeight="15" x14ac:dyDescent="0.25"/>
  <cols>
    <col min="5" max="5" width="12.140625" bestFit="1" customWidth="1"/>
    <col min="6" max="6" width="18.140625" bestFit="1" customWidth="1"/>
    <col min="7" max="7" width="17.42578125" bestFit="1" customWidth="1"/>
  </cols>
  <sheetData>
    <row r="1" spans="1:7" x14ac:dyDescent="0.25">
      <c r="B1" t="s">
        <v>0</v>
      </c>
    </row>
    <row r="2" spans="1:7" x14ac:dyDescent="0.25">
      <c r="B2" t="s">
        <v>1</v>
      </c>
      <c r="C2" t="s">
        <v>2</v>
      </c>
      <c r="D2" t="s">
        <v>3</v>
      </c>
      <c r="E2" t="s">
        <v>14</v>
      </c>
    </row>
    <row r="3" spans="1:7" x14ac:dyDescent="0.25">
      <c r="A3" t="s">
        <v>4</v>
      </c>
      <c r="B3">
        <v>0.64263006338899198</v>
      </c>
      <c r="C3">
        <v>0.6349362780778709</v>
      </c>
      <c r="D3">
        <v>0.63637490981240996</v>
      </c>
      <c r="E3">
        <f>AVERAGE(B3:D3)</f>
        <v>0.63798041709309095</v>
      </c>
    </row>
    <row r="4" spans="1:7" x14ac:dyDescent="0.25">
      <c r="A4" t="s">
        <v>5</v>
      </c>
      <c r="B4">
        <v>0.68697722567287778</v>
      </c>
      <c r="C4">
        <v>0.69513546798029557</v>
      </c>
      <c r="D4">
        <v>0.69039408866995067</v>
      </c>
      <c r="E4">
        <f t="shared" ref="E4:E22" si="0">AVERAGE(B4:D4)</f>
        <v>0.69083559410770812</v>
      </c>
    </row>
    <row r="5" spans="1:7" x14ac:dyDescent="0.25">
      <c r="A5" t="s">
        <v>6</v>
      </c>
      <c r="B5">
        <v>0.71522946857201253</v>
      </c>
      <c r="C5">
        <v>0.71342193483896665</v>
      </c>
      <c r="D5">
        <v>0.71805555552915978</v>
      </c>
      <c r="E5">
        <f t="shared" si="0"/>
        <v>0.71556898631337962</v>
      </c>
    </row>
    <row r="6" spans="1:7" x14ac:dyDescent="0.25">
      <c r="A6" t="s">
        <v>7</v>
      </c>
      <c r="B6">
        <v>0.76445786427386186</v>
      </c>
      <c r="C6">
        <v>0.76511235363239083</v>
      </c>
      <c r="D6">
        <v>0.76511235363239083</v>
      </c>
      <c r="E6">
        <f t="shared" si="0"/>
        <v>0.7648941905128811</v>
      </c>
    </row>
    <row r="7" spans="1:7" x14ac:dyDescent="0.25">
      <c r="A7" t="s">
        <v>8</v>
      </c>
      <c r="B7">
        <v>0.112832086749091</v>
      </c>
      <c r="C7">
        <v>0.1131720922855138</v>
      </c>
      <c r="D7">
        <v>0.1134833949669467</v>
      </c>
      <c r="E7">
        <f t="shared" si="0"/>
        <v>0.11316252466718384</v>
      </c>
    </row>
    <row r="8" spans="1:7" x14ac:dyDescent="0.25">
      <c r="A8" t="s">
        <v>9</v>
      </c>
      <c r="B8">
        <v>0.53499107956067182</v>
      </c>
      <c r="C8">
        <v>0.53717342066995044</v>
      </c>
      <c r="D8">
        <v>0.53762223812016963</v>
      </c>
      <c r="E8">
        <f t="shared" si="0"/>
        <v>0.53659557945026393</v>
      </c>
    </row>
    <row r="9" spans="1:7" x14ac:dyDescent="0.25">
      <c r="A9" t="s">
        <v>10</v>
      </c>
      <c r="B9">
        <v>0.31057971014492758</v>
      </c>
      <c r="C9">
        <v>0.31652298850574712</v>
      </c>
      <c r="D9">
        <v>0.31652298850574712</v>
      </c>
      <c r="E9">
        <f t="shared" si="0"/>
        <v>0.31454189571880725</v>
      </c>
    </row>
    <row r="10" spans="1:7" x14ac:dyDescent="0.25">
      <c r="A10" t="s">
        <v>11</v>
      </c>
      <c r="B10">
        <v>0.46086956521739131</v>
      </c>
      <c r="C10">
        <v>0.46551724137931028</v>
      </c>
      <c r="D10">
        <v>0.46551724137931028</v>
      </c>
      <c r="E10">
        <f t="shared" si="0"/>
        <v>0.46396801599200393</v>
      </c>
    </row>
    <row r="11" spans="1:7" x14ac:dyDescent="0.25">
      <c r="A11" t="s">
        <v>12</v>
      </c>
      <c r="B11">
        <v>11.52793571223383</v>
      </c>
      <c r="C11">
        <v>11.658797385363741</v>
      </c>
      <c r="D11">
        <v>11.658797385363741</v>
      </c>
      <c r="E11">
        <f t="shared" si="0"/>
        <v>11.615176827653769</v>
      </c>
    </row>
    <row r="13" spans="1:7" x14ac:dyDescent="0.25">
      <c r="B13" t="s">
        <v>13</v>
      </c>
      <c r="E13" t="s">
        <v>14</v>
      </c>
      <c r="F13" t="s">
        <v>15</v>
      </c>
      <c r="G13" t="s">
        <v>16</v>
      </c>
    </row>
    <row r="14" spans="1:7" x14ac:dyDescent="0.25">
      <c r="A14" t="s">
        <v>4</v>
      </c>
      <c r="B14">
        <v>0.6417247698221149</v>
      </c>
      <c r="C14">
        <v>0.64042032205749022</v>
      </c>
      <c r="D14">
        <v>0.64156520562770569</v>
      </c>
      <c r="E14">
        <f t="shared" si="0"/>
        <v>0.64123676583577027</v>
      </c>
      <c r="F14">
        <f>(E14-E3)*100</f>
        <v>0.32563487426793269</v>
      </c>
      <c r="G14">
        <f>F14/E14</f>
        <v>0.50782314991485122</v>
      </c>
    </row>
    <row r="15" spans="1:7" x14ac:dyDescent="0.25">
      <c r="A15" t="s">
        <v>5</v>
      </c>
      <c r="B15">
        <v>0.69283661740558278</v>
      </c>
      <c r="C15">
        <v>0.68105500821018061</v>
      </c>
      <c r="D15">
        <v>0.68944099378881984</v>
      </c>
      <c r="E15">
        <f t="shared" si="0"/>
        <v>0.68777753980152767</v>
      </c>
      <c r="F15">
        <f t="shared" ref="F15:F22" si="1">(E15-E4)*100</f>
        <v>-0.30580543061804466</v>
      </c>
      <c r="G15">
        <f t="shared" ref="G15:G22" si="2">F15/E15</f>
        <v>-0.44462840514723861</v>
      </c>
    </row>
    <row r="16" spans="1:7" x14ac:dyDescent="0.25">
      <c r="A16" t="s">
        <v>6</v>
      </c>
      <c r="B16">
        <v>0.70780651338314959</v>
      </c>
      <c r="C16">
        <v>0.7127873562952346</v>
      </c>
      <c r="D16">
        <v>0.71544540227179043</v>
      </c>
      <c r="E16">
        <f t="shared" si="0"/>
        <v>0.71201309065005824</v>
      </c>
      <c r="F16">
        <f t="shared" si="1"/>
        <v>-0.35558956633213734</v>
      </c>
      <c r="G16">
        <f t="shared" si="2"/>
        <v>-0.49941436611437706</v>
      </c>
    </row>
    <row r="17" spans="1:7" x14ac:dyDescent="0.25">
      <c r="A17" t="s">
        <v>7</v>
      </c>
      <c r="B17">
        <v>0.76511235363239083</v>
      </c>
      <c r="C17">
        <v>0.76511235363239083</v>
      </c>
      <c r="D17">
        <v>0.76511235363239083</v>
      </c>
      <c r="E17">
        <f t="shared" si="0"/>
        <v>0.76511235363239083</v>
      </c>
      <c r="F17">
        <f t="shared" si="1"/>
        <v>2.1816311950972889E-2</v>
      </c>
      <c r="G17">
        <f t="shared" si="2"/>
        <v>2.851386707769046E-2</v>
      </c>
    </row>
    <row r="18" spans="1:7" x14ac:dyDescent="0.25">
      <c r="A18" t="s">
        <v>8</v>
      </c>
      <c r="B18">
        <v>0.1173191664670945</v>
      </c>
      <c r="C18">
        <v>0.1199156360852663</v>
      </c>
      <c r="D18">
        <v>0.11710364922745729</v>
      </c>
      <c r="E18">
        <f t="shared" si="0"/>
        <v>0.11811281725993937</v>
      </c>
      <c r="F18">
        <f t="shared" si="1"/>
        <v>0.49502925927555341</v>
      </c>
      <c r="G18">
        <f t="shared" si="2"/>
        <v>4.1911561400326853</v>
      </c>
    </row>
    <row r="19" spans="1:7" x14ac:dyDescent="0.25">
      <c r="A19" t="s">
        <v>9</v>
      </c>
      <c r="B19">
        <v>0.53717342066995044</v>
      </c>
      <c r="C19">
        <v>0.53727974378233145</v>
      </c>
      <c r="D19">
        <v>0.5375159150077885</v>
      </c>
      <c r="E19">
        <f t="shared" si="0"/>
        <v>0.53732302648669006</v>
      </c>
      <c r="F19">
        <f t="shared" si="1"/>
        <v>7.2744703642613207E-2</v>
      </c>
      <c r="G19">
        <f t="shared" si="2"/>
        <v>0.13538355897058352</v>
      </c>
    </row>
    <row r="20" spans="1:7" x14ac:dyDescent="0.25">
      <c r="A20" t="s">
        <v>10</v>
      </c>
      <c r="B20">
        <v>0.31652298850574712</v>
      </c>
      <c r="C20">
        <v>0.31652298850574712</v>
      </c>
      <c r="D20">
        <v>0.31652298850574712</v>
      </c>
      <c r="E20">
        <f t="shared" si="0"/>
        <v>0.31652298850574712</v>
      </c>
      <c r="F20">
        <f t="shared" si="1"/>
        <v>0.19810927869398642</v>
      </c>
      <c r="G20">
        <f t="shared" si="2"/>
        <v>0.62589222864736516</v>
      </c>
    </row>
    <row r="21" spans="1:7" x14ac:dyDescent="0.25">
      <c r="A21" t="s">
        <v>11</v>
      </c>
      <c r="B21">
        <v>0.46551724137931028</v>
      </c>
      <c r="C21">
        <v>0.46551724137931028</v>
      </c>
      <c r="D21">
        <v>0.46551724137931028</v>
      </c>
      <c r="E21">
        <f t="shared" si="0"/>
        <v>0.46551724137931028</v>
      </c>
      <c r="F21">
        <f t="shared" si="1"/>
        <v>0.15492253873063411</v>
      </c>
      <c r="G21">
        <f t="shared" si="2"/>
        <v>0.33279656468062147</v>
      </c>
    </row>
    <row r="22" spans="1:7" x14ac:dyDescent="0.25">
      <c r="A22" t="s">
        <v>12</v>
      </c>
      <c r="B22">
        <v>11.658797385363741</v>
      </c>
      <c r="C22">
        <v>11.658797385363741</v>
      </c>
      <c r="D22">
        <v>11.658797385363741</v>
      </c>
      <c r="E22">
        <f t="shared" si="0"/>
        <v>11.658797385363741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Mager</dc:creator>
  <cp:lastModifiedBy>Pascal Mager</cp:lastModifiedBy>
  <dcterms:created xsi:type="dcterms:W3CDTF">2015-06-05T18:19:34Z</dcterms:created>
  <dcterms:modified xsi:type="dcterms:W3CDTF">2026-01-11T21:23:45Z</dcterms:modified>
</cp:coreProperties>
</file>